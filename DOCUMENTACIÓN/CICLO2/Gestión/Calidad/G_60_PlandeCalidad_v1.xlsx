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Identificación" sheetId="1" r:id="rId4"/>
    <sheet state="visible" name="Ayuda" sheetId="2" r:id="rId5"/>
    <sheet state="visible" name="Datos proyecto" sheetId="3" r:id="rId6"/>
    <sheet state="visible" name="DefectosFase" sheetId="4" r:id="rId7"/>
    <sheet state="visible" name="Estandar defectos" sheetId="5" r:id="rId8"/>
    <sheet state="visible" name="Lista defectos" sheetId="6" r:id="rId9"/>
    <sheet state="visible" name="Plan Calidad" sheetId="7" r:id="rId10"/>
    <sheet state="visible" name="Rendimiento" sheetId="8" r:id="rId11"/>
    <sheet state="visible" name="Informe Calidad" sheetId="9" r:id="rId12"/>
  </sheets>
  <definedNames/>
  <calcPr/>
  <extLst>
    <ext uri="GoogleSheetsCustomDataVersion2">
      <go:sheetsCustomData xmlns:go="http://customooxmlschemas.google.com/" r:id="rId13" roundtripDataChecksum="s3YhqqZWxtxMMdB2dY5a2EuD1Ykv2ZVKm2Z29KhzUi0="/>
    </ext>
  </extLst>
</workbook>
</file>

<file path=xl/sharedStrings.xml><?xml version="1.0" encoding="utf-8"?>
<sst xmlns="http://schemas.openxmlformats.org/spreadsheetml/2006/main" count="311" uniqueCount="225">
  <si>
    <t>Título</t>
  </si>
  <si>
    <t>Ejemplo de Plan de Calidad</t>
  </si>
  <si>
    <t>Versión</t>
  </si>
  <si>
    <t>0.3h</t>
  </si>
  <si>
    <t>Lista cambios</t>
  </si>
  <si>
    <t>C1</t>
  </si>
  <si>
    <t>Se ha añadido los datos del proyecto</t>
  </si>
  <si>
    <t>-</t>
  </si>
  <si>
    <t>Dentro del proyecto están las fases</t>
  </si>
  <si>
    <t>Dentro de las fases se producen productos</t>
  </si>
  <si>
    <t>Los defectos se agrupan en tipos estandar</t>
  </si>
  <si>
    <t>C2</t>
  </si>
  <si>
    <t>Se ha añadido la hoja lista de defectos</t>
  </si>
  <si>
    <t xml:space="preserve"> - </t>
  </si>
  <si>
    <t>Todos los defectos tienen un origen</t>
  </si>
  <si>
    <t>Todos los defectos se detectan en un punto del proceso</t>
  </si>
  <si>
    <t>Todos los defectos se pueden asignar a un tipo para su análisis</t>
  </si>
  <si>
    <t>Todos los defectos se encuentran en un producto</t>
  </si>
  <si>
    <t>Todos los defectos podemos identificar su ubicación</t>
  </si>
  <si>
    <t>C3</t>
  </si>
  <si>
    <t>Se han corregido campo de valiaciones en la lista de defectos</t>
  </si>
  <si>
    <t>Se ha añadido el calculo de defectos presentes en cada fase (ver matriz de defectos)</t>
  </si>
  <si>
    <t>Se ha añadido el calculo del yield de las fases (ver pie matriz de defectos)</t>
  </si>
  <si>
    <t>Se ha añadido la funcion de calculo de la velocidad de inyeccion de defectos</t>
  </si>
  <si>
    <t>Se han añadido los costes promedios de reparacion por origen y por punto de deteccion</t>
  </si>
  <si>
    <t>C4</t>
  </si>
  <si>
    <t>Se ha eliminado la hoja prototipo de cuadro de mando</t>
  </si>
  <si>
    <t>Se ha corregido la formula de densidad de defectos</t>
  </si>
  <si>
    <t>To do</t>
  </si>
  <si>
    <t>Falta</t>
  </si>
  <si>
    <t>F1</t>
  </si>
  <si>
    <t>Hacer que un cambio en el nombre de las fases del proyecto se expanda en todas las hojas</t>
  </si>
  <si>
    <t>F2</t>
  </si>
  <si>
    <t>Completar un cuadro de mando  con los costes de reparación</t>
  </si>
  <si>
    <t>F3</t>
  </si>
  <si>
    <t>Hay muchas listas que son estáticas seria bueno hacerlas dinámicas</t>
  </si>
  <si>
    <t>GENERAL</t>
  </si>
  <si>
    <t>Los campos con el fondo de color marrón son campos calculados</t>
  </si>
  <si>
    <t>NO RELLENAR</t>
  </si>
  <si>
    <t>Los campos de color amarillo son campos de entrada</t>
  </si>
  <si>
    <t>RELLENAR</t>
  </si>
  <si>
    <t>Pasos</t>
  </si>
  <si>
    <t>Página "Datos proyecto"</t>
  </si>
  <si>
    <t>1.</t>
  </si>
  <si>
    <t>Introducir la estimación inicial de PF para el ciclo 1 en la celda I4 de la pagina "Datos proyecto"</t>
  </si>
  <si>
    <t>2.</t>
  </si>
  <si>
    <t>Introducir los valores planificados de cada una de las fases en las celdas C8 a C18 de la pagina "Datos Proyecto"</t>
  </si>
  <si>
    <t>3.</t>
  </si>
  <si>
    <t>Introducir los valores reales de cada una de las fases en las celdas D8 a D18 en la página "Datos proyecto"</t>
  </si>
  <si>
    <t>4.</t>
  </si>
  <si>
    <t>Introducir los productos generados con sus estimaciones de tamaño y valor actual en las celdas en la página "Datos proyecto"</t>
  </si>
  <si>
    <t>Página "DefectosFase"</t>
  </si>
  <si>
    <t>5.</t>
  </si>
  <si>
    <t>Introducir los valores estimados de defectos insertados por fase en las celdas c4 a C13</t>
  </si>
  <si>
    <t>6.</t>
  </si>
  <si>
    <t>Introducir los valores estimados de defectos eliminados por fase en las celdas i4 a i14</t>
  </si>
  <si>
    <t>Página "Estandar defectos"</t>
  </si>
  <si>
    <t>7.</t>
  </si>
  <si>
    <t>Revisar la lista de tipos estandar de defectos y colocar los tipos que se deseen actualizando el Informe de Calidad</t>
  </si>
  <si>
    <t>Página "Lista defectos"</t>
  </si>
  <si>
    <t>8.</t>
  </si>
  <si>
    <t>Introducir la lista de defectos, teniendo en cuenta que la columna I se genere el código auxiliar necesario para las búsquedas</t>
  </si>
  <si>
    <t>Página "Plan de calidad"</t>
  </si>
  <si>
    <t>9.</t>
  </si>
  <si>
    <t>Introducir el número de programadores estimado y real en las celdas C6 y D6</t>
  </si>
  <si>
    <t>Página "Rendimiento"</t>
  </si>
  <si>
    <t>10.</t>
  </si>
  <si>
    <t>Revisar los rendimientos obtenidos</t>
  </si>
  <si>
    <t>Página "Informe de calidad"</t>
  </si>
  <si>
    <t>11.</t>
  </si>
  <si>
    <t>Revisar la información generada</t>
  </si>
  <si>
    <t>Datos generales del proyecto</t>
  </si>
  <si>
    <t>Ciclo 2</t>
  </si>
  <si>
    <t>Planificado</t>
  </si>
  <si>
    <t>Real</t>
  </si>
  <si>
    <t>Esfuerzo Total</t>
  </si>
  <si>
    <t>Estimación preliminar de tamaño</t>
  </si>
  <si>
    <t>Puntos Funcion</t>
  </si>
  <si>
    <t>Estimación de LOC</t>
  </si>
  <si>
    <t>Esfuerzo</t>
  </si>
  <si>
    <t>Fases del proyecto C2</t>
  </si>
  <si>
    <t>en esta fase generó</t>
  </si>
  <si>
    <t>este producto</t>
  </si>
  <si>
    <t>tamaño planificado</t>
  </si>
  <si>
    <t>con este tamaño</t>
  </si>
  <si>
    <t>unidad de tamaño</t>
  </si>
  <si>
    <t>Código Auxiliar</t>
  </si>
  <si>
    <t>DESARROLLO</t>
  </si>
  <si>
    <t>Lanzamiento</t>
  </si>
  <si>
    <t>Requisitos</t>
  </si>
  <si>
    <t>Documento de ERS</t>
  </si>
  <si>
    <t>paginas de texto</t>
  </si>
  <si>
    <t>Estrategia</t>
  </si>
  <si>
    <t>Documento de Estimación y Planificación</t>
  </si>
  <si>
    <t>Inspección de Requisitos</t>
  </si>
  <si>
    <t>Documento de Inspección de DEPPF</t>
  </si>
  <si>
    <t>Estrategiapaginas de texto</t>
  </si>
  <si>
    <t>Planificación</t>
  </si>
  <si>
    <t>Diagrama de Gantt</t>
  </si>
  <si>
    <t>tareas</t>
  </si>
  <si>
    <t>Diseño</t>
  </si>
  <si>
    <t>Plan de Gestión de Configuración Software</t>
  </si>
  <si>
    <t>Inspección de diseño</t>
  </si>
  <si>
    <t>Documento de Inspección de PGCS</t>
  </si>
  <si>
    <t>Código</t>
  </si>
  <si>
    <t>Diagrama de secuencias</t>
  </si>
  <si>
    <t>interacciones</t>
  </si>
  <si>
    <t>Revisión de código</t>
  </si>
  <si>
    <t>Prototipo de pantallas</t>
  </si>
  <si>
    <t>elementos de diseño</t>
  </si>
  <si>
    <t>Pruebas</t>
  </si>
  <si>
    <t>Documento de diseño</t>
  </si>
  <si>
    <t>Gestión y miscelaneas</t>
  </si>
  <si>
    <t>Documento de Inspección del Diseño</t>
  </si>
  <si>
    <t>Código Fuente</t>
  </si>
  <si>
    <t>LOC</t>
  </si>
  <si>
    <t>Documento de Inspección del Código Fuente</t>
  </si>
  <si>
    <t>Casos de Pruebas Unitarias</t>
  </si>
  <si>
    <t>elementos de prueba</t>
  </si>
  <si>
    <t>Casos de Pruebas del Sistema</t>
  </si>
  <si>
    <t>Informe de tests</t>
  </si>
  <si>
    <t>Medidas de Defectos introducidos y eliminados por fase</t>
  </si>
  <si>
    <t>Defectos insertados en fase:</t>
  </si>
  <si>
    <t>Planificados</t>
  </si>
  <si>
    <t>Valor Referencia</t>
  </si>
  <si>
    <t>Defectos eliminados en fase:</t>
  </si>
  <si>
    <t>Total</t>
  </si>
  <si>
    <t>Velocidad de inserción en cada fase(def/hora)</t>
  </si>
  <si>
    <t>Planificada</t>
  </si>
  <si>
    <t>Velocidad de eliminación en cada fase</t>
  </si>
  <si>
    <t>def/hora</t>
  </si>
  <si>
    <t>Tipos ODC (Orthogonal Defect Classification) Defecto</t>
  </si>
  <si>
    <t>Descripción</t>
  </si>
  <si>
    <t>Documentación</t>
  </si>
  <si>
    <t>Errores en el contenido, descripción y comentarios en los productos</t>
  </si>
  <si>
    <t>Sintaxis</t>
  </si>
  <si>
    <t>Errores de escritura en diagramas o código</t>
  </si>
  <si>
    <t>Configuración</t>
  </si>
  <si>
    <t>Errores al empaquetar, control de versiones</t>
  </si>
  <si>
    <t>Asignaciones</t>
  </si>
  <si>
    <t>Errores en el alcance o nombres duplicados, limites, declaraciones, al inicio y al final de uso de recursos</t>
  </si>
  <si>
    <t xml:space="preserve">Interface </t>
  </si>
  <si>
    <t>Errores en las llamadas y referencias, entrada/salida, formatos para entrada y salidas dirigidas al usuario</t>
  </si>
  <si>
    <t>Comprobación</t>
  </si>
  <si>
    <t>Errores por no comprobar errores, o comprobacion no adecuada, mensajes de error</t>
  </si>
  <si>
    <t>Datos</t>
  </si>
  <si>
    <t>Errores en la estructura o el contenido de los datos</t>
  </si>
  <si>
    <t>Funciones</t>
  </si>
  <si>
    <t>Errores en los limites de los bucles, en la lógica de las funciones, en manejo de punteros, recursividad</t>
  </si>
  <si>
    <t>Estandar</t>
  </si>
  <si>
    <t>Cumplimiento de estandares</t>
  </si>
  <si>
    <t>Entorno</t>
  </si>
  <si>
    <t>Problemas con el entorno de desarrollo utilizado</t>
  </si>
  <si>
    <t>Lista de defectos</t>
  </si>
  <si>
    <t>Producto</t>
  </si>
  <si>
    <t>Origen</t>
  </si>
  <si>
    <t>Detectado</t>
  </si>
  <si>
    <t>Esfuerzo Dedicado a reparar</t>
  </si>
  <si>
    <t>Tipo Estandar</t>
  </si>
  <si>
    <t>Ubicación (parrafo, Linea u otro elemento que sirva para ubicar)</t>
  </si>
  <si>
    <t>CodigoAuxiliar</t>
  </si>
  <si>
    <t>Falta visualización locales</t>
  </si>
  <si>
    <t>Errata en texto aplicación</t>
  </si>
  <si>
    <t>Plan de calidad</t>
  </si>
  <si>
    <t>Volumenes</t>
  </si>
  <si>
    <t>Tasas resumen</t>
  </si>
  <si>
    <t>Plan</t>
  </si>
  <si>
    <t>LOC/hora</t>
  </si>
  <si>
    <t>Número programadores</t>
  </si>
  <si>
    <t>Defectos por página</t>
  </si>
  <si>
    <t>Inspeccion de requisitos</t>
  </si>
  <si>
    <t>Defectos por KLOC</t>
  </si>
  <si>
    <t>Revision Diseño detallado</t>
  </si>
  <si>
    <t>Revision de código</t>
  </si>
  <si>
    <t>Pruebas Unitarias</t>
  </si>
  <si>
    <t>Pruebas Sistema</t>
  </si>
  <si>
    <t>Ratios de defectos</t>
  </si>
  <si>
    <t>Revisión Diseño Detallado vs Pruebas Unitarias</t>
  </si>
  <si>
    <t>Ratios de tiempos de desarrollo</t>
  </si>
  <si>
    <t>Inspecciones requisitos/Requisitos</t>
  </si>
  <si>
    <t xml:space="preserve">Inspección de diseño alto nivel/Diseño </t>
  </si>
  <si>
    <t>Diseño detallado/Código</t>
  </si>
  <si>
    <t>Velocidades de revision</t>
  </si>
  <si>
    <t>Lineas de Diseño detallado/hora</t>
  </si>
  <si>
    <t>LOCcódigo/hora</t>
  </si>
  <si>
    <t>Tasas de injección (def/hora)</t>
  </si>
  <si>
    <t>Diseño Alto Nivel</t>
  </si>
  <si>
    <t>Diseño Detallado</t>
  </si>
  <si>
    <t>Tasas de eliminación (def/hora)</t>
  </si>
  <si>
    <t>Inspección requisitos</t>
  </si>
  <si>
    <t>Inspección de Diseño alto nivel</t>
  </si>
  <si>
    <t>Revisión Diseño Detallado</t>
  </si>
  <si>
    <t>Pruebas del sistema</t>
  </si>
  <si>
    <t>Rendimiento fases eliminación</t>
  </si>
  <si>
    <t>Inpección requisitos</t>
  </si>
  <si>
    <t>Inspección Diseño Alto Nivel</t>
  </si>
  <si>
    <t>Revisión Diseño detallado</t>
  </si>
  <si>
    <t>Tabla de rendimientos</t>
  </si>
  <si>
    <t>Fase</t>
  </si>
  <si>
    <t>Defectos  introducidos</t>
  </si>
  <si>
    <t>Presentes</t>
  </si>
  <si>
    <t>Eliminados</t>
  </si>
  <si>
    <t>escapados</t>
  </si>
  <si>
    <t>Rendimiento</t>
  </si>
  <si>
    <t>Coste  reparación</t>
  </si>
  <si>
    <t>Coste promedio</t>
  </si>
  <si>
    <t>Defectos reparados</t>
  </si>
  <si>
    <t>Coste de reparación</t>
  </si>
  <si>
    <t>Promedio de costes</t>
  </si>
  <si>
    <t>Informe Resultado de calidad</t>
  </si>
  <si>
    <t>Tamaño proyecto LOC</t>
  </si>
  <si>
    <t>Total defectos</t>
  </si>
  <si>
    <t>defectos</t>
  </si>
  <si>
    <t>Densidad de defectos</t>
  </si>
  <si>
    <t>Total proyecto</t>
  </si>
  <si>
    <t>def/KLOC</t>
  </si>
  <si>
    <t>Total post diseño</t>
  </si>
  <si>
    <t>Rendimiento de las fases</t>
  </si>
  <si>
    <t>Yield</t>
  </si>
  <si>
    <t>Cuanto  reparamos en la fase</t>
  </si>
  <si>
    <t>nos cuesta</t>
  </si>
  <si>
    <t>Cuando insertamos un defecto en la fase</t>
  </si>
  <si>
    <t>Defectos tipo</t>
  </si>
  <si>
    <t>Recuento</t>
  </si>
  <si>
    <t>Porcentaje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</si>
</sst>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0">
    <font>
      <sz val="12.0"/>
      <color theme="1"/>
      <name val="Calibri"/>
      <scheme val="minor"/>
    </font>
    <font>
      <color theme="1"/>
      <name val="Calibri"/>
    </font>
    <font>
      <strike/>
      <u/>
      <sz val="12.0"/>
      <color theme="1"/>
      <name val="Calibri"/>
    </font>
    <font>
      <b/>
      <sz val="18.0"/>
      <color rgb="FF1F497D"/>
      <name val="Cambria"/>
    </font>
    <font>
      <sz val="12.0"/>
      <color rgb="FF3F3F76"/>
      <name val="Calibri"/>
    </font>
    <font>
      <sz val="12.0"/>
      <color rgb="FF9C5700"/>
      <name val="Calibri"/>
    </font>
    <font>
      <b/>
      <sz val="13.0"/>
      <color rgb="FF1F497D"/>
      <name val="Calibri"/>
    </font>
    <font>
      <b/>
      <sz val="12.0"/>
      <color theme="1"/>
      <name val="Calibri"/>
    </font>
    <font>
      <sz val="12.0"/>
      <color rgb="FFDBE5F1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/>
    <font>
      <sz val="12.0"/>
      <color rgb="FF006100"/>
      <name val="Calibri"/>
    </font>
    <font>
      <sz val="12.0"/>
      <color rgb="FFFABF8F"/>
      <name val="Calibri"/>
    </font>
    <font>
      <sz val="11.0"/>
      <color rgb="FF9C5700"/>
      <name val="&quot;Aptos Narrow&quot;"/>
    </font>
    <font>
      <b/>
      <sz val="15.0"/>
      <color rgb="FF1F497D"/>
      <name val="Calibri"/>
    </font>
    <font>
      <b/>
      <sz val="12.0"/>
      <color theme="0"/>
      <name val="Calibri"/>
    </font>
    <font>
      <sz val="24.0"/>
      <color theme="1"/>
      <name val="Calibri"/>
    </font>
    <font>
      <sz val="24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95B3D7"/>
        <bgColor rgb="FF95B3D7"/>
      </patternFill>
    </fill>
  </fills>
  <borders count="12">
    <border/>
    <border>
      <bottom style="thick">
        <color theme="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bottom style="thick">
        <color rgb="FFA6BFDD"/>
      </bottom>
    </border>
    <border>
      <left/>
      <right/>
      <top/>
    </border>
    <border>
      <left/>
      <right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</border>
    <border>
      <left style="double">
        <color rgb="FF3F3F3F"/>
      </left>
      <bottom style="double">
        <color rgb="FF3F3F3F"/>
      </bottom>
    </border>
    <border>
      <bottom style="double">
        <color rgb="FF3F3F3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2" fontId="4" numFmtId="0" xfId="0" applyBorder="1" applyFill="1" applyFont="1"/>
    <xf borderId="3" fillId="3" fontId="5" numFmtId="0" xfId="0" applyBorder="1" applyFill="1" applyFont="1"/>
    <xf borderId="0" fillId="0" fontId="3" numFmtId="0" xfId="0" applyFont="1"/>
    <xf borderId="4" fillId="0" fontId="6" numFmtId="0" xfId="0" applyBorder="1" applyFont="1"/>
    <xf borderId="0" fillId="0" fontId="7" numFmtId="0" xfId="0" applyAlignment="1" applyFont="1">
      <alignment readingOrder="0"/>
    </xf>
    <xf borderId="3" fillId="3" fontId="5" numFmtId="0" xfId="0" applyAlignment="1" applyBorder="1" applyFont="1">
      <alignment readingOrder="0"/>
    </xf>
    <xf borderId="0" fillId="0" fontId="7" numFmtId="0" xfId="0" applyFont="1"/>
    <xf borderId="0" fillId="0" fontId="8" numFmtId="0" xfId="0" applyFont="1"/>
    <xf borderId="5" fillId="4" fontId="9" numFmtId="0" xfId="0" applyAlignment="1" applyBorder="1" applyFill="1" applyFont="1">
      <alignment shrinkToFit="0" textRotation="255" wrapText="1"/>
    </xf>
    <xf borderId="3" fillId="4" fontId="10" numFmtId="0" xfId="0" applyAlignment="1" applyBorder="1" applyFont="1">
      <alignment readingOrder="0"/>
    </xf>
    <xf borderId="2" fillId="3" fontId="5" numFmtId="0" xfId="0" applyAlignment="1" applyBorder="1" applyFont="1">
      <alignment readingOrder="0"/>
    </xf>
    <xf borderId="3" fillId="3" fontId="5" numFmtId="0" xfId="0" applyAlignment="1" applyBorder="1" applyFont="1">
      <alignment vertical="bottom"/>
    </xf>
    <xf borderId="3" fillId="3" fontId="5" numFmtId="0" xfId="0" applyAlignment="1" applyBorder="1" applyFont="1">
      <alignment horizontal="right" readingOrder="0" vertical="bottom"/>
    </xf>
    <xf borderId="3" fillId="3" fontId="5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8" numFmtId="0" xfId="0" applyAlignment="1" applyFont="1">
      <alignment vertical="bottom"/>
    </xf>
    <xf borderId="6" fillId="0" fontId="12" numFmtId="0" xfId="0" applyBorder="1" applyFont="1"/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3" fillId="3" fontId="5" numFmtId="0" xfId="0" applyAlignment="1" applyBorder="1" applyFont="1">
      <alignment horizontal="right" vertical="bottom"/>
    </xf>
    <xf borderId="3" fillId="3" fontId="5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0" fillId="0" fontId="10" numFmtId="0" xfId="0" applyFont="1"/>
    <xf borderId="3" fillId="3" fontId="5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3" fillId="3" fontId="5" numFmtId="0" xfId="0" applyAlignment="1" applyBorder="1" applyFont="1">
      <alignment horizontal="center"/>
    </xf>
    <xf borderId="3" fillId="5" fontId="11" numFmtId="0" xfId="0" applyBorder="1" applyFill="1" applyFont="1"/>
    <xf borderId="3" fillId="6" fontId="13" numFmtId="0" xfId="0" applyBorder="1" applyFill="1" applyFont="1"/>
    <xf borderId="2" fillId="2" fontId="4" numFmtId="2" xfId="0" applyBorder="1" applyFont="1" applyNumberFormat="1"/>
    <xf borderId="0" fillId="0" fontId="7" numFmtId="0" xfId="0" applyAlignment="1" applyFont="1">
      <alignment shrinkToFit="0" wrapText="1"/>
    </xf>
    <xf borderId="2" fillId="2" fontId="4" numFmtId="0" xfId="0" applyAlignment="1" applyBorder="1" applyFont="1">
      <alignment shrinkToFit="0" wrapText="1"/>
    </xf>
    <xf borderId="3" fillId="6" fontId="13" numFmtId="0" xfId="0" applyAlignment="1" applyBorder="1" applyFont="1">
      <alignment shrinkToFit="0" wrapText="1"/>
    </xf>
    <xf borderId="0" fillId="0" fontId="14" numFmtId="0" xfId="0" applyFont="1"/>
    <xf borderId="2" fillId="3" fontId="5" numFmtId="0" xfId="0" applyBorder="1" applyFont="1"/>
    <xf borderId="0" fillId="3" fontId="15" numFmtId="0" xfId="0" applyAlignment="1" applyFont="1">
      <alignment horizontal="left"/>
    </xf>
    <xf borderId="1" fillId="0" fontId="16" numFmtId="0" xfId="0" applyBorder="1" applyFont="1"/>
    <xf borderId="2" fillId="2" fontId="4" numFmtId="164" xfId="0" applyBorder="1" applyFont="1" applyNumberFormat="1"/>
    <xf borderId="0" fillId="0" fontId="11" numFmtId="0" xfId="0" applyAlignment="1" applyFont="1">
      <alignment shrinkToFit="0" wrapText="1"/>
    </xf>
    <xf borderId="2" fillId="2" fontId="4" numFmtId="9" xfId="0" applyBorder="1" applyFont="1" applyNumberFormat="1"/>
    <xf borderId="0" fillId="0" fontId="11" numFmtId="0" xfId="0" applyAlignment="1" applyFont="1">
      <alignment horizontal="right"/>
    </xf>
    <xf borderId="7" fillId="7" fontId="17" numFmtId="0" xfId="0" applyBorder="1" applyFill="1" applyFont="1"/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3" fillId="8" fontId="18" numFmtId="0" xfId="0" applyBorder="1" applyFill="1" applyFont="1"/>
    <xf borderId="4" fillId="0" fontId="6" numFmtId="0" xfId="0" applyAlignment="1" applyBorder="1" applyFont="1">
      <alignment horizontal="center"/>
    </xf>
    <xf borderId="0" fillId="0" fontId="11" numFmtId="164" xfId="0" applyFont="1" applyNumberFormat="1"/>
    <xf borderId="0" fillId="0" fontId="11" numFmtId="165" xfId="0" applyFont="1" applyNumberFormat="1"/>
    <xf borderId="0" fillId="0" fontId="11" numFmtId="2" xfId="0" applyFont="1" applyNumberFormat="1"/>
    <xf borderId="0" fillId="0" fontId="11" numFmtId="9" xfId="0" applyFont="1" applyNumberFormat="1"/>
    <xf borderId="0" fillId="0" fontId="11" numFmtId="0" xfId="0" applyAlignment="1" applyFont="1">
      <alignment horizontal="center" textRotation="180"/>
    </xf>
    <xf borderId="0" fillId="0" fontId="7" numFmtId="0" xfId="0" applyAlignment="1" applyFont="1">
      <alignment horizontal="center" textRotation="180"/>
    </xf>
    <xf borderId="0" fillId="0" fontId="11" numFmtId="0" xfId="0" applyAlignment="1" applyFont="1">
      <alignment horizontal="center"/>
    </xf>
    <xf borderId="11" fillId="0" fontId="11" numFmtId="0" xfId="0" applyBorder="1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6" width="10.56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7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13</v>
      </c>
      <c r="B10" s="1" t="s">
        <v>15</v>
      </c>
    </row>
    <row r="11">
      <c r="A11" s="1" t="s">
        <v>13</v>
      </c>
      <c r="B11" s="1" t="s">
        <v>16</v>
      </c>
    </row>
    <row r="12">
      <c r="A12" s="1" t="s">
        <v>13</v>
      </c>
      <c r="B12" s="1" t="s">
        <v>17</v>
      </c>
    </row>
    <row r="13">
      <c r="B13" s="1" t="s">
        <v>18</v>
      </c>
    </row>
    <row r="14">
      <c r="A14" s="1" t="s">
        <v>19</v>
      </c>
      <c r="B14" s="1" t="s">
        <v>20</v>
      </c>
    </row>
    <row r="15">
      <c r="B15" s="1" t="s">
        <v>21</v>
      </c>
    </row>
    <row r="16">
      <c r="B16" s="1" t="s">
        <v>22</v>
      </c>
    </row>
    <row r="17">
      <c r="B17" s="1" t="s">
        <v>23</v>
      </c>
    </row>
    <row r="18">
      <c r="B18" s="1" t="s">
        <v>24</v>
      </c>
    </row>
    <row r="19">
      <c r="A19" s="1" t="s">
        <v>25</v>
      </c>
      <c r="B19" s="1" t="s">
        <v>26</v>
      </c>
    </row>
    <row r="20">
      <c r="B20" s="1" t="s">
        <v>27</v>
      </c>
    </row>
    <row r="21">
      <c r="A21" s="1" t="s">
        <v>28</v>
      </c>
    </row>
    <row r="22">
      <c r="A22" s="1" t="s">
        <v>29</v>
      </c>
    </row>
    <row r="23">
      <c r="A23" s="1" t="s">
        <v>30</v>
      </c>
      <c r="B23" s="1" t="s">
        <v>31</v>
      </c>
    </row>
    <row r="24">
      <c r="A24" s="1" t="s">
        <v>32</v>
      </c>
      <c r="B24" s="2" t="s">
        <v>33</v>
      </c>
    </row>
    <row r="25">
      <c r="A25" s="1" t="s">
        <v>34</v>
      </c>
      <c r="B25" s="1" t="s">
        <v>35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1.78"/>
    <col customWidth="1" min="3" max="26" width="10.56"/>
  </cols>
  <sheetData>
    <row r="1">
      <c r="B1" s="3" t="s">
        <v>36</v>
      </c>
    </row>
    <row r="2">
      <c r="A2" s="4"/>
      <c r="B2" s="1" t="s">
        <v>37</v>
      </c>
      <c r="C2" s="1" t="s">
        <v>38</v>
      </c>
    </row>
    <row r="3">
      <c r="A3" s="5"/>
      <c r="B3" s="1" t="s">
        <v>39</v>
      </c>
      <c r="C3" s="1" t="s">
        <v>40</v>
      </c>
    </row>
    <row r="6">
      <c r="B6" s="6" t="s">
        <v>41</v>
      </c>
    </row>
    <row r="7">
      <c r="B7" s="7" t="s">
        <v>42</v>
      </c>
    </row>
    <row r="8">
      <c r="A8" s="1" t="s">
        <v>43</v>
      </c>
      <c r="B8" s="1" t="s">
        <v>44</v>
      </c>
    </row>
    <row r="9">
      <c r="A9" s="1" t="s">
        <v>45</v>
      </c>
      <c r="B9" s="1" t="s">
        <v>46</v>
      </c>
    </row>
    <row r="10">
      <c r="A10" s="1" t="s">
        <v>47</v>
      </c>
      <c r="B10" s="1" t="s">
        <v>48</v>
      </c>
    </row>
    <row r="11">
      <c r="A11" s="1" t="s">
        <v>49</v>
      </c>
      <c r="B11" s="1" t="s">
        <v>50</v>
      </c>
    </row>
    <row r="12">
      <c r="B12" s="7" t="s">
        <v>51</v>
      </c>
    </row>
    <row r="13">
      <c r="A13" s="1" t="s">
        <v>52</v>
      </c>
      <c r="B13" s="1" t="s">
        <v>53</v>
      </c>
    </row>
    <row r="14">
      <c r="A14" s="1" t="s">
        <v>54</v>
      </c>
      <c r="B14" s="1" t="s">
        <v>55</v>
      </c>
    </row>
    <row r="15">
      <c r="B15" s="7" t="s">
        <v>56</v>
      </c>
    </row>
    <row r="16">
      <c r="A16" s="1" t="s">
        <v>57</v>
      </c>
      <c r="B16" s="1" t="s">
        <v>58</v>
      </c>
    </row>
    <row r="17">
      <c r="B17" s="7" t="s">
        <v>59</v>
      </c>
    </row>
    <row r="18">
      <c r="A18" s="1" t="s">
        <v>60</v>
      </c>
      <c r="B18" s="1" t="s">
        <v>61</v>
      </c>
    </row>
    <row r="19">
      <c r="B19" s="7" t="s">
        <v>62</v>
      </c>
    </row>
    <row r="20">
      <c r="A20" s="1" t="s">
        <v>63</v>
      </c>
      <c r="B20" s="1" t="s">
        <v>64</v>
      </c>
    </row>
    <row r="21">
      <c r="B21" s="7" t="s">
        <v>65</v>
      </c>
    </row>
    <row r="22">
      <c r="A22" s="1" t="s">
        <v>66</v>
      </c>
      <c r="B22" s="1" t="s">
        <v>67</v>
      </c>
    </row>
    <row r="23">
      <c r="B23" s="7" t="s">
        <v>68</v>
      </c>
    </row>
    <row r="24">
      <c r="A24" s="1" t="s">
        <v>69</v>
      </c>
      <c r="B24" s="1" t="s">
        <v>70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22"/>
    <col customWidth="1" min="3" max="3" width="10.56"/>
    <col customWidth="1" min="4" max="4" width="11.67"/>
    <col customWidth="1" min="5" max="5" width="18.78"/>
    <col customWidth="1" min="6" max="6" width="25.33"/>
    <col customWidth="1" min="7" max="7" width="26.67"/>
    <col customWidth="1" min="8" max="8" width="17.44"/>
    <col customWidth="1" min="9" max="9" width="14.22"/>
    <col customWidth="1" min="10" max="10" width="22.22"/>
    <col customWidth="1" min="11" max="11" width="24.67"/>
    <col customWidth="1" min="12" max="26" width="10.56"/>
  </cols>
  <sheetData>
    <row r="1">
      <c r="A1" s="1" t="s">
        <v>71</v>
      </c>
    </row>
    <row r="2">
      <c r="B2" s="8" t="s">
        <v>72</v>
      </c>
    </row>
    <row r="3">
      <c r="C3" s="1" t="s">
        <v>73</v>
      </c>
      <c r="D3" s="1" t="s">
        <v>74</v>
      </c>
    </row>
    <row r="4">
      <c r="B4" s="1" t="s">
        <v>75</v>
      </c>
      <c r="C4" s="4">
        <f t="shared" ref="C4:D4" si="1">SUM(C8:C18)</f>
        <v>20.5</v>
      </c>
      <c r="D4" s="4">
        <f t="shared" si="1"/>
        <v>42.7</v>
      </c>
      <c r="G4" s="1" t="s">
        <v>76</v>
      </c>
      <c r="I4" s="9">
        <v>26.0</v>
      </c>
      <c r="J4" s="1" t="s">
        <v>77</v>
      </c>
    </row>
    <row r="5">
      <c r="G5" s="1" t="s">
        <v>78</v>
      </c>
      <c r="I5" s="4">
        <f>SUMIF(J$8:J$80,"LOC",H$8:H$80)</f>
        <v>1500</v>
      </c>
    </row>
    <row r="6">
      <c r="C6" s="1" t="s">
        <v>79</v>
      </c>
    </row>
    <row r="7">
      <c r="B7" s="8" t="s">
        <v>80</v>
      </c>
      <c r="C7" s="1" t="s">
        <v>73</v>
      </c>
      <c r="D7" s="1" t="s">
        <v>74</v>
      </c>
      <c r="F7" s="10" t="s">
        <v>81</v>
      </c>
      <c r="G7" s="10" t="s">
        <v>82</v>
      </c>
      <c r="H7" s="10" t="s">
        <v>83</v>
      </c>
      <c r="I7" s="10" t="s">
        <v>84</v>
      </c>
      <c r="J7" s="1" t="s">
        <v>85</v>
      </c>
      <c r="K7" s="11" t="s">
        <v>86</v>
      </c>
      <c r="L7" s="10"/>
    </row>
    <row r="8">
      <c r="A8" s="12" t="s">
        <v>87</v>
      </c>
      <c r="B8" s="13" t="s">
        <v>88</v>
      </c>
      <c r="C8" s="14">
        <v>2.5</v>
      </c>
      <c r="D8" s="14">
        <v>2.5</v>
      </c>
      <c r="F8" s="15" t="s">
        <v>89</v>
      </c>
      <c r="G8" s="15" t="s">
        <v>90</v>
      </c>
      <c r="H8" s="16">
        <v>2.0</v>
      </c>
      <c r="I8" s="17">
        <v>4.0</v>
      </c>
      <c r="J8" s="18" t="s">
        <v>91</v>
      </c>
      <c r="K8" s="19" t="str">
        <f t="shared" ref="K8:K9" si="2">F8&amp;J8</f>
        <v>Requisitospaginas de texto</v>
      </c>
    </row>
    <row r="9">
      <c r="A9" s="20"/>
      <c r="B9" s="13" t="s">
        <v>89</v>
      </c>
      <c r="C9" s="14">
        <v>0.0</v>
      </c>
      <c r="D9" s="14">
        <v>0.0</v>
      </c>
      <c r="F9" s="15" t="s">
        <v>92</v>
      </c>
      <c r="G9" s="15" t="s">
        <v>93</v>
      </c>
      <c r="H9" s="16">
        <v>10.0</v>
      </c>
      <c r="I9" s="17">
        <v>12.0</v>
      </c>
      <c r="J9" s="18" t="s">
        <v>91</v>
      </c>
      <c r="K9" s="19" t="str">
        <f t="shared" si="2"/>
        <v>Estrategiapaginas de texto</v>
      </c>
    </row>
    <row r="10">
      <c r="A10" s="20"/>
      <c r="B10" s="13" t="s">
        <v>94</v>
      </c>
      <c r="C10" s="14">
        <v>0.2</v>
      </c>
      <c r="D10" s="14">
        <v>4.0</v>
      </c>
      <c r="F10" s="21" t="s">
        <v>92</v>
      </c>
      <c r="G10" s="21" t="s">
        <v>95</v>
      </c>
      <c r="H10" s="22">
        <v>1.0</v>
      </c>
      <c r="I10" s="23">
        <v>1.0</v>
      </c>
      <c r="J10" s="24" t="s">
        <v>91</v>
      </c>
      <c r="K10" s="25" t="s">
        <v>96</v>
      </c>
    </row>
    <row r="11">
      <c r="A11" s="20"/>
      <c r="B11" s="13" t="s">
        <v>92</v>
      </c>
      <c r="C11" s="14">
        <v>1.2</v>
      </c>
      <c r="D11" s="14">
        <v>4.2</v>
      </c>
      <c r="F11" s="21" t="s">
        <v>92</v>
      </c>
      <c r="G11" s="21" t="s">
        <v>95</v>
      </c>
      <c r="H11" s="22">
        <v>1.0</v>
      </c>
      <c r="I11" s="23">
        <v>1.0</v>
      </c>
      <c r="J11" s="24" t="s">
        <v>91</v>
      </c>
      <c r="K11" s="25" t="s">
        <v>96</v>
      </c>
    </row>
    <row r="12">
      <c r="A12" s="20"/>
      <c r="B12" s="13" t="s">
        <v>97</v>
      </c>
      <c r="C12" s="14">
        <v>1.4</v>
      </c>
      <c r="D12" s="14">
        <v>3.0</v>
      </c>
      <c r="F12" s="15" t="s">
        <v>97</v>
      </c>
      <c r="G12" s="15" t="s">
        <v>98</v>
      </c>
      <c r="H12" s="16">
        <v>30.0</v>
      </c>
      <c r="I12" s="17">
        <v>32.0</v>
      </c>
      <c r="J12" s="18" t="s">
        <v>99</v>
      </c>
      <c r="K12" s="19" t="str">
        <f t="shared" ref="K12:K23" si="3">F12&amp;J12</f>
        <v>Planificacióntareas</v>
      </c>
    </row>
    <row r="13">
      <c r="A13" s="20"/>
      <c r="B13" s="13" t="s">
        <v>100</v>
      </c>
      <c r="C13" s="14">
        <v>0.8</v>
      </c>
      <c r="D13" s="14">
        <v>2.5</v>
      </c>
      <c r="F13" s="15" t="s">
        <v>97</v>
      </c>
      <c r="G13" s="15" t="s">
        <v>101</v>
      </c>
      <c r="H13" s="16">
        <v>3.0</v>
      </c>
      <c r="I13" s="17">
        <v>3.0</v>
      </c>
      <c r="J13" s="18" t="s">
        <v>91</v>
      </c>
      <c r="K13" s="19" t="str">
        <f t="shared" si="3"/>
        <v>Planificaciónpaginas de texto</v>
      </c>
    </row>
    <row r="14">
      <c r="A14" s="20"/>
      <c r="B14" s="13" t="s">
        <v>102</v>
      </c>
      <c r="C14" s="14">
        <v>0.5</v>
      </c>
      <c r="D14" s="14">
        <v>1.1</v>
      </c>
      <c r="F14" s="15" t="s">
        <v>97</v>
      </c>
      <c r="G14" s="15" t="s">
        <v>103</v>
      </c>
      <c r="H14" s="26">
        <v>1.0</v>
      </c>
      <c r="I14" s="27">
        <v>1.0</v>
      </c>
      <c r="J14" s="28" t="s">
        <v>91</v>
      </c>
      <c r="K14" s="19" t="str">
        <f t="shared" si="3"/>
        <v>Planificaciónpaginas de texto</v>
      </c>
    </row>
    <row r="15">
      <c r="A15" s="20"/>
      <c r="B15" s="13" t="s">
        <v>104</v>
      </c>
      <c r="C15" s="14">
        <v>1.3</v>
      </c>
      <c r="D15" s="14">
        <v>7.9</v>
      </c>
      <c r="F15" s="15" t="s">
        <v>100</v>
      </c>
      <c r="G15" s="15" t="s">
        <v>105</v>
      </c>
      <c r="H15" s="16">
        <v>2.0</v>
      </c>
      <c r="I15" s="17">
        <v>3.0</v>
      </c>
      <c r="J15" s="28" t="s">
        <v>106</v>
      </c>
      <c r="K15" s="19" t="str">
        <f t="shared" si="3"/>
        <v>Diseñointeracciones</v>
      </c>
    </row>
    <row r="16">
      <c r="A16" s="20"/>
      <c r="B16" s="13" t="s">
        <v>107</v>
      </c>
      <c r="C16" s="14">
        <v>1.6</v>
      </c>
      <c r="D16" s="14">
        <v>3.8</v>
      </c>
      <c r="F16" s="15" t="s">
        <v>100</v>
      </c>
      <c r="G16" s="15" t="s">
        <v>108</v>
      </c>
      <c r="H16" s="16">
        <v>2.0</v>
      </c>
      <c r="I16" s="17">
        <v>3.0</v>
      </c>
      <c r="J16" s="28" t="s">
        <v>109</v>
      </c>
      <c r="K16" s="19" t="str">
        <f t="shared" si="3"/>
        <v>Diseñoelementos de diseño</v>
      </c>
    </row>
    <row r="17">
      <c r="A17" s="20"/>
      <c r="B17" s="13" t="s">
        <v>110</v>
      </c>
      <c r="C17" s="14">
        <v>0.6</v>
      </c>
      <c r="D17" s="14">
        <v>1.0</v>
      </c>
      <c r="F17" s="15" t="s">
        <v>100</v>
      </c>
      <c r="G17" s="15" t="s">
        <v>111</v>
      </c>
      <c r="H17" s="16">
        <v>3.0</v>
      </c>
      <c r="I17" s="17">
        <v>3.0</v>
      </c>
      <c r="J17" s="28" t="s">
        <v>91</v>
      </c>
      <c r="K17" s="19" t="str">
        <f t="shared" si="3"/>
        <v>Diseñopaginas de texto</v>
      </c>
    </row>
    <row r="18">
      <c r="B18" s="29" t="s">
        <v>112</v>
      </c>
      <c r="C18" s="14">
        <v>10.4</v>
      </c>
      <c r="D18" s="14">
        <v>12.7</v>
      </c>
      <c r="F18" s="15" t="s">
        <v>100</v>
      </c>
      <c r="G18" s="15" t="s">
        <v>113</v>
      </c>
      <c r="H18" s="26">
        <v>1.0</v>
      </c>
      <c r="I18" s="30">
        <v>1.0</v>
      </c>
      <c r="J18" s="28" t="s">
        <v>91</v>
      </c>
      <c r="K18" s="31" t="str">
        <f t="shared" si="3"/>
        <v>Diseñopaginas de texto</v>
      </c>
    </row>
    <row r="19">
      <c r="F19" s="15" t="s">
        <v>104</v>
      </c>
      <c r="G19" s="15" t="s">
        <v>114</v>
      </c>
      <c r="H19" s="16">
        <v>1500.0</v>
      </c>
      <c r="I19" s="17">
        <v>1637.0</v>
      </c>
      <c r="J19" s="28" t="s">
        <v>115</v>
      </c>
      <c r="K19" s="19" t="str">
        <f t="shared" si="3"/>
        <v>CódigoLOC</v>
      </c>
    </row>
    <row r="20">
      <c r="F20" s="15" t="s">
        <v>104</v>
      </c>
      <c r="G20" s="15" t="s">
        <v>116</v>
      </c>
      <c r="H20" s="26">
        <v>1.0</v>
      </c>
      <c r="I20" s="30">
        <v>1.0</v>
      </c>
      <c r="J20" s="28" t="s">
        <v>91</v>
      </c>
      <c r="K20" s="19" t="str">
        <f t="shared" si="3"/>
        <v>Códigopaginas de texto</v>
      </c>
    </row>
    <row r="21">
      <c r="F21" s="15" t="s">
        <v>110</v>
      </c>
      <c r="G21" s="15" t="s">
        <v>117</v>
      </c>
      <c r="H21" s="16">
        <v>10.0</v>
      </c>
      <c r="I21" s="17">
        <v>6.0</v>
      </c>
      <c r="J21" s="28" t="s">
        <v>118</v>
      </c>
      <c r="K21" s="19" t="str">
        <f t="shared" si="3"/>
        <v>Pruebaselementos de prueba</v>
      </c>
    </row>
    <row r="22">
      <c r="F22" s="15" t="s">
        <v>110</v>
      </c>
      <c r="G22" s="15" t="s">
        <v>119</v>
      </c>
      <c r="H22" s="16">
        <v>2.0</v>
      </c>
      <c r="I22" s="17">
        <v>2.0</v>
      </c>
      <c r="J22" s="28" t="s">
        <v>118</v>
      </c>
      <c r="K22" s="19" t="str">
        <f t="shared" si="3"/>
        <v>Pruebaselementos de prueba</v>
      </c>
    </row>
    <row r="23">
      <c r="F23" s="15" t="s">
        <v>110</v>
      </c>
      <c r="G23" s="15" t="s">
        <v>120</v>
      </c>
      <c r="H23" s="16">
        <v>2.0</v>
      </c>
      <c r="I23" s="17">
        <v>3.0</v>
      </c>
      <c r="J23" s="28" t="s">
        <v>91</v>
      </c>
      <c r="K23" s="19" t="str">
        <f t="shared" si="3"/>
        <v>Pruebaspaginas de texto</v>
      </c>
    </row>
    <row r="24">
      <c r="F24" s="15"/>
      <c r="G24" s="15"/>
      <c r="H24" s="26"/>
      <c r="I24" s="30"/>
      <c r="J24" s="28"/>
      <c r="K24" s="31"/>
    </row>
    <row r="25">
      <c r="F25" s="15"/>
      <c r="G25" s="15"/>
      <c r="H25" s="26"/>
      <c r="I25" s="30"/>
      <c r="J25" s="28"/>
      <c r="K25" s="19"/>
    </row>
    <row r="26">
      <c r="F26" s="15"/>
      <c r="G26" s="15"/>
      <c r="H26" s="26"/>
      <c r="I26" s="30"/>
      <c r="J26" s="28"/>
      <c r="K26" s="31"/>
    </row>
    <row r="27">
      <c r="F27" s="15"/>
      <c r="G27" s="15"/>
      <c r="H27" s="26"/>
      <c r="I27" s="30"/>
      <c r="J27" s="28"/>
      <c r="K27" s="19"/>
    </row>
    <row r="28">
      <c r="F28" s="5"/>
      <c r="G28" s="5"/>
      <c r="H28" s="5"/>
      <c r="I28" s="32"/>
      <c r="K28" s="11" t="str">
        <f t="shared" ref="K28:K38" si="4">F28&amp;J28</f>
        <v/>
      </c>
    </row>
    <row r="29">
      <c r="F29" s="5"/>
      <c r="G29" s="5"/>
      <c r="H29" s="5"/>
      <c r="I29" s="5"/>
      <c r="K29" s="11" t="str">
        <f t="shared" si="4"/>
        <v/>
      </c>
    </row>
    <row r="30">
      <c r="F30" s="5"/>
      <c r="G30" s="5"/>
      <c r="H30" s="5"/>
      <c r="I30" s="5"/>
      <c r="K30" s="11" t="str">
        <f t="shared" si="4"/>
        <v/>
      </c>
    </row>
    <row r="31">
      <c r="F31" s="5"/>
      <c r="G31" s="5"/>
      <c r="H31" s="5"/>
      <c r="I31" s="5"/>
      <c r="K31" s="11" t="str">
        <f t="shared" si="4"/>
        <v/>
      </c>
    </row>
    <row r="32">
      <c r="F32" s="5"/>
      <c r="G32" s="5"/>
      <c r="H32" s="5"/>
      <c r="I32" s="5"/>
      <c r="K32" s="11" t="str">
        <f t="shared" si="4"/>
        <v/>
      </c>
    </row>
    <row r="33">
      <c r="F33" s="5"/>
      <c r="G33" s="5"/>
      <c r="H33" s="5"/>
      <c r="I33" s="5"/>
      <c r="K33" s="11" t="str">
        <f t="shared" si="4"/>
        <v/>
      </c>
    </row>
    <row r="34">
      <c r="F34" s="5"/>
      <c r="G34" s="5"/>
      <c r="H34" s="5"/>
      <c r="I34" s="5"/>
      <c r="K34" s="11" t="str">
        <f t="shared" si="4"/>
        <v/>
      </c>
    </row>
    <row r="35">
      <c r="F35" s="5"/>
      <c r="G35" s="5"/>
      <c r="H35" s="5"/>
      <c r="I35" s="5"/>
      <c r="K35" s="11" t="str">
        <f t="shared" si="4"/>
        <v/>
      </c>
    </row>
    <row r="36">
      <c r="F36" s="5"/>
      <c r="G36" s="5"/>
      <c r="H36" s="5"/>
      <c r="I36" s="5"/>
      <c r="K36" s="11" t="str">
        <f t="shared" si="4"/>
        <v/>
      </c>
    </row>
    <row r="37">
      <c r="F37" s="5"/>
      <c r="G37" s="5"/>
      <c r="H37" s="5"/>
      <c r="I37" s="5"/>
      <c r="K37" s="11" t="str">
        <f t="shared" si="4"/>
        <v/>
      </c>
    </row>
    <row r="38">
      <c r="F38" s="5"/>
      <c r="G38" s="5"/>
      <c r="H38" s="5"/>
      <c r="I38" s="5"/>
      <c r="K38" s="11" t="str">
        <f t="shared" si="4"/>
        <v/>
      </c>
    </row>
    <row r="39">
      <c r="F39" s="5"/>
      <c r="G39" s="5"/>
      <c r="H39" s="5"/>
      <c r="I39" s="5"/>
    </row>
    <row r="40">
      <c r="F40" s="5"/>
      <c r="G40" s="5"/>
      <c r="H40" s="5"/>
      <c r="I40" s="5"/>
    </row>
    <row r="41">
      <c r="F41" s="5"/>
      <c r="G41" s="5"/>
      <c r="H41" s="5"/>
      <c r="I41" s="5"/>
    </row>
    <row r="42">
      <c r="F42" s="5"/>
      <c r="G42" s="5"/>
      <c r="H42" s="5"/>
      <c r="I42" s="5"/>
    </row>
    <row r="43">
      <c r="F43" s="5"/>
      <c r="G43" s="5"/>
      <c r="H43" s="5"/>
      <c r="I43" s="5"/>
    </row>
    <row r="44">
      <c r="F44" s="5"/>
      <c r="G44" s="5"/>
      <c r="H44" s="5"/>
      <c r="I44" s="5"/>
    </row>
    <row r="45">
      <c r="F45" s="5"/>
      <c r="G45" s="5"/>
      <c r="H45" s="5"/>
      <c r="I45" s="5"/>
    </row>
    <row r="46">
      <c r="F46" s="5"/>
      <c r="G46" s="5"/>
      <c r="H46" s="5"/>
      <c r="I46" s="5"/>
    </row>
    <row r="47">
      <c r="F47" s="5"/>
      <c r="G47" s="5"/>
      <c r="H47" s="5"/>
      <c r="I47" s="5"/>
    </row>
    <row r="48">
      <c r="F48" s="5"/>
      <c r="G48" s="5"/>
      <c r="H48" s="5"/>
      <c r="I48" s="5"/>
    </row>
    <row r="49">
      <c r="F49" s="5"/>
      <c r="G49" s="5"/>
      <c r="H49" s="5"/>
      <c r="I49" s="5"/>
    </row>
    <row r="50">
      <c r="F50" s="5"/>
      <c r="G50" s="5"/>
      <c r="H50" s="5"/>
      <c r="I50" s="5"/>
    </row>
    <row r="51">
      <c r="F51" s="5"/>
      <c r="G51" s="5"/>
      <c r="H51" s="5"/>
      <c r="I51" s="5"/>
    </row>
    <row r="52">
      <c r="F52" s="5"/>
      <c r="G52" s="5"/>
      <c r="H52" s="5"/>
      <c r="I52" s="5"/>
    </row>
    <row r="53">
      <c r="F53" s="5"/>
      <c r="G53" s="5"/>
      <c r="H53" s="5"/>
      <c r="I53" s="5"/>
    </row>
    <row r="54">
      <c r="F54" s="5"/>
      <c r="G54" s="5"/>
      <c r="H54" s="5"/>
      <c r="I54" s="5"/>
    </row>
    <row r="55">
      <c r="F55" s="5"/>
      <c r="G55" s="5"/>
      <c r="H55" s="5"/>
      <c r="I55" s="5"/>
    </row>
    <row r="56">
      <c r="F56" s="5"/>
      <c r="G56" s="5"/>
      <c r="H56" s="5"/>
      <c r="I56" s="5"/>
    </row>
    <row r="57">
      <c r="F57" s="5"/>
      <c r="G57" s="5"/>
      <c r="H57" s="5"/>
      <c r="I57" s="5"/>
    </row>
    <row r="58">
      <c r="F58" s="5"/>
      <c r="G58" s="5"/>
      <c r="H58" s="5"/>
      <c r="I58" s="5"/>
    </row>
    <row r="59">
      <c r="F59" s="5"/>
      <c r="G59" s="5"/>
      <c r="H59" s="5"/>
      <c r="I59" s="5"/>
    </row>
    <row r="60">
      <c r="F60" s="5"/>
      <c r="G60" s="5"/>
      <c r="H60" s="5"/>
      <c r="I60" s="5"/>
    </row>
    <row r="61">
      <c r="F61" s="5"/>
      <c r="G61" s="5"/>
      <c r="H61" s="5"/>
      <c r="I61" s="5"/>
    </row>
    <row r="62">
      <c r="F62" s="5"/>
      <c r="G62" s="5"/>
      <c r="H62" s="5"/>
      <c r="I62" s="5"/>
    </row>
    <row r="63">
      <c r="F63" s="5"/>
      <c r="G63" s="5"/>
      <c r="H63" s="5"/>
      <c r="I63" s="5"/>
    </row>
    <row r="64">
      <c r="F64" s="5"/>
      <c r="G64" s="5"/>
      <c r="H64" s="5"/>
      <c r="I64" s="5"/>
    </row>
    <row r="65">
      <c r="F65" s="5"/>
      <c r="G65" s="5"/>
      <c r="H65" s="5"/>
      <c r="I65" s="5"/>
    </row>
    <row r="66">
      <c r="F66" s="5"/>
      <c r="G66" s="5"/>
      <c r="H66" s="5"/>
      <c r="I66" s="5"/>
    </row>
    <row r="67">
      <c r="F67" s="5"/>
      <c r="G67" s="5"/>
      <c r="H67" s="5"/>
      <c r="I67" s="5"/>
    </row>
    <row r="68">
      <c r="F68" s="5"/>
      <c r="G68" s="5"/>
      <c r="H68" s="5"/>
      <c r="I68" s="5"/>
    </row>
    <row r="69">
      <c r="F69" s="5"/>
      <c r="G69" s="5"/>
      <c r="H69" s="5"/>
      <c r="I69" s="5"/>
    </row>
    <row r="70">
      <c r="F70" s="5"/>
      <c r="G70" s="5"/>
      <c r="H70" s="5"/>
      <c r="I70" s="5"/>
    </row>
    <row r="71">
      <c r="F71" s="5"/>
      <c r="G71" s="5"/>
      <c r="H71" s="5"/>
      <c r="I71" s="5"/>
    </row>
    <row r="72">
      <c r="F72" s="5"/>
      <c r="G72" s="5"/>
      <c r="H72" s="5"/>
      <c r="I72" s="5"/>
    </row>
    <row r="73">
      <c r="F73" s="5"/>
      <c r="G73" s="5"/>
      <c r="H73" s="5"/>
      <c r="I73" s="5"/>
    </row>
    <row r="74">
      <c r="F74" s="5"/>
      <c r="G74" s="5"/>
      <c r="H74" s="5"/>
      <c r="I74" s="5"/>
    </row>
    <row r="75">
      <c r="F75" s="5"/>
      <c r="G75" s="5"/>
      <c r="H75" s="5"/>
      <c r="I75" s="5"/>
    </row>
    <row r="76">
      <c r="F76" s="5"/>
      <c r="G76" s="5"/>
      <c r="H76" s="5"/>
      <c r="I76" s="5"/>
    </row>
    <row r="77">
      <c r="F77" s="5"/>
      <c r="G77" s="5"/>
      <c r="H77" s="5"/>
      <c r="I77" s="5"/>
    </row>
    <row r="78">
      <c r="F78" s="5"/>
      <c r="G78" s="5"/>
      <c r="H78" s="5"/>
      <c r="I78" s="5"/>
    </row>
    <row r="79">
      <c r="F79" s="5"/>
      <c r="G79" s="5"/>
      <c r="H79" s="5"/>
      <c r="I79" s="5"/>
    </row>
    <row r="80">
      <c r="F80" s="5"/>
      <c r="G80" s="5"/>
      <c r="H80" s="5"/>
      <c r="I80" s="5"/>
    </row>
    <row r="81">
      <c r="F81" s="1"/>
    </row>
    <row r="82">
      <c r="F82" s="1"/>
    </row>
    <row r="83">
      <c r="F83" s="1"/>
    </row>
  </sheetData>
  <mergeCells count="1">
    <mergeCell ref="A8:A17"/>
  </mergeCells>
  <dataValidations>
    <dataValidation type="list" allowBlank="1" showErrorMessage="1" sqref="F10:F83">
      <formula1>$B$8:$B$17</formula1>
    </dataValidation>
    <dataValidation type="list" allowBlank="1" showErrorMessage="1" sqref="F8:F9">
      <formula1>$B$8:$B$18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22"/>
    <col customWidth="1" min="3" max="10" width="10.56"/>
    <col customWidth="1" min="11" max="11" width="24.44"/>
    <col customWidth="1" min="12" max="26" width="10.56"/>
  </cols>
  <sheetData>
    <row r="1">
      <c r="A1" s="6" t="s">
        <v>121</v>
      </c>
    </row>
    <row r="3">
      <c r="A3" s="1" t="s">
        <v>122</v>
      </c>
      <c r="C3" s="1" t="s">
        <v>123</v>
      </c>
      <c r="D3" s="1" t="s">
        <v>74</v>
      </c>
      <c r="G3" s="1" t="s">
        <v>124</v>
      </c>
      <c r="J3" s="1" t="s">
        <v>125</v>
      </c>
      <c r="L3" s="1" t="s">
        <v>123</v>
      </c>
      <c r="M3" s="1" t="s">
        <v>74</v>
      </c>
      <c r="P3" s="1" t="s">
        <v>124</v>
      </c>
    </row>
    <row r="4">
      <c r="B4" s="1" t="str">
        <f>'Datos proyecto'!B8</f>
        <v>Lanzamiento</v>
      </c>
      <c r="C4" s="9">
        <v>1.0</v>
      </c>
      <c r="D4" s="4">
        <f>COUNTIF('Lista defectos'!$B$3:B$303,B4)</f>
        <v>0</v>
      </c>
      <c r="G4" s="33">
        <f>G19*'Datos proyecto'!C8</f>
        <v>0.625</v>
      </c>
      <c r="K4" s="1" t="str">
        <f>'Datos proyecto'!B8</f>
        <v>Lanzamiento</v>
      </c>
      <c r="L4" s="9">
        <v>1.0</v>
      </c>
      <c r="M4" s="4">
        <f>COUNTIF('Lista defectos'!$C$3:$C$303,$B4)</f>
        <v>0</v>
      </c>
      <c r="P4" s="33"/>
    </row>
    <row r="5">
      <c r="B5" s="1" t="str">
        <f>'Datos proyecto'!B9</f>
        <v>Requisitos</v>
      </c>
      <c r="C5" s="9">
        <v>0.0</v>
      </c>
      <c r="D5" s="4">
        <f>COUNTIF('Lista defectos'!$B$3:B$303,B5)</f>
        <v>0</v>
      </c>
      <c r="G5" s="33"/>
      <c r="K5" s="1" t="str">
        <f>'Datos proyecto'!B9</f>
        <v>Requisitos</v>
      </c>
      <c r="L5" s="9">
        <v>0.0</v>
      </c>
      <c r="M5" s="4">
        <f>COUNTIF('Lista defectos'!$C$3:$C$303,$B5)</f>
        <v>0</v>
      </c>
      <c r="P5" s="33">
        <f>P20*'Datos proyecto'!C9</f>
        <v>0</v>
      </c>
    </row>
    <row r="6">
      <c r="B6" s="1" t="str">
        <f>'Datos proyecto'!B10</f>
        <v>Inspección de Requisitos</v>
      </c>
      <c r="C6" s="9">
        <v>0.0</v>
      </c>
      <c r="D6" s="4">
        <f>COUNTIF('Lista defectos'!$B$3:B$303,B6)</f>
        <v>0</v>
      </c>
      <c r="G6" s="33">
        <f>G21*'Datos proyecto'!C10</f>
        <v>0.05</v>
      </c>
      <c r="K6" s="1" t="str">
        <f>'Datos proyecto'!B10</f>
        <v>Inspección de Requisitos</v>
      </c>
      <c r="L6" s="9">
        <v>0.0</v>
      </c>
      <c r="M6" s="4">
        <f>COUNTIF('Lista defectos'!$C$3:$C$303,$B6)</f>
        <v>0</v>
      </c>
      <c r="P6" s="33"/>
    </row>
    <row r="7">
      <c r="B7" s="1" t="str">
        <f>'Datos proyecto'!B11</f>
        <v>Estrategia</v>
      </c>
      <c r="C7" s="9">
        <v>1.0</v>
      </c>
      <c r="D7" s="4">
        <f>COUNTIF('Lista defectos'!$B$3:B$303,B7)</f>
        <v>0</v>
      </c>
      <c r="G7" s="33"/>
      <c r="K7" s="1" t="str">
        <f>'Datos proyecto'!B11</f>
        <v>Estrategia</v>
      </c>
      <c r="L7" s="9">
        <v>1.0</v>
      </c>
      <c r="M7" s="4">
        <f>COUNTIF('Lista defectos'!$C$3:$C$303,$B7)</f>
        <v>0</v>
      </c>
      <c r="P7" s="33">
        <f>P22*'Datos proyecto'!C11</f>
        <v>0.6</v>
      </c>
    </row>
    <row r="8">
      <c r="B8" s="1" t="str">
        <f>'Datos proyecto'!B12</f>
        <v>Planificación</v>
      </c>
      <c r="C8" s="9">
        <v>2.0</v>
      </c>
      <c r="D8" s="4">
        <f>COUNTIF('Lista defectos'!$B$3:B$303,B8)</f>
        <v>0</v>
      </c>
      <c r="G8" s="33">
        <f>G23*'Datos proyecto'!C12</f>
        <v>2.8</v>
      </c>
      <c r="K8" s="1" t="str">
        <f>'Datos proyecto'!B12</f>
        <v>Planificación</v>
      </c>
      <c r="L8" s="9">
        <v>2.0</v>
      </c>
      <c r="M8" s="4">
        <f>COUNTIF('Lista defectos'!$C$3:$C$303,$B8)</f>
        <v>0</v>
      </c>
      <c r="P8" s="33"/>
    </row>
    <row r="9">
      <c r="B9" s="1" t="str">
        <f>'Datos proyecto'!B13</f>
        <v>Diseño</v>
      </c>
      <c r="C9" s="9">
        <v>2.0</v>
      </c>
      <c r="D9" s="4">
        <f>COUNTIF('Lista defectos'!$B$3:B$303,B9)</f>
        <v>0</v>
      </c>
      <c r="G9" s="33"/>
      <c r="K9" s="1" t="str">
        <f>'Datos proyecto'!B13</f>
        <v>Diseño</v>
      </c>
      <c r="L9" s="5">
        <v>0.0</v>
      </c>
      <c r="M9" s="4">
        <f>COUNTIF('Lista defectos'!$C$3:$C$303,$B9)</f>
        <v>0</v>
      </c>
      <c r="P9" s="33">
        <f>P24*'Datos proyecto'!C13</f>
        <v>1.6</v>
      </c>
    </row>
    <row r="10">
      <c r="B10" s="1" t="str">
        <f>'Datos proyecto'!B14</f>
        <v>Inspección de diseño</v>
      </c>
      <c r="C10" s="9">
        <v>0.0</v>
      </c>
      <c r="D10" s="4">
        <f>COUNTIF('Lista defectos'!$B$3:B$303,B10)</f>
        <v>0</v>
      </c>
      <c r="G10" s="33">
        <f>G25*'Datos proyecto'!C14</f>
        <v>2</v>
      </c>
      <c r="K10" s="1" t="str">
        <f>'Datos proyecto'!B14</f>
        <v>Inspección de diseño</v>
      </c>
      <c r="L10" s="9">
        <v>2.0</v>
      </c>
      <c r="M10" s="4">
        <f>COUNTIF('Lista defectos'!$C$3:$C$303,$B10)</f>
        <v>0</v>
      </c>
      <c r="P10" s="33"/>
    </row>
    <row r="11">
      <c r="B11" s="1" t="str">
        <f>'Datos proyecto'!B15</f>
        <v>Código</v>
      </c>
      <c r="C11" s="9">
        <v>10.0</v>
      </c>
      <c r="D11" s="4">
        <f>COUNTIF('Lista defectos'!$B$3:B$303,B11)</f>
        <v>2</v>
      </c>
      <c r="G11" s="33"/>
      <c r="K11" s="1" t="str">
        <f>'Datos proyecto'!B15</f>
        <v>Código</v>
      </c>
      <c r="L11" s="5">
        <v>6.0</v>
      </c>
      <c r="M11" s="4">
        <f>COUNTIF('Lista defectos'!$C$3:$C$303,$B11)</f>
        <v>0</v>
      </c>
      <c r="P11" s="33">
        <f>P26*'Datos proyecto'!C15</f>
        <v>7.8</v>
      </c>
    </row>
    <row r="12">
      <c r="B12" s="1" t="str">
        <f>'Datos proyecto'!B16</f>
        <v>Revisión de código</v>
      </c>
      <c r="C12" s="5">
        <v>0.0</v>
      </c>
      <c r="D12" s="4">
        <f>COUNTIF('Lista defectos'!$B$3:B$303,B12)</f>
        <v>0</v>
      </c>
      <c r="G12" s="33">
        <f>G27*'Datos proyecto'!C16</f>
        <v>0.32</v>
      </c>
      <c r="K12" s="1" t="str">
        <f>'Datos proyecto'!B16</f>
        <v>Revisión de código</v>
      </c>
      <c r="L12" s="9">
        <v>3.0</v>
      </c>
      <c r="M12" s="4">
        <f>COUNTIF('Lista defectos'!$C$3:$C$303,$B12)</f>
        <v>1</v>
      </c>
      <c r="P12" s="33"/>
    </row>
    <row r="13">
      <c r="B13" s="1" t="str">
        <f>'Datos proyecto'!B17</f>
        <v>Pruebas</v>
      </c>
      <c r="C13" s="5">
        <v>0.0</v>
      </c>
      <c r="D13" s="4">
        <f>COUNTIF('Lista defectos'!$B$3:B$303,B13)</f>
        <v>0</v>
      </c>
      <c r="G13" s="33"/>
      <c r="K13" s="1" t="str">
        <f>'Datos proyecto'!B17</f>
        <v>Pruebas</v>
      </c>
      <c r="L13" s="9">
        <v>1.0</v>
      </c>
      <c r="M13" s="4">
        <f>COUNTIF('Lista defectos'!$C$3:$C$303,$B13)</f>
        <v>1</v>
      </c>
      <c r="P13" s="33"/>
    </row>
    <row r="14">
      <c r="B14" s="1" t="s">
        <v>126</v>
      </c>
      <c r="C14" s="34">
        <f t="shared" ref="C14:D14" si="1">SUM(C4:C13)</f>
        <v>16</v>
      </c>
      <c r="D14" s="34">
        <f t="shared" si="1"/>
        <v>2</v>
      </c>
      <c r="K14" s="1" t="s">
        <v>126</v>
      </c>
      <c r="L14" s="34">
        <f t="shared" ref="L14:M14" si="2">SUM(L4:L13)</f>
        <v>16</v>
      </c>
      <c r="M14" s="34">
        <f t="shared" si="2"/>
        <v>2</v>
      </c>
    </row>
    <row r="18">
      <c r="A18" s="1" t="s">
        <v>127</v>
      </c>
      <c r="C18" s="1" t="s">
        <v>128</v>
      </c>
      <c r="D18" s="1" t="s">
        <v>74</v>
      </c>
      <c r="G18" s="1" t="s">
        <v>124</v>
      </c>
      <c r="J18" s="1" t="s">
        <v>129</v>
      </c>
      <c r="L18" s="1" t="s">
        <v>128</v>
      </c>
      <c r="M18" s="1" t="s">
        <v>74</v>
      </c>
      <c r="P18" s="1" t="s">
        <v>124</v>
      </c>
    </row>
    <row r="19">
      <c r="B19" s="1" t="str">
        <f>'Datos proyecto'!$B8</f>
        <v>Lanzamiento</v>
      </c>
      <c r="C19" s="35">
        <f>IFERROR(C4/'Datos proyecto'!C8,0)</f>
        <v>0.4</v>
      </c>
      <c r="D19" s="35">
        <f>IFERROR(D4/'Datos proyecto'!D8,0)</f>
        <v>0</v>
      </c>
      <c r="E19" s="1" t="s">
        <v>130</v>
      </c>
      <c r="G19" s="33">
        <v>0.25</v>
      </c>
      <c r="K19" s="1" t="str">
        <f>'Datos proyecto'!$B8</f>
        <v>Lanzamiento</v>
      </c>
      <c r="L19" s="35">
        <f>IFERROR(L4/'Datos proyecto'!C8,0)</f>
        <v>0.4</v>
      </c>
      <c r="M19" s="35">
        <f>IFERROR(M4/'Datos proyecto'!D8,0)</f>
        <v>0</v>
      </c>
      <c r="N19" s="1" t="s">
        <v>130</v>
      </c>
      <c r="P19" s="33"/>
    </row>
    <row r="20">
      <c r="B20" s="1" t="str">
        <f>'Datos proyecto'!$B9</f>
        <v>Requisitos</v>
      </c>
      <c r="C20" s="35">
        <f>IFERROR(C5/'Datos proyecto'!C9,0)</f>
        <v>0</v>
      </c>
      <c r="D20" s="35">
        <f>IFERROR(D5/'Datos proyecto'!D9,0)</f>
        <v>0</v>
      </c>
      <c r="E20" s="1" t="s">
        <v>130</v>
      </c>
      <c r="G20" s="33"/>
      <c r="K20" s="1" t="str">
        <f>'Datos proyecto'!$B9</f>
        <v>Requisitos</v>
      </c>
      <c r="L20" s="35">
        <f>IFERROR(L5/'Datos proyecto'!C9,0)</f>
        <v>0</v>
      </c>
      <c r="M20" s="35">
        <f>IFERROR(M5/'Datos proyecto'!D9,0)</f>
        <v>0</v>
      </c>
      <c r="N20" s="1" t="s">
        <v>130</v>
      </c>
      <c r="P20" s="33">
        <v>0.5</v>
      </c>
    </row>
    <row r="21">
      <c r="B21" s="1" t="str">
        <f>'Datos proyecto'!$B10</f>
        <v>Inspección de Requisitos</v>
      </c>
      <c r="C21" s="35">
        <f>IFERROR(C6/'Datos proyecto'!C10,0)</f>
        <v>0</v>
      </c>
      <c r="D21" s="35">
        <f>IFERROR(D6/'Datos proyecto'!D10,0)</f>
        <v>0</v>
      </c>
      <c r="E21" s="1" t="s">
        <v>130</v>
      </c>
      <c r="G21" s="33">
        <v>0.25</v>
      </c>
      <c r="K21" s="1" t="str">
        <f>'Datos proyecto'!$B10</f>
        <v>Inspección de Requisitos</v>
      </c>
      <c r="L21" s="35">
        <f>IFERROR(L6/'Datos proyecto'!C10,0)</f>
        <v>0</v>
      </c>
      <c r="M21" s="35">
        <f>IFERROR(M6/'Datos proyecto'!D10,0)</f>
        <v>0</v>
      </c>
      <c r="N21" s="1" t="s">
        <v>130</v>
      </c>
      <c r="P21" s="33"/>
    </row>
    <row r="22">
      <c r="B22" s="1" t="str">
        <f>'Datos proyecto'!$B11</f>
        <v>Estrategia</v>
      </c>
      <c r="C22" s="35">
        <f>IFERROR(C7/'Datos proyecto'!C11,0)</f>
        <v>0.8333333333</v>
      </c>
      <c r="D22" s="35">
        <f>IFERROR(D7/'Datos proyecto'!D11,0)</f>
        <v>0</v>
      </c>
      <c r="E22" s="1" t="s">
        <v>130</v>
      </c>
      <c r="G22" s="33"/>
      <c r="K22" s="1" t="str">
        <f>'Datos proyecto'!$B11</f>
        <v>Estrategia</v>
      </c>
      <c r="L22" s="35">
        <f>IFERROR(L7/'Datos proyecto'!C11,0)</f>
        <v>0.8333333333</v>
      </c>
      <c r="M22" s="35">
        <f>IFERROR(M7/'Datos proyecto'!D11,0)</f>
        <v>0</v>
      </c>
      <c r="N22" s="1" t="s">
        <v>130</v>
      </c>
      <c r="P22" s="33">
        <v>0.5</v>
      </c>
    </row>
    <row r="23">
      <c r="B23" s="1" t="str">
        <f>'Datos proyecto'!$B12</f>
        <v>Planificación</v>
      </c>
      <c r="C23" s="35">
        <f>IFERROR(C8/'Datos proyecto'!C12,0)</f>
        <v>1.428571429</v>
      </c>
      <c r="D23" s="35">
        <f>IFERROR(D8/'Datos proyecto'!D12,0)</f>
        <v>0</v>
      </c>
      <c r="E23" s="1" t="s">
        <v>130</v>
      </c>
      <c r="G23" s="33">
        <v>2.0</v>
      </c>
      <c r="K23" s="1" t="str">
        <f>'Datos proyecto'!$B12</f>
        <v>Planificación</v>
      </c>
      <c r="L23" s="35">
        <f>IFERROR(L8/'Datos proyecto'!C12,0)</f>
        <v>1.428571429</v>
      </c>
      <c r="M23" s="35">
        <f>IFERROR(M8/'Datos proyecto'!D12,0)</f>
        <v>0</v>
      </c>
      <c r="N23" s="1" t="s">
        <v>130</v>
      </c>
      <c r="P23" s="33"/>
    </row>
    <row r="24">
      <c r="B24" s="1" t="str">
        <f>'Datos proyecto'!$B13</f>
        <v>Diseño</v>
      </c>
      <c r="C24" s="35">
        <f>IFERROR(C9/'Datos proyecto'!C13,0)</f>
        <v>2.5</v>
      </c>
      <c r="D24" s="35">
        <f>IFERROR(D9/'Datos proyecto'!D13,0)</f>
        <v>0</v>
      </c>
      <c r="E24" s="1" t="s">
        <v>130</v>
      </c>
      <c r="G24" s="33"/>
      <c r="K24" s="1" t="str">
        <f>'Datos proyecto'!$B13</f>
        <v>Diseño</v>
      </c>
      <c r="L24" s="35">
        <f>IFERROR(L9/'Datos proyecto'!C13,0)</f>
        <v>0</v>
      </c>
      <c r="M24" s="35">
        <f>IFERROR(M9/'Datos proyecto'!D13,0)</f>
        <v>0</v>
      </c>
      <c r="N24" s="1" t="s">
        <v>130</v>
      </c>
      <c r="P24" s="33">
        <v>2.0</v>
      </c>
    </row>
    <row r="25">
      <c r="B25" s="1" t="str">
        <f>'Datos proyecto'!$B14</f>
        <v>Inspección de diseño</v>
      </c>
      <c r="C25" s="35">
        <f>IFERROR(C10/'Datos proyecto'!C14,0)</f>
        <v>0</v>
      </c>
      <c r="D25" s="35">
        <f>IFERROR(D10/'Datos proyecto'!D14,0)</f>
        <v>0</v>
      </c>
      <c r="E25" s="1" t="s">
        <v>130</v>
      </c>
      <c r="G25" s="33">
        <v>4.0</v>
      </c>
      <c r="K25" s="1" t="str">
        <f>'Datos proyecto'!$B14</f>
        <v>Inspección de diseño</v>
      </c>
      <c r="L25" s="35">
        <f>IFERROR(L10/'Datos proyecto'!C14,0)</f>
        <v>4</v>
      </c>
      <c r="M25" s="35">
        <f>IFERROR(M10/'Datos proyecto'!D14,0)</f>
        <v>0</v>
      </c>
      <c r="N25" s="1" t="s">
        <v>130</v>
      </c>
      <c r="P25" s="33"/>
    </row>
    <row r="26">
      <c r="B26" s="1" t="str">
        <f>'Datos proyecto'!$B15</f>
        <v>Código</v>
      </c>
      <c r="C26" s="35">
        <f>IFERROR(C11/'Datos proyecto'!C15,0)</f>
        <v>7.692307692</v>
      </c>
      <c r="D26" s="35">
        <f>IFERROR(D11/'Datos proyecto'!D15,0)</f>
        <v>0.253164557</v>
      </c>
      <c r="E26" s="1" t="s">
        <v>130</v>
      </c>
      <c r="G26" s="33"/>
      <c r="K26" s="1" t="str">
        <f>'Datos proyecto'!$B15</f>
        <v>Código</v>
      </c>
      <c r="L26" s="35">
        <f>IFERROR(L11/'Datos proyecto'!C15,0)</f>
        <v>4.615384615</v>
      </c>
      <c r="M26" s="35">
        <f>IFERROR(M11/'Datos proyecto'!D15,0)</f>
        <v>0</v>
      </c>
      <c r="N26" s="1" t="s">
        <v>130</v>
      </c>
      <c r="P26" s="33">
        <v>6.0</v>
      </c>
    </row>
    <row r="27">
      <c r="B27" s="1" t="str">
        <f>'Datos proyecto'!$B16</f>
        <v>Revisión de código</v>
      </c>
      <c r="C27" s="35">
        <f>IFERROR(C12/'Datos proyecto'!C16,0)</f>
        <v>0</v>
      </c>
      <c r="D27" s="35">
        <f>IFERROR(D12/'Datos proyecto'!D16,0)</f>
        <v>0</v>
      </c>
      <c r="E27" s="1" t="s">
        <v>130</v>
      </c>
      <c r="G27" s="33">
        <v>0.2</v>
      </c>
      <c r="K27" s="1" t="str">
        <f>'Datos proyecto'!$B16</f>
        <v>Revisión de código</v>
      </c>
      <c r="L27" s="35">
        <f>IFERROR(L12/'Datos proyecto'!C16,0)</f>
        <v>1.875</v>
      </c>
      <c r="M27" s="35">
        <f>IFERROR(M12/'Datos proyecto'!D16,0)</f>
        <v>0.2631578947</v>
      </c>
      <c r="N27" s="1" t="s">
        <v>130</v>
      </c>
      <c r="P27" s="33"/>
    </row>
    <row r="28">
      <c r="B28" s="1" t="str">
        <f>'Datos proyecto'!$B17</f>
        <v>Pruebas</v>
      </c>
      <c r="C28" s="35">
        <f>IFERROR(C13/'Datos proyecto'!C17,0)</f>
        <v>0</v>
      </c>
      <c r="D28" s="35">
        <f>IFERROR(D13/'Datos proyecto'!D17,0)</f>
        <v>0</v>
      </c>
      <c r="E28" s="1" t="s">
        <v>130</v>
      </c>
      <c r="G28" s="33"/>
      <c r="K28" s="1" t="str">
        <f>'Datos proyecto'!$B17</f>
        <v>Pruebas</v>
      </c>
      <c r="L28" s="35">
        <f>IFERROR(L13/'Datos proyecto'!C17,0)</f>
        <v>1.666666667</v>
      </c>
      <c r="M28" s="35">
        <f>IFERROR(M13/'Datos proyecto'!D17,0)</f>
        <v>1</v>
      </c>
      <c r="N28" s="1" t="s">
        <v>130</v>
      </c>
      <c r="P28" s="3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22"/>
    <col customWidth="1" min="2" max="2" width="99.33"/>
    <col customWidth="1" min="3" max="26" width="10.56"/>
  </cols>
  <sheetData>
    <row r="1" ht="36.75" customHeight="1">
      <c r="A1" s="36" t="s">
        <v>131</v>
      </c>
      <c r="B1" s="36" t="s">
        <v>132</v>
      </c>
    </row>
    <row r="2">
      <c r="A2" s="37" t="s">
        <v>133</v>
      </c>
      <c r="B2" s="38" t="s">
        <v>134</v>
      </c>
    </row>
    <row r="3">
      <c r="A3" s="37" t="s">
        <v>135</v>
      </c>
      <c r="B3" s="38" t="s">
        <v>136</v>
      </c>
    </row>
    <row r="4">
      <c r="A4" s="37" t="s">
        <v>137</v>
      </c>
      <c r="B4" s="38" t="s">
        <v>138</v>
      </c>
    </row>
    <row r="5">
      <c r="A5" s="37" t="s">
        <v>139</v>
      </c>
      <c r="B5" s="38" t="s">
        <v>140</v>
      </c>
    </row>
    <row r="6">
      <c r="A6" s="37" t="s">
        <v>141</v>
      </c>
      <c r="B6" s="38" t="s">
        <v>142</v>
      </c>
    </row>
    <row r="7">
      <c r="A7" s="37" t="s">
        <v>143</v>
      </c>
      <c r="B7" s="38" t="s">
        <v>144</v>
      </c>
    </row>
    <row r="8">
      <c r="A8" s="37" t="s">
        <v>145</v>
      </c>
      <c r="B8" s="38" t="s">
        <v>146</v>
      </c>
    </row>
    <row r="9">
      <c r="A9" s="37" t="s">
        <v>147</v>
      </c>
      <c r="B9" s="38" t="s">
        <v>148</v>
      </c>
    </row>
    <row r="10">
      <c r="A10" s="37" t="s">
        <v>149</v>
      </c>
      <c r="B10" s="38" t="s">
        <v>150</v>
      </c>
    </row>
    <row r="11">
      <c r="A11" s="37" t="s">
        <v>151</v>
      </c>
      <c r="B11" s="38" t="s">
        <v>152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22"/>
    <col customWidth="1" min="2" max="2" width="17.0"/>
    <col customWidth="1" min="3" max="3" width="18.22"/>
    <col customWidth="1" min="4" max="4" width="19.33"/>
    <col customWidth="1" min="5" max="5" width="18.67"/>
    <col customWidth="1" min="6" max="6" width="23.78"/>
    <col customWidth="1" min="7" max="7" width="52.0"/>
    <col customWidth="1" min="8" max="8" width="24.78"/>
    <col customWidth="1" min="9" max="26" width="10.56"/>
  </cols>
  <sheetData>
    <row r="1">
      <c r="A1" s="6" t="s">
        <v>153</v>
      </c>
      <c r="B1" s="10"/>
      <c r="C1" s="10"/>
      <c r="D1" s="10"/>
      <c r="E1" s="10"/>
      <c r="F1" s="10"/>
      <c r="G1" s="10"/>
      <c r="H1" s="10"/>
      <c r="I1" s="10"/>
    </row>
    <row r="2">
      <c r="A2" s="36" t="s">
        <v>154</v>
      </c>
      <c r="B2" s="36" t="s">
        <v>155</v>
      </c>
      <c r="C2" s="36" t="s">
        <v>156</v>
      </c>
      <c r="D2" s="36" t="s">
        <v>157</v>
      </c>
      <c r="E2" s="36" t="s">
        <v>158</v>
      </c>
      <c r="F2" s="36" t="s">
        <v>159</v>
      </c>
      <c r="G2" s="36" t="s">
        <v>132</v>
      </c>
      <c r="H2" s="36"/>
      <c r="I2" s="10" t="s">
        <v>160</v>
      </c>
    </row>
    <row r="3">
      <c r="A3" s="14" t="s">
        <v>114</v>
      </c>
      <c r="B3" s="14" t="s">
        <v>104</v>
      </c>
      <c r="C3" s="14" t="s">
        <v>107</v>
      </c>
      <c r="D3" s="14">
        <v>0.42</v>
      </c>
      <c r="E3" s="14" t="s">
        <v>135</v>
      </c>
      <c r="F3" s="14">
        <v>1240.0</v>
      </c>
      <c r="G3" s="14" t="s">
        <v>161</v>
      </c>
      <c r="I3" s="39" t="str">
        <f t="shared" ref="I3:I337" si="1">B3&amp;C3</f>
        <v>CódigoRevisión de código</v>
      </c>
    </row>
    <row r="4">
      <c r="A4" s="14" t="s">
        <v>114</v>
      </c>
      <c r="B4" s="14" t="s">
        <v>104</v>
      </c>
      <c r="C4" s="14" t="s">
        <v>110</v>
      </c>
      <c r="D4" s="14">
        <v>0.03</v>
      </c>
      <c r="E4" s="14" t="s">
        <v>135</v>
      </c>
      <c r="F4" s="14">
        <v>406.0</v>
      </c>
      <c r="G4" s="14" t="s">
        <v>162</v>
      </c>
      <c r="I4" s="39" t="str">
        <f t="shared" si="1"/>
        <v>CódigoPruebas</v>
      </c>
    </row>
    <row r="5">
      <c r="A5" s="40"/>
      <c r="B5" s="40"/>
      <c r="C5" s="40"/>
      <c r="D5" s="40"/>
      <c r="E5" s="40"/>
      <c r="F5" s="40"/>
      <c r="G5" s="40"/>
      <c r="I5" s="39" t="str">
        <f t="shared" si="1"/>
        <v/>
      </c>
    </row>
    <row r="6">
      <c r="A6" s="40"/>
      <c r="B6" s="40"/>
      <c r="C6" s="40"/>
      <c r="D6" s="40"/>
      <c r="E6" s="40"/>
      <c r="F6" s="40"/>
      <c r="G6" s="40"/>
      <c r="I6" s="39" t="str">
        <f t="shared" si="1"/>
        <v/>
      </c>
    </row>
    <row r="7">
      <c r="A7" s="40"/>
      <c r="B7" s="40"/>
      <c r="C7" s="40"/>
      <c r="D7" s="40"/>
      <c r="E7" s="40"/>
      <c r="F7" s="40"/>
      <c r="G7" s="40"/>
      <c r="I7" s="39" t="str">
        <f t="shared" si="1"/>
        <v/>
      </c>
    </row>
    <row r="8">
      <c r="A8" s="40"/>
      <c r="B8" s="40"/>
      <c r="C8" s="40"/>
      <c r="D8" s="40"/>
      <c r="E8" s="40"/>
      <c r="F8" s="40"/>
      <c r="G8" s="40"/>
      <c r="I8" s="39" t="str">
        <f t="shared" si="1"/>
        <v/>
      </c>
    </row>
    <row r="9">
      <c r="A9" s="40"/>
      <c r="B9" s="40"/>
      <c r="C9" s="40"/>
      <c r="D9" s="40"/>
      <c r="E9" s="40"/>
      <c r="F9" s="40"/>
      <c r="G9" s="40"/>
      <c r="I9" s="39" t="str">
        <f t="shared" si="1"/>
        <v/>
      </c>
    </row>
    <row r="10">
      <c r="A10" s="40"/>
      <c r="B10" s="40"/>
      <c r="C10" s="40"/>
      <c r="D10" s="40"/>
      <c r="E10" s="40"/>
      <c r="F10" s="40"/>
      <c r="G10" s="40"/>
      <c r="I10" s="39" t="str">
        <f t="shared" si="1"/>
        <v/>
      </c>
    </row>
    <row r="11">
      <c r="A11" s="40"/>
      <c r="B11" s="40"/>
      <c r="C11" s="40"/>
      <c r="D11" s="40"/>
      <c r="E11" s="40"/>
      <c r="F11" s="40"/>
      <c r="G11" s="40"/>
      <c r="I11" s="39" t="str">
        <f t="shared" si="1"/>
        <v/>
      </c>
    </row>
    <row r="12">
      <c r="A12" s="40"/>
      <c r="B12" s="40"/>
      <c r="C12" s="40"/>
      <c r="D12" s="40"/>
      <c r="E12" s="40"/>
      <c r="F12" s="40"/>
      <c r="G12" s="40"/>
      <c r="I12" s="39" t="str">
        <f t="shared" si="1"/>
        <v/>
      </c>
    </row>
    <row r="13">
      <c r="A13" s="40"/>
      <c r="B13" s="40"/>
      <c r="C13" s="40"/>
      <c r="D13" s="40"/>
      <c r="E13" s="40"/>
      <c r="F13" s="40"/>
      <c r="G13" s="40"/>
      <c r="I13" s="39" t="str">
        <f t="shared" si="1"/>
        <v/>
      </c>
    </row>
    <row r="14">
      <c r="A14" s="40"/>
      <c r="B14" s="40"/>
      <c r="C14" s="40"/>
      <c r="D14" s="40"/>
      <c r="E14" s="40"/>
      <c r="F14" s="41"/>
      <c r="G14" s="40"/>
      <c r="I14" s="39" t="str">
        <f t="shared" si="1"/>
        <v/>
      </c>
    </row>
    <row r="15">
      <c r="A15" s="40"/>
      <c r="B15" s="40"/>
      <c r="C15" s="40"/>
      <c r="D15" s="40"/>
      <c r="E15" s="40"/>
      <c r="F15" s="40"/>
      <c r="G15" s="40"/>
      <c r="I15" s="39" t="str">
        <f t="shared" si="1"/>
        <v/>
      </c>
    </row>
    <row r="16">
      <c r="A16" s="40"/>
      <c r="B16" s="40"/>
      <c r="C16" s="40"/>
      <c r="D16" s="40"/>
      <c r="E16" s="40"/>
      <c r="F16" s="40"/>
      <c r="G16" s="40"/>
      <c r="I16" s="39" t="str">
        <f t="shared" si="1"/>
        <v/>
      </c>
    </row>
    <row r="17">
      <c r="A17" s="40"/>
      <c r="B17" s="40"/>
      <c r="C17" s="40"/>
      <c r="D17" s="40"/>
      <c r="E17" s="40"/>
      <c r="F17" s="40"/>
      <c r="G17" s="40"/>
      <c r="I17" s="39" t="str">
        <f t="shared" si="1"/>
        <v/>
      </c>
    </row>
    <row r="18">
      <c r="A18" s="40"/>
      <c r="B18" s="40"/>
      <c r="C18" s="40"/>
      <c r="D18" s="40"/>
      <c r="E18" s="40"/>
      <c r="F18" s="40"/>
      <c r="G18" s="40"/>
      <c r="I18" s="39" t="str">
        <f t="shared" si="1"/>
        <v/>
      </c>
    </row>
    <row r="19">
      <c r="A19" s="40"/>
      <c r="B19" s="40"/>
      <c r="C19" s="40"/>
      <c r="D19" s="40"/>
      <c r="E19" s="40"/>
      <c r="F19" s="40"/>
      <c r="G19" s="40"/>
      <c r="I19" s="39" t="str">
        <f t="shared" si="1"/>
        <v/>
      </c>
    </row>
    <row r="20">
      <c r="A20" s="40"/>
      <c r="B20" s="40"/>
      <c r="C20" s="40"/>
      <c r="D20" s="40"/>
      <c r="E20" s="40"/>
      <c r="F20" s="40"/>
      <c r="G20" s="40"/>
      <c r="I20" s="39" t="str">
        <f t="shared" si="1"/>
        <v/>
      </c>
    </row>
    <row r="21">
      <c r="A21" s="40"/>
      <c r="B21" s="40"/>
      <c r="C21" s="40"/>
      <c r="D21" s="40"/>
      <c r="E21" s="40"/>
      <c r="F21" s="40"/>
      <c r="G21" s="40"/>
      <c r="I21" s="39" t="str">
        <f t="shared" si="1"/>
        <v/>
      </c>
    </row>
    <row r="22">
      <c r="A22" s="1"/>
      <c r="B22" s="1"/>
      <c r="C22" s="1"/>
      <c r="D22" s="1"/>
      <c r="E22" s="1"/>
      <c r="F22" s="1"/>
      <c r="G22" s="1"/>
      <c r="I22" s="1" t="str">
        <f t="shared" si="1"/>
        <v/>
      </c>
    </row>
    <row r="23">
      <c r="A23" s="1"/>
      <c r="B23" s="1"/>
      <c r="C23" s="1"/>
      <c r="D23" s="1"/>
      <c r="E23" s="1"/>
      <c r="F23" s="1"/>
      <c r="G23" s="1"/>
      <c r="I23" s="1" t="str">
        <f t="shared" si="1"/>
        <v/>
      </c>
    </row>
    <row r="24">
      <c r="A24" s="1"/>
      <c r="B24" s="1"/>
      <c r="C24" s="1"/>
      <c r="D24" s="1"/>
      <c r="E24" s="1"/>
      <c r="F24" s="1"/>
      <c r="G24" s="1"/>
      <c r="I24" s="1" t="str">
        <f t="shared" si="1"/>
        <v/>
      </c>
    </row>
    <row r="25">
      <c r="A25" s="1"/>
      <c r="B25" s="1"/>
      <c r="C25" s="1"/>
      <c r="D25" s="1"/>
      <c r="E25" s="1"/>
      <c r="F25" s="1"/>
      <c r="G25" s="1"/>
      <c r="I25" s="1" t="str">
        <f t="shared" si="1"/>
        <v/>
      </c>
    </row>
    <row r="26">
      <c r="A26" s="1"/>
      <c r="B26" s="1"/>
      <c r="C26" s="1"/>
      <c r="D26" s="1"/>
      <c r="E26" s="1"/>
      <c r="F26" s="1"/>
      <c r="G26" s="1"/>
      <c r="I26" s="1" t="str">
        <f t="shared" si="1"/>
        <v/>
      </c>
    </row>
    <row r="27">
      <c r="A27" s="1"/>
      <c r="B27" s="1"/>
      <c r="C27" s="1"/>
      <c r="D27" s="1"/>
      <c r="E27" s="1"/>
      <c r="F27" s="1"/>
      <c r="G27" s="1"/>
      <c r="I27" s="1" t="str">
        <f t="shared" si="1"/>
        <v/>
      </c>
    </row>
    <row r="28">
      <c r="A28" s="1"/>
      <c r="B28" s="1"/>
      <c r="C28" s="1"/>
      <c r="E28" s="1"/>
      <c r="I28" s="1" t="str">
        <f t="shared" si="1"/>
        <v/>
      </c>
    </row>
    <row r="29">
      <c r="A29" s="1"/>
      <c r="B29" s="1"/>
      <c r="C29" s="1"/>
      <c r="E29" s="1"/>
      <c r="I29" s="1" t="str">
        <f t="shared" si="1"/>
        <v/>
      </c>
    </row>
    <row r="30">
      <c r="A30" s="1"/>
      <c r="B30" s="1"/>
      <c r="C30" s="1"/>
      <c r="E30" s="1"/>
      <c r="I30" s="1" t="str">
        <f t="shared" si="1"/>
        <v/>
      </c>
    </row>
    <row r="31">
      <c r="A31" s="1"/>
      <c r="B31" s="1"/>
      <c r="C31" s="1"/>
      <c r="E31" s="1"/>
      <c r="I31" s="1" t="str">
        <f t="shared" si="1"/>
        <v/>
      </c>
    </row>
    <row r="32">
      <c r="A32" s="1"/>
      <c r="B32" s="1"/>
      <c r="C32" s="1"/>
      <c r="E32" s="1"/>
      <c r="I32" s="1" t="str">
        <f t="shared" si="1"/>
        <v/>
      </c>
    </row>
    <row r="33">
      <c r="A33" s="1"/>
      <c r="B33" s="1"/>
      <c r="C33" s="1"/>
      <c r="E33" s="1"/>
      <c r="I33" s="1" t="str">
        <f t="shared" si="1"/>
        <v/>
      </c>
    </row>
    <row r="34">
      <c r="A34" s="1"/>
      <c r="B34" s="1"/>
      <c r="C34" s="1"/>
      <c r="E34" s="1"/>
      <c r="I34" s="1" t="str">
        <f t="shared" si="1"/>
        <v/>
      </c>
    </row>
    <row r="35">
      <c r="A35" s="1"/>
      <c r="B35" s="1"/>
      <c r="C35" s="1"/>
      <c r="E35" s="1"/>
      <c r="I35" s="1" t="str">
        <f t="shared" si="1"/>
        <v/>
      </c>
    </row>
    <row r="36">
      <c r="A36" s="1"/>
      <c r="B36" s="1"/>
      <c r="C36" s="1"/>
      <c r="E36" s="1"/>
      <c r="I36" s="1" t="str">
        <f t="shared" si="1"/>
        <v/>
      </c>
    </row>
    <row r="37">
      <c r="A37" s="1"/>
      <c r="B37" s="1"/>
      <c r="C37" s="1"/>
      <c r="E37" s="1"/>
      <c r="I37" s="1" t="str">
        <f t="shared" si="1"/>
        <v/>
      </c>
    </row>
    <row r="38">
      <c r="A38" s="1"/>
      <c r="B38" s="1"/>
      <c r="C38" s="1"/>
      <c r="E38" s="1"/>
      <c r="I38" s="1" t="str">
        <f t="shared" si="1"/>
        <v/>
      </c>
    </row>
    <row r="39">
      <c r="A39" s="1"/>
      <c r="B39" s="1"/>
      <c r="C39" s="1"/>
      <c r="E39" s="1"/>
      <c r="I39" s="1" t="str">
        <f t="shared" si="1"/>
        <v/>
      </c>
    </row>
    <row r="40">
      <c r="A40" s="1"/>
      <c r="B40" s="1"/>
      <c r="C40" s="1"/>
      <c r="E40" s="1"/>
      <c r="I40" s="1" t="str">
        <f t="shared" si="1"/>
        <v/>
      </c>
    </row>
    <row r="41">
      <c r="A41" s="1"/>
      <c r="B41" s="1"/>
      <c r="C41" s="1"/>
      <c r="E41" s="1"/>
      <c r="I41" s="1" t="str">
        <f t="shared" si="1"/>
        <v/>
      </c>
    </row>
    <row r="42">
      <c r="A42" s="1"/>
      <c r="B42" s="1"/>
      <c r="C42" s="1"/>
      <c r="E42" s="1"/>
      <c r="I42" s="1" t="str">
        <f t="shared" si="1"/>
        <v/>
      </c>
    </row>
    <row r="43">
      <c r="A43" s="1"/>
      <c r="B43" s="1"/>
      <c r="C43" s="1"/>
      <c r="E43" s="1"/>
      <c r="I43" s="1" t="str">
        <f t="shared" si="1"/>
        <v/>
      </c>
    </row>
    <row r="44">
      <c r="A44" s="1"/>
      <c r="B44" s="1"/>
      <c r="C44" s="1"/>
      <c r="E44" s="1"/>
      <c r="I44" s="1" t="str">
        <f t="shared" si="1"/>
        <v/>
      </c>
    </row>
    <row r="45">
      <c r="A45" s="1"/>
      <c r="B45" s="1"/>
      <c r="C45" s="1"/>
      <c r="E45" s="1"/>
      <c r="I45" s="1" t="str">
        <f t="shared" si="1"/>
        <v/>
      </c>
    </row>
    <row r="46">
      <c r="B46" s="1"/>
      <c r="C46" s="1"/>
      <c r="E46" s="1"/>
      <c r="I46" s="1" t="str">
        <f t="shared" si="1"/>
        <v/>
      </c>
    </row>
    <row r="47">
      <c r="B47" s="1"/>
      <c r="C47" s="1"/>
      <c r="E47" s="1"/>
      <c r="I47" s="1" t="str">
        <f t="shared" si="1"/>
        <v/>
      </c>
    </row>
    <row r="48">
      <c r="B48" s="1"/>
      <c r="C48" s="1"/>
      <c r="E48" s="1"/>
      <c r="I48" s="1" t="str">
        <f t="shared" si="1"/>
        <v/>
      </c>
    </row>
    <row r="49">
      <c r="B49" s="1"/>
      <c r="C49" s="1"/>
      <c r="E49" s="1"/>
      <c r="I49" s="1" t="str">
        <f t="shared" si="1"/>
        <v/>
      </c>
    </row>
    <row r="50">
      <c r="B50" s="1"/>
      <c r="C50" s="1"/>
      <c r="E50" s="1"/>
      <c r="I50" s="1" t="str">
        <f t="shared" si="1"/>
        <v/>
      </c>
    </row>
    <row r="51">
      <c r="B51" s="1"/>
      <c r="C51" s="1"/>
      <c r="E51" s="1"/>
      <c r="I51" s="1" t="str">
        <f t="shared" si="1"/>
        <v/>
      </c>
    </row>
    <row r="52">
      <c r="B52" s="1"/>
      <c r="C52" s="1"/>
      <c r="E52" s="1"/>
      <c r="I52" s="1" t="str">
        <f t="shared" si="1"/>
        <v/>
      </c>
    </row>
    <row r="53">
      <c r="B53" s="1"/>
      <c r="C53" s="1"/>
      <c r="E53" s="1"/>
      <c r="I53" s="1" t="str">
        <f t="shared" si="1"/>
        <v/>
      </c>
    </row>
    <row r="54">
      <c r="B54" s="1"/>
      <c r="C54" s="1"/>
      <c r="E54" s="1"/>
      <c r="I54" s="1" t="str">
        <f t="shared" si="1"/>
        <v/>
      </c>
    </row>
    <row r="55">
      <c r="B55" s="1"/>
      <c r="C55" s="1"/>
      <c r="E55" s="1"/>
      <c r="I55" s="1" t="str">
        <f t="shared" si="1"/>
        <v/>
      </c>
    </row>
    <row r="56">
      <c r="B56" s="1"/>
      <c r="C56" s="1"/>
      <c r="E56" s="1"/>
      <c r="I56" s="1" t="str">
        <f t="shared" si="1"/>
        <v/>
      </c>
    </row>
    <row r="57">
      <c r="B57" s="1"/>
      <c r="C57" s="1"/>
      <c r="E57" s="1"/>
      <c r="I57" s="1" t="str">
        <f t="shared" si="1"/>
        <v/>
      </c>
    </row>
    <row r="58">
      <c r="B58" s="1"/>
      <c r="C58" s="1"/>
      <c r="E58" s="1"/>
      <c r="I58" s="1" t="str">
        <f t="shared" si="1"/>
        <v/>
      </c>
    </row>
    <row r="59">
      <c r="B59" s="1"/>
      <c r="C59" s="1"/>
      <c r="E59" s="1"/>
      <c r="I59" s="1" t="str">
        <f t="shared" si="1"/>
        <v/>
      </c>
    </row>
    <row r="60">
      <c r="B60" s="1"/>
      <c r="C60" s="1"/>
      <c r="E60" s="1"/>
      <c r="I60" s="1" t="str">
        <f t="shared" si="1"/>
        <v/>
      </c>
    </row>
    <row r="61">
      <c r="B61" s="1"/>
      <c r="C61" s="1"/>
      <c r="E61" s="1"/>
      <c r="I61" s="1" t="str">
        <f t="shared" si="1"/>
        <v/>
      </c>
    </row>
    <row r="62">
      <c r="B62" s="1"/>
      <c r="C62" s="1"/>
      <c r="E62" s="1"/>
      <c r="I62" s="1" t="str">
        <f t="shared" si="1"/>
        <v/>
      </c>
    </row>
    <row r="63">
      <c r="B63" s="1"/>
      <c r="C63" s="1"/>
      <c r="E63" s="1"/>
      <c r="I63" s="1" t="str">
        <f t="shared" si="1"/>
        <v/>
      </c>
    </row>
    <row r="64">
      <c r="B64" s="1"/>
      <c r="C64" s="1"/>
      <c r="E64" s="1"/>
      <c r="I64" s="1" t="str">
        <f t="shared" si="1"/>
        <v/>
      </c>
    </row>
    <row r="65">
      <c r="B65" s="1"/>
      <c r="C65" s="1"/>
      <c r="E65" s="1"/>
      <c r="I65" s="1" t="str">
        <f t="shared" si="1"/>
        <v/>
      </c>
    </row>
    <row r="66">
      <c r="B66" s="1"/>
      <c r="C66" s="1"/>
      <c r="E66" s="1"/>
      <c r="I66" s="1" t="str">
        <f t="shared" si="1"/>
        <v/>
      </c>
    </row>
    <row r="67">
      <c r="B67" s="1"/>
      <c r="C67" s="1"/>
      <c r="E67" s="1"/>
      <c r="I67" s="1" t="str">
        <f t="shared" si="1"/>
        <v/>
      </c>
    </row>
    <row r="68">
      <c r="B68" s="1"/>
      <c r="C68" s="1"/>
      <c r="E68" s="1"/>
      <c r="I68" s="1" t="str">
        <f t="shared" si="1"/>
        <v/>
      </c>
    </row>
    <row r="69">
      <c r="B69" s="1"/>
      <c r="C69" s="1"/>
      <c r="E69" s="1"/>
      <c r="I69" s="1" t="str">
        <f t="shared" si="1"/>
        <v/>
      </c>
    </row>
    <row r="70">
      <c r="B70" s="1"/>
      <c r="C70" s="1"/>
      <c r="E70" s="1"/>
      <c r="I70" s="1" t="str">
        <f t="shared" si="1"/>
        <v/>
      </c>
    </row>
    <row r="71">
      <c r="B71" s="1"/>
      <c r="C71" s="1"/>
      <c r="E71" s="1"/>
      <c r="I71" s="1" t="str">
        <f t="shared" si="1"/>
        <v/>
      </c>
    </row>
    <row r="72">
      <c r="B72" s="1"/>
      <c r="C72" s="1"/>
      <c r="E72" s="1"/>
      <c r="I72" s="1" t="str">
        <f t="shared" si="1"/>
        <v/>
      </c>
    </row>
    <row r="73">
      <c r="B73" s="1"/>
      <c r="C73" s="1"/>
      <c r="E73" s="1"/>
      <c r="I73" s="1" t="str">
        <f t="shared" si="1"/>
        <v/>
      </c>
    </row>
    <row r="74">
      <c r="B74" s="1"/>
      <c r="C74" s="1"/>
      <c r="E74" s="1"/>
      <c r="I74" s="1" t="str">
        <f t="shared" si="1"/>
        <v/>
      </c>
    </row>
    <row r="75">
      <c r="B75" s="1"/>
      <c r="C75" s="1"/>
      <c r="E75" s="1"/>
      <c r="I75" s="1" t="str">
        <f t="shared" si="1"/>
        <v/>
      </c>
    </row>
    <row r="76">
      <c r="B76" s="1"/>
      <c r="C76" s="1"/>
      <c r="E76" s="1"/>
      <c r="I76" s="1" t="str">
        <f t="shared" si="1"/>
        <v/>
      </c>
    </row>
    <row r="77">
      <c r="B77" s="1"/>
      <c r="C77" s="1"/>
      <c r="E77" s="1"/>
      <c r="I77" s="1" t="str">
        <f t="shared" si="1"/>
        <v/>
      </c>
    </row>
    <row r="78">
      <c r="B78" s="1"/>
      <c r="C78" s="1"/>
      <c r="E78" s="1"/>
      <c r="I78" s="1" t="str">
        <f t="shared" si="1"/>
        <v/>
      </c>
    </row>
    <row r="79">
      <c r="B79" s="1"/>
      <c r="C79" s="1"/>
      <c r="E79" s="1"/>
      <c r="I79" s="1" t="str">
        <f t="shared" si="1"/>
        <v/>
      </c>
    </row>
    <row r="80">
      <c r="B80" s="1"/>
      <c r="C80" s="1"/>
      <c r="E80" s="1"/>
      <c r="I80" s="1" t="str">
        <f t="shared" si="1"/>
        <v/>
      </c>
    </row>
    <row r="81">
      <c r="B81" s="1"/>
      <c r="C81" s="1"/>
      <c r="E81" s="1"/>
      <c r="I81" s="1" t="str">
        <f t="shared" si="1"/>
        <v/>
      </c>
    </row>
    <row r="82">
      <c r="B82" s="1"/>
      <c r="C82" s="1"/>
      <c r="E82" s="1"/>
      <c r="I82" s="1" t="str">
        <f t="shared" si="1"/>
        <v/>
      </c>
    </row>
    <row r="83">
      <c r="B83" s="1"/>
      <c r="C83" s="1"/>
      <c r="E83" s="1"/>
      <c r="I83" s="1" t="str">
        <f t="shared" si="1"/>
        <v/>
      </c>
    </row>
    <row r="84">
      <c r="B84" s="1"/>
      <c r="C84" s="1"/>
      <c r="E84" s="1"/>
      <c r="I84" s="1" t="str">
        <f t="shared" si="1"/>
        <v/>
      </c>
    </row>
    <row r="85">
      <c r="B85" s="1"/>
      <c r="C85" s="1"/>
      <c r="E85" s="1"/>
      <c r="I85" s="1" t="str">
        <f t="shared" si="1"/>
        <v/>
      </c>
    </row>
    <row r="86">
      <c r="B86" s="1"/>
      <c r="C86" s="1"/>
      <c r="E86" s="1"/>
      <c r="I86" s="1" t="str">
        <f t="shared" si="1"/>
        <v/>
      </c>
    </row>
    <row r="87">
      <c r="B87" s="1"/>
      <c r="C87" s="1"/>
      <c r="E87" s="1"/>
      <c r="I87" s="1" t="str">
        <f t="shared" si="1"/>
        <v/>
      </c>
    </row>
    <row r="88">
      <c r="B88" s="1"/>
      <c r="C88" s="1"/>
      <c r="E88" s="1"/>
      <c r="I88" s="1" t="str">
        <f t="shared" si="1"/>
        <v/>
      </c>
    </row>
    <row r="89">
      <c r="B89" s="1"/>
      <c r="C89" s="1"/>
      <c r="E89" s="1"/>
      <c r="I89" s="1" t="str">
        <f t="shared" si="1"/>
        <v/>
      </c>
    </row>
    <row r="90">
      <c r="B90" s="1"/>
      <c r="C90" s="1"/>
      <c r="E90" s="1"/>
      <c r="I90" s="1" t="str">
        <f t="shared" si="1"/>
        <v/>
      </c>
    </row>
    <row r="91">
      <c r="B91" s="1"/>
      <c r="C91" s="1"/>
      <c r="E91" s="1"/>
      <c r="I91" s="1" t="str">
        <f t="shared" si="1"/>
        <v/>
      </c>
    </row>
    <row r="92">
      <c r="B92" s="1"/>
      <c r="C92" s="1"/>
      <c r="E92" s="1"/>
      <c r="I92" s="1" t="str">
        <f t="shared" si="1"/>
        <v/>
      </c>
    </row>
    <row r="93">
      <c r="B93" s="1"/>
      <c r="C93" s="1"/>
      <c r="E93" s="1"/>
      <c r="I93" s="1" t="str">
        <f t="shared" si="1"/>
        <v/>
      </c>
    </row>
    <row r="94">
      <c r="B94" s="1"/>
      <c r="C94" s="1"/>
      <c r="E94" s="1"/>
      <c r="I94" s="1" t="str">
        <f t="shared" si="1"/>
        <v/>
      </c>
    </row>
    <row r="95">
      <c r="B95" s="1"/>
      <c r="C95" s="1"/>
      <c r="E95" s="1"/>
      <c r="I95" s="1" t="str">
        <f t="shared" si="1"/>
        <v/>
      </c>
    </row>
    <row r="96">
      <c r="B96" s="1"/>
      <c r="C96" s="1"/>
      <c r="E96" s="1"/>
      <c r="I96" s="1" t="str">
        <f t="shared" si="1"/>
        <v/>
      </c>
    </row>
    <row r="97">
      <c r="B97" s="1"/>
      <c r="C97" s="1"/>
      <c r="E97" s="1"/>
      <c r="I97" s="1" t="str">
        <f t="shared" si="1"/>
        <v/>
      </c>
    </row>
    <row r="98">
      <c r="B98" s="1"/>
      <c r="C98" s="1"/>
      <c r="E98" s="1"/>
      <c r="I98" s="1" t="str">
        <f t="shared" si="1"/>
        <v/>
      </c>
    </row>
    <row r="99">
      <c r="B99" s="1"/>
      <c r="C99" s="1"/>
      <c r="E99" s="1"/>
      <c r="I99" s="1" t="str">
        <f t="shared" si="1"/>
        <v/>
      </c>
    </row>
    <row r="100">
      <c r="B100" s="1"/>
      <c r="C100" s="1"/>
      <c r="E100" s="1"/>
      <c r="I100" s="1" t="str">
        <f t="shared" si="1"/>
        <v/>
      </c>
    </row>
    <row r="101">
      <c r="B101" s="1"/>
      <c r="C101" s="1"/>
      <c r="E101" s="1"/>
      <c r="I101" s="1" t="str">
        <f t="shared" si="1"/>
        <v/>
      </c>
    </row>
    <row r="102">
      <c r="B102" s="1"/>
      <c r="C102" s="1"/>
      <c r="E102" s="1"/>
      <c r="I102" s="1" t="str">
        <f t="shared" si="1"/>
        <v/>
      </c>
    </row>
    <row r="103">
      <c r="B103" s="1"/>
      <c r="C103" s="1"/>
      <c r="E103" s="1"/>
      <c r="I103" s="1" t="str">
        <f t="shared" si="1"/>
        <v/>
      </c>
    </row>
    <row r="104">
      <c r="B104" s="1"/>
      <c r="C104" s="1"/>
      <c r="E104" s="1"/>
      <c r="I104" s="1" t="str">
        <f t="shared" si="1"/>
        <v/>
      </c>
    </row>
    <row r="105">
      <c r="B105" s="1"/>
      <c r="C105" s="1"/>
      <c r="E105" s="1"/>
      <c r="I105" s="1" t="str">
        <f t="shared" si="1"/>
        <v/>
      </c>
    </row>
    <row r="106">
      <c r="B106" s="1"/>
      <c r="C106" s="1"/>
      <c r="E106" s="1"/>
      <c r="I106" s="1" t="str">
        <f t="shared" si="1"/>
        <v/>
      </c>
    </row>
    <row r="107">
      <c r="B107" s="1"/>
      <c r="C107" s="1"/>
      <c r="E107" s="1"/>
      <c r="I107" s="1" t="str">
        <f t="shared" si="1"/>
        <v/>
      </c>
    </row>
    <row r="108">
      <c r="B108" s="1"/>
      <c r="C108" s="1"/>
      <c r="E108" s="1"/>
      <c r="I108" s="1" t="str">
        <f t="shared" si="1"/>
        <v/>
      </c>
    </row>
    <row r="109">
      <c r="B109" s="1"/>
      <c r="C109" s="1"/>
      <c r="E109" s="1"/>
      <c r="I109" s="1" t="str">
        <f t="shared" si="1"/>
        <v/>
      </c>
    </row>
    <row r="110">
      <c r="B110" s="1"/>
      <c r="C110" s="1"/>
      <c r="E110" s="1"/>
      <c r="I110" s="1" t="str">
        <f t="shared" si="1"/>
        <v/>
      </c>
    </row>
    <row r="111">
      <c r="B111" s="1"/>
      <c r="C111" s="1"/>
      <c r="E111" s="1"/>
      <c r="I111" s="1" t="str">
        <f t="shared" si="1"/>
        <v/>
      </c>
    </row>
    <row r="112">
      <c r="B112" s="1"/>
      <c r="C112" s="1"/>
      <c r="E112" s="1"/>
      <c r="I112" s="1" t="str">
        <f t="shared" si="1"/>
        <v/>
      </c>
    </row>
    <row r="113">
      <c r="B113" s="1"/>
      <c r="C113" s="1"/>
      <c r="E113" s="1"/>
      <c r="I113" s="1" t="str">
        <f t="shared" si="1"/>
        <v/>
      </c>
    </row>
    <row r="114">
      <c r="B114" s="1"/>
      <c r="C114" s="1"/>
      <c r="E114" s="1"/>
      <c r="I114" s="1" t="str">
        <f t="shared" si="1"/>
        <v/>
      </c>
    </row>
    <row r="115">
      <c r="B115" s="1"/>
      <c r="C115" s="1"/>
      <c r="E115" s="1"/>
      <c r="I115" s="1" t="str">
        <f t="shared" si="1"/>
        <v/>
      </c>
    </row>
    <row r="116">
      <c r="B116" s="1"/>
      <c r="C116" s="1"/>
      <c r="E116" s="1"/>
      <c r="I116" s="1" t="str">
        <f t="shared" si="1"/>
        <v/>
      </c>
    </row>
    <row r="117">
      <c r="B117" s="1"/>
      <c r="C117" s="1"/>
      <c r="E117" s="1"/>
      <c r="I117" s="1" t="str">
        <f t="shared" si="1"/>
        <v/>
      </c>
    </row>
    <row r="118">
      <c r="B118" s="1"/>
      <c r="C118" s="1"/>
      <c r="E118" s="1"/>
      <c r="I118" s="1" t="str">
        <f t="shared" si="1"/>
        <v/>
      </c>
    </row>
    <row r="119">
      <c r="B119" s="1"/>
      <c r="C119" s="1"/>
      <c r="E119" s="1"/>
      <c r="I119" s="1" t="str">
        <f t="shared" si="1"/>
        <v/>
      </c>
    </row>
    <row r="120">
      <c r="B120" s="1"/>
      <c r="C120" s="1"/>
      <c r="E120" s="1"/>
      <c r="I120" s="1" t="str">
        <f t="shared" si="1"/>
        <v/>
      </c>
    </row>
    <row r="121">
      <c r="B121" s="1"/>
      <c r="C121" s="1"/>
      <c r="E121" s="1"/>
      <c r="I121" s="1" t="str">
        <f t="shared" si="1"/>
        <v/>
      </c>
    </row>
    <row r="122">
      <c r="B122" s="1"/>
      <c r="C122" s="1"/>
      <c r="E122" s="1"/>
      <c r="I122" s="1" t="str">
        <f t="shared" si="1"/>
        <v/>
      </c>
    </row>
    <row r="123">
      <c r="B123" s="1"/>
      <c r="C123" s="1"/>
      <c r="E123" s="1"/>
      <c r="I123" s="1" t="str">
        <f t="shared" si="1"/>
        <v/>
      </c>
    </row>
    <row r="124">
      <c r="B124" s="1"/>
      <c r="C124" s="1"/>
      <c r="E124" s="1"/>
      <c r="I124" s="1" t="str">
        <f t="shared" si="1"/>
        <v/>
      </c>
    </row>
    <row r="125">
      <c r="B125" s="1"/>
      <c r="C125" s="1"/>
      <c r="E125" s="1"/>
      <c r="I125" s="1" t="str">
        <f t="shared" si="1"/>
        <v/>
      </c>
    </row>
    <row r="126">
      <c r="B126" s="1"/>
      <c r="C126" s="1"/>
      <c r="E126" s="1"/>
      <c r="I126" s="1" t="str">
        <f t="shared" si="1"/>
        <v/>
      </c>
    </row>
    <row r="127">
      <c r="B127" s="1"/>
      <c r="C127" s="1"/>
      <c r="E127" s="1"/>
      <c r="I127" s="1" t="str">
        <f t="shared" si="1"/>
        <v/>
      </c>
    </row>
    <row r="128">
      <c r="B128" s="1"/>
      <c r="C128" s="1"/>
      <c r="E128" s="1"/>
      <c r="I128" s="1" t="str">
        <f t="shared" si="1"/>
        <v/>
      </c>
    </row>
    <row r="129">
      <c r="B129" s="1"/>
      <c r="C129" s="1"/>
      <c r="E129" s="1"/>
      <c r="I129" s="1" t="str">
        <f t="shared" si="1"/>
        <v/>
      </c>
    </row>
    <row r="130">
      <c r="B130" s="1"/>
      <c r="C130" s="1"/>
      <c r="E130" s="1"/>
      <c r="I130" s="1" t="str">
        <f t="shared" si="1"/>
        <v/>
      </c>
    </row>
    <row r="131">
      <c r="B131" s="1"/>
      <c r="C131" s="1"/>
      <c r="E131" s="1"/>
      <c r="I131" s="1" t="str">
        <f t="shared" si="1"/>
        <v/>
      </c>
    </row>
    <row r="132">
      <c r="B132" s="1"/>
      <c r="C132" s="1"/>
      <c r="E132" s="1"/>
      <c r="I132" s="1" t="str">
        <f t="shared" si="1"/>
        <v/>
      </c>
    </row>
    <row r="133">
      <c r="B133" s="1"/>
      <c r="C133" s="1"/>
      <c r="E133" s="1"/>
      <c r="I133" s="1" t="str">
        <f t="shared" si="1"/>
        <v/>
      </c>
    </row>
    <row r="134">
      <c r="B134" s="1"/>
      <c r="C134" s="1"/>
      <c r="E134" s="1"/>
      <c r="I134" s="1" t="str">
        <f t="shared" si="1"/>
        <v/>
      </c>
    </row>
    <row r="135">
      <c r="B135" s="1"/>
      <c r="C135" s="1"/>
      <c r="E135" s="1"/>
      <c r="I135" s="1" t="str">
        <f t="shared" si="1"/>
        <v/>
      </c>
    </row>
    <row r="136">
      <c r="B136" s="1"/>
      <c r="C136" s="1"/>
      <c r="E136" s="1"/>
      <c r="I136" s="1" t="str">
        <f t="shared" si="1"/>
        <v/>
      </c>
    </row>
    <row r="137">
      <c r="B137" s="1"/>
      <c r="C137" s="1"/>
      <c r="E137" s="1"/>
      <c r="I137" s="1" t="str">
        <f t="shared" si="1"/>
        <v/>
      </c>
    </row>
    <row r="138">
      <c r="B138" s="1"/>
      <c r="C138" s="1"/>
      <c r="E138" s="1"/>
      <c r="I138" s="1" t="str">
        <f t="shared" si="1"/>
        <v/>
      </c>
    </row>
    <row r="139">
      <c r="B139" s="1"/>
      <c r="C139" s="1"/>
      <c r="E139" s="1"/>
      <c r="I139" s="1" t="str">
        <f t="shared" si="1"/>
        <v/>
      </c>
    </row>
    <row r="140">
      <c r="B140" s="1"/>
      <c r="C140" s="1"/>
      <c r="E140" s="1"/>
      <c r="I140" s="1" t="str">
        <f t="shared" si="1"/>
        <v/>
      </c>
    </row>
    <row r="141">
      <c r="B141" s="1"/>
      <c r="C141" s="1"/>
      <c r="E141" s="1"/>
      <c r="I141" s="1" t="str">
        <f t="shared" si="1"/>
        <v/>
      </c>
    </row>
    <row r="142">
      <c r="B142" s="1"/>
      <c r="C142" s="1"/>
      <c r="E142" s="1"/>
      <c r="I142" s="1" t="str">
        <f t="shared" si="1"/>
        <v/>
      </c>
    </row>
    <row r="143">
      <c r="B143" s="1"/>
      <c r="C143" s="1"/>
      <c r="E143" s="1"/>
      <c r="I143" s="1" t="str">
        <f t="shared" si="1"/>
        <v/>
      </c>
    </row>
    <row r="144">
      <c r="B144" s="1"/>
      <c r="C144" s="1"/>
      <c r="E144" s="1"/>
      <c r="I144" s="1" t="str">
        <f t="shared" si="1"/>
        <v/>
      </c>
    </row>
    <row r="145">
      <c r="B145" s="1"/>
      <c r="C145" s="1"/>
      <c r="E145" s="1"/>
      <c r="I145" s="1" t="str">
        <f t="shared" si="1"/>
        <v/>
      </c>
    </row>
    <row r="146">
      <c r="B146" s="1"/>
      <c r="C146" s="1"/>
      <c r="E146" s="1"/>
      <c r="I146" s="1" t="str">
        <f t="shared" si="1"/>
        <v/>
      </c>
    </row>
    <row r="147">
      <c r="B147" s="1"/>
      <c r="C147" s="1"/>
      <c r="E147" s="1"/>
      <c r="I147" s="1" t="str">
        <f t="shared" si="1"/>
        <v/>
      </c>
    </row>
    <row r="148">
      <c r="B148" s="1"/>
      <c r="C148" s="1"/>
      <c r="E148" s="1"/>
      <c r="I148" s="1" t="str">
        <f t="shared" si="1"/>
        <v/>
      </c>
    </row>
    <row r="149">
      <c r="B149" s="1"/>
      <c r="C149" s="1"/>
      <c r="E149" s="1"/>
      <c r="I149" s="1" t="str">
        <f t="shared" si="1"/>
        <v/>
      </c>
    </row>
    <row r="150">
      <c r="B150" s="1"/>
      <c r="C150" s="1"/>
      <c r="E150" s="1"/>
      <c r="I150" s="1" t="str">
        <f t="shared" si="1"/>
        <v/>
      </c>
    </row>
    <row r="151">
      <c r="B151" s="1"/>
      <c r="C151" s="1"/>
      <c r="E151" s="1"/>
      <c r="I151" s="1" t="str">
        <f t="shared" si="1"/>
        <v/>
      </c>
    </row>
    <row r="152">
      <c r="B152" s="1"/>
      <c r="C152" s="1"/>
      <c r="E152" s="1"/>
      <c r="I152" s="1" t="str">
        <f t="shared" si="1"/>
        <v/>
      </c>
    </row>
    <row r="153">
      <c r="B153" s="1"/>
      <c r="C153" s="1"/>
      <c r="E153" s="1"/>
      <c r="I153" s="1" t="str">
        <f t="shared" si="1"/>
        <v/>
      </c>
    </row>
    <row r="154">
      <c r="B154" s="1"/>
      <c r="C154" s="1"/>
      <c r="E154" s="1"/>
      <c r="I154" s="1" t="str">
        <f t="shared" si="1"/>
        <v/>
      </c>
    </row>
    <row r="155">
      <c r="B155" s="1"/>
      <c r="C155" s="1"/>
      <c r="E155" s="1"/>
      <c r="I155" s="1" t="str">
        <f t="shared" si="1"/>
        <v/>
      </c>
    </row>
    <row r="156">
      <c r="B156" s="1"/>
      <c r="C156" s="1"/>
      <c r="E156" s="1"/>
      <c r="I156" s="1" t="str">
        <f t="shared" si="1"/>
        <v/>
      </c>
    </row>
    <row r="157">
      <c r="B157" s="1"/>
      <c r="C157" s="1"/>
      <c r="E157" s="1"/>
      <c r="I157" s="1" t="str">
        <f t="shared" si="1"/>
        <v/>
      </c>
    </row>
    <row r="158">
      <c r="B158" s="1"/>
      <c r="C158" s="1"/>
      <c r="E158" s="1"/>
      <c r="I158" s="1" t="str">
        <f t="shared" si="1"/>
        <v/>
      </c>
    </row>
    <row r="159">
      <c r="B159" s="1"/>
      <c r="C159" s="1"/>
      <c r="E159" s="1"/>
      <c r="I159" s="1" t="str">
        <f t="shared" si="1"/>
        <v/>
      </c>
    </row>
    <row r="160">
      <c r="B160" s="1"/>
      <c r="C160" s="1"/>
      <c r="E160" s="1"/>
      <c r="I160" s="1" t="str">
        <f t="shared" si="1"/>
        <v/>
      </c>
    </row>
    <row r="161">
      <c r="B161" s="1"/>
      <c r="C161" s="1"/>
      <c r="E161" s="1"/>
      <c r="I161" s="1" t="str">
        <f t="shared" si="1"/>
        <v/>
      </c>
    </row>
    <row r="162">
      <c r="B162" s="1"/>
      <c r="C162" s="1"/>
      <c r="E162" s="1"/>
      <c r="I162" s="1" t="str">
        <f t="shared" si="1"/>
        <v/>
      </c>
    </row>
    <row r="163">
      <c r="B163" s="1"/>
      <c r="C163" s="1"/>
      <c r="E163" s="1"/>
      <c r="I163" s="1" t="str">
        <f t="shared" si="1"/>
        <v/>
      </c>
    </row>
    <row r="164">
      <c r="B164" s="1"/>
      <c r="C164" s="1"/>
      <c r="E164" s="1"/>
      <c r="I164" s="1" t="str">
        <f t="shared" si="1"/>
        <v/>
      </c>
    </row>
    <row r="165">
      <c r="B165" s="1"/>
      <c r="C165" s="1"/>
      <c r="E165" s="1"/>
      <c r="I165" s="1" t="str">
        <f t="shared" si="1"/>
        <v/>
      </c>
    </row>
    <row r="166">
      <c r="B166" s="1"/>
      <c r="C166" s="1"/>
      <c r="E166" s="1"/>
      <c r="I166" s="1" t="str">
        <f t="shared" si="1"/>
        <v/>
      </c>
    </row>
    <row r="167">
      <c r="B167" s="1"/>
      <c r="C167" s="1"/>
      <c r="E167" s="1"/>
      <c r="I167" s="1" t="str">
        <f t="shared" si="1"/>
        <v/>
      </c>
    </row>
    <row r="168">
      <c r="B168" s="1"/>
      <c r="C168" s="1"/>
      <c r="E168" s="1"/>
      <c r="I168" s="1" t="str">
        <f t="shared" si="1"/>
        <v/>
      </c>
    </row>
    <row r="169">
      <c r="B169" s="1"/>
      <c r="C169" s="1"/>
      <c r="E169" s="1"/>
      <c r="I169" s="1" t="str">
        <f t="shared" si="1"/>
        <v/>
      </c>
    </row>
    <row r="170">
      <c r="B170" s="1"/>
      <c r="C170" s="1"/>
      <c r="E170" s="1"/>
      <c r="I170" s="1" t="str">
        <f t="shared" si="1"/>
        <v/>
      </c>
    </row>
    <row r="171">
      <c r="B171" s="1"/>
      <c r="C171" s="1"/>
      <c r="E171" s="1"/>
      <c r="I171" s="1" t="str">
        <f t="shared" si="1"/>
        <v/>
      </c>
    </row>
    <row r="172">
      <c r="B172" s="1"/>
      <c r="C172" s="1"/>
      <c r="E172" s="1"/>
      <c r="I172" s="1" t="str">
        <f t="shared" si="1"/>
        <v/>
      </c>
    </row>
    <row r="173">
      <c r="B173" s="1"/>
      <c r="C173" s="1"/>
      <c r="E173" s="1"/>
      <c r="I173" s="1" t="str">
        <f t="shared" si="1"/>
        <v/>
      </c>
    </row>
    <row r="174">
      <c r="B174" s="1"/>
      <c r="C174" s="1"/>
      <c r="E174" s="1"/>
      <c r="I174" s="1" t="str">
        <f t="shared" si="1"/>
        <v/>
      </c>
    </row>
    <row r="175">
      <c r="B175" s="1"/>
      <c r="C175" s="1"/>
      <c r="E175" s="1"/>
      <c r="I175" s="1" t="str">
        <f t="shared" si="1"/>
        <v/>
      </c>
    </row>
    <row r="176">
      <c r="B176" s="1"/>
      <c r="C176" s="1"/>
      <c r="E176" s="1"/>
      <c r="I176" s="1" t="str">
        <f t="shared" si="1"/>
        <v/>
      </c>
    </row>
    <row r="177">
      <c r="B177" s="1"/>
      <c r="C177" s="1"/>
      <c r="E177" s="1"/>
      <c r="I177" s="1" t="str">
        <f t="shared" si="1"/>
        <v/>
      </c>
    </row>
    <row r="178">
      <c r="B178" s="1"/>
      <c r="C178" s="1"/>
      <c r="E178" s="1"/>
      <c r="I178" s="1" t="str">
        <f t="shared" si="1"/>
        <v/>
      </c>
    </row>
    <row r="179">
      <c r="B179" s="1"/>
      <c r="C179" s="1"/>
      <c r="E179" s="1"/>
      <c r="I179" s="1" t="str">
        <f t="shared" si="1"/>
        <v/>
      </c>
    </row>
    <row r="180">
      <c r="B180" s="1"/>
      <c r="C180" s="1"/>
      <c r="E180" s="1"/>
      <c r="I180" s="1" t="str">
        <f t="shared" si="1"/>
        <v/>
      </c>
    </row>
    <row r="181">
      <c r="B181" s="1"/>
      <c r="C181" s="1"/>
      <c r="E181" s="1"/>
      <c r="I181" s="1" t="str">
        <f t="shared" si="1"/>
        <v/>
      </c>
    </row>
    <row r="182">
      <c r="B182" s="1"/>
      <c r="C182" s="1"/>
      <c r="E182" s="1"/>
      <c r="I182" s="1" t="str">
        <f t="shared" si="1"/>
        <v/>
      </c>
    </row>
    <row r="183">
      <c r="B183" s="1"/>
      <c r="C183" s="1"/>
      <c r="E183" s="1"/>
      <c r="I183" s="1" t="str">
        <f t="shared" si="1"/>
        <v/>
      </c>
    </row>
    <row r="184">
      <c r="B184" s="1"/>
      <c r="C184" s="1"/>
      <c r="E184" s="1"/>
      <c r="I184" s="1" t="str">
        <f t="shared" si="1"/>
        <v/>
      </c>
    </row>
    <row r="185">
      <c r="B185" s="1"/>
      <c r="C185" s="1"/>
      <c r="E185" s="1"/>
      <c r="I185" s="1" t="str">
        <f t="shared" si="1"/>
        <v/>
      </c>
    </row>
    <row r="186">
      <c r="B186" s="1"/>
      <c r="C186" s="1"/>
      <c r="E186" s="1"/>
      <c r="I186" s="1" t="str">
        <f t="shared" si="1"/>
        <v/>
      </c>
    </row>
    <row r="187">
      <c r="B187" s="1"/>
      <c r="C187" s="1"/>
      <c r="E187" s="1"/>
      <c r="I187" s="1" t="str">
        <f t="shared" si="1"/>
        <v/>
      </c>
    </row>
    <row r="188">
      <c r="B188" s="1"/>
      <c r="C188" s="1"/>
      <c r="E188" s="1"/>
      <c r="I188" s="1" t="str">
        <f t="shared" si="1"/>
        <v/>
      </c>
    </row>
    <row r="189">
      <c r="B189" s="1"/>
      <c r="C189" s="1"/>
      <c r="E189" s="1"/>
      <c r="I189" s="1" t="str">
        <f t="shared" si="1"/>
        <v/>
      </c>
    </row>
    <row r="190">
      <c r="B190" s="1"/>
      <c r="C190" s="1"/>
      <c r="E190" s="1"/>
      <c r="I190" s="1" t="str">
        <f t="shared" si="1"/>
        <v/>
      </c>
    </row>
    <row r="191">
      <c r="B191" s="1"/>
      <c r="C191" s="1"/>
      <c r="E191" s="1"/>
      <c r="I191" s="1" t="str">
        <f t="shared" si="1"/>
        <v/>
      </c>
    </row>
    <row r="192">
      <c r="B192" s="1"/>
      <c r="C192" s="1"/>
      <c r="E192" s="1"/>
      <c r="I192" s="1" t="str">
        <f t="shared" si="1"/>
        <v/>
      </c>
    </row>
    <row r="193">
      <c r="B193" s="1"/>
      <c r="C193" s="1"/>
      <c r="E193" s="1"/>
      <c r="I193" s="1" t="str">
        <f t="shared" si="1"/>
        <v/>
      </c>
    </row>
    <row r="194">
      <c r="B194" s="1"/>
      <c r="C194" s="1"/>
      <c r="E194" s="1"/>
      <c r="I194" s="1" t="str">
        <f t="shared" si="1"/>
        <v/>
      </c>
    </row>
    <row r="195">
      <c r="B195" s="1"/>
      <c r="C195" s="1"/>
      <c r="E195" s="1"/>
      <c r="I195" s="1" t="str">
        <f t="shared" si="1"/>
        <v/>
      </c>
    </row>
    <row r="196">
      <c r="B196" s="1"/>
      <c r="C196" s="1"/>
      <c r="E196" s="1"/>
      <c r="I196" s="1" t="str">
        <f t="shared" si="1"/>
        <v/>
      </c>
    </row>
    <row r="197">
      <c r="B197" s="1"/>
      <c r="C197" s="1"/>
      <c r="E197" s="1"/>
      <c r="I197" s="1" t="str">
        <f t="shared" si="1"/>
        <v/>
      </c>
    </row>
    <row r="198">
      <c r="B198" s="1"/>
      <c r="C198" s="1"/>
      <c r="E198" s="1"/>
      <c r="I198" s="1" t="str">
        <f t="shared" si="1"/>
        <v/>
      </c>
    </row>
    <row r="199">
      <c r="B199" s="1"/>
      <c r="C199" s="1"/>
      <c r="E199" s="1"/>
      <c r="I199" s="1" t="str">
        <f t="shared" si="1"/>
        <v/>
      </c>
    </row>
    <row r="200">
      <c r="B200" s="1"/>
      <c r="C200" s="1"/>
      <c r="E200" s="1"/>
      <c r="I200" s="1" t="str">
        <f t="shared" si="1"/>
        <v/>
      </c>
    </row>
    <row r="201">
      <c r="B201" s="1"/>
      <c r="C201" s="1"/>
      <c r="E201" s="1"/>
      <c r="I201" s="1" t="str">
        <f t="shared" si="1"/>
        <v/>
      </c>
    </row>
    <row r="202">
      <c r="B202" s="1"/>
      <c r="C202" s="1"/>
      <c r="E202" s="1"/>
      <c r="I202" s="1" t="str">
        <f t="shared" si="1"/>
        <v/>
      </c>
    </row>
    <row r="203">
      <c r="B203" s="1"/>
      <c r="C203" s="1"/>
      <c r="E203" s="1"/>
      <c r="I203" s="1" t="str">
        <f t="shared" si="1"/>
        <v/>
      </c>
    </row>
    <row r="204">
      <c r="B204" s="1"/>
      <c r="C204" s="1"/>
      <c r="E204" s="1"/>
      <c r="I204" s="1" t="str">
        <f t="shared" si="1"/>
        <v/>
      </c>
    </row>
    <row r="205">
      <c r="B205" s="1"/>
      <c r="C205" s="1"/>
      <c r="E205" s="1"/>
      <c r="I205" s="1" t="str">
        <f t="shared" si="1"/>
        <v/>
      </c>
    </row>
    <row r="206">
      <c r="B206" s="1"/>
      <c r="C206" s="1"/>
      <c r="E206" s="1"/>
      <c r="I206" s="1" t="str">
        <f t="shared" si="1"/>
        <v/>
      </c>
    </row>
    <row r="207">
      <c r="B207" s="1"/>
      <c r="C207" s="1"/>
      <c r="E207" s="1"/>
      <c r="I207" s="1" t="str">
        <f t="shared" si="1"/>
        <v/>
      </c>
    </row>
    <row r="208">
      <c r="B208" s="1"/>
      <c r="C208" s="1"/>
      <c r="E208" s="1"/>
      <c r="I208" s="1" t="str">
        <f t="shared" si="1"/>
        <v/>
      </c>
    </row>
    <row r="209">
      <c r="B209" s="1"/>
      <c r="C209" s="1"/>
      <c r="E209" s="1"/>
      <c r="I209" s="1" t="str">
        <f t="shared" si="1"/>
        <v/>
      </c>
    </row>
    <row r="210">
      <c r="B210" s="1"/>
      <c r="C210" s="1"/>
      <c r="E210" s="1"/>
      <c r="I210" s="1" t="str">
        <f t="shared" si="1"/>
        <v/>
      </c>
    </row>
    <row r="211">
      <c r="B211" s="1"/>
      <c r="C211" s="1"/>
      <c r="E211" s="1"/>
      <c r="I211" s="1" t="str">
        <f t="shared" si="1"/>
        <v/>
      </c>
    </row>
    <row r="212">
      <c r="B212" s="1"/>
      <c r="C212" s="1"/>
      <c r="E212" s="1"/>
      <c r="I212" s="1" t="str">
        <f t="shared" si="1"/>
        <v/>
      </c>
    </row>
    <row r="213">
      <c r="B213" s="1"/>
      <c r="C213" s="1"/>
      <c r="E213" s="1"/>
      <c r="I213" s="1" t="str">
        <f t="shared" si="1"/>
        <v/>
      </c>
    </row>
    <row r="214">
      <c r="B214" s="1"/>
      <c r="C214" s="1"/>
      <c r="E214" s="1"/>
      <c r="I214" s="1" t="str">
        <f t="shared" si="1"/>
        <v/>
      </c>
    </row>
    <row r="215">
      <c r="B215" s="1"/>
      <c r="C215" s="1"/>
      <c r="E215" s="1"/>
      <c r="I215" s="1" t="str">
        <f t="shared" si="1"/>
        <v/>
      </c>
    </row>
    <row r="216">
      <c r="B216" s="1"/>
      <c r="C216" s="1"/>
      <c r="E216" s="1"/>
      <c r="I216" s="1" t="str">
        <f t="shared" si="1"/>
        <v/>
      </c>
    </row>
    <row r="217">
      <c r="B217" s="1"/>
      <c r="C217" s="1"/>
      <c r="E217" s="1"/>
      <c r="I217" s="1" t="str">
        <f t="shared" si="1"/>
        <v/>
      </c>
    </row>
    <row r="218">
      <c r="B218" s="1"/>
      <c r="C218" s="1"/>
      <c r="E218" s="1"/>
      <c r="I218" s="1" t="str">
        <f t="shared" si="1"/>
        <v/>
      </c>
    </row>
    <row r="219">
      <c r="B219" s="1"/>
      <c r="C219" s="1"/>
      <c r="E219" s="1"/>
      <c r="I219" s="1" t="str">
        <f t="shared" si="1"/>
        <v/>
      </c>
    </row>
    <row r="220">
      <c r="B220" s="1"/>
      <c r="C220" s="1"/>
      <c r="E220" s="1"/>
      <c r="I220" s="1" t="str">
        <f t="shared" si="1"/>
        <v/>
      </c>
    </row>
    <row r="221">
      <c r="B221" s="1"/>
      <c r="C221" s="1"/>
      <c r="E221" s="1"/>
      <c r="I221" s="1" t="str">
        <f t="shared" si="1"/>
        <v/>
      </c>
    </row>
    <row r="222">
      <c r="B222" s="1"/>
      <c r="C222" s="1"/>
      <c r="E222" s="1"/>
      <c r="I222" s="1" t="str">
        <f t="shared" si="1"/>
        <v/>
      </c>
    </row>
    <row r="223">
      <c r="B223" s="1"/>
      <c r="C223" s="1"/>
      <c r="E223" s="1"/>
      <c r="I223" s="1" t="str">
        <f t="shared" si="1"/>
        <v/>
      </c>
    </row>
    <row r="224">
      <c r="B224" s="1"/>
      <c r="C224" s="1"/>
      <c r="E224" s="1"/>
      <c r="I224" s="1" t="str">
        <f t="shared" si="1"/>
        <v/>
      </c>
    </row>
    <row r="225">
      <c r="B225" s="1"/>
      <c r="C225" s="1"/>
      <c r="E225" s="1"/>
      <c r="I225" s="1" t="str">
        <f t="shared" si="1"/>
        <v/>
      </c>
    </row>
    <row r="226">
      <c r="B226" s="1"/>
      <c r="C226" s="1"/>
      <c r="E226" s="1"/>
      <c r="I226" s="1" t="str">
        <f t="shared" si="1"/>
        <v/>
      </c>
    </row>
    <row r="227">
      <c r="B227" s="1"/>
      <c r="C227" s="1"/>
      <c r="E227" s="1"/>
      <c r="I227" s="1" t="str">
        <f t="shared" si="1"/>
        <v/>
      </c>
    </row>
    <row r="228">
      <c r="B228" s="1"/>
      <c r="C228" s="1"/>
      <c r="E228" s="1"/>
      <c r="I228" s="1" t="str">
        <f t="shared" si="1"/>
        <v/>
      </c>
    </row>
    <row r="229">
      <c r="B229" s="1"/>
      <c r="C229" s="1"/>
      <c r="E229" s="1"/>
      <c r="I229" s="1" t="str">
        <f t="shared" si="1"/>
        <v/>
      </c>
    </row>
    <row r="230">
      <c r="B230" s="1"/>
      <c r="C230" s="1"/>
      <c r="E230" s="1"/>
      <c r="I230" s="1" t="str">
        <f t="shared" si="1"/>
        <v/>
      </c>
    </row>
    <row r="231">
      <c r="B231" s="1"/>
      <c r="C231" s="1"/>
      <c r="E231" s="1"/>
      <c r="I231" s="1" t="str">
        <f t="shared" si="1"/>
        <v/>
      </c>
    </row>
    <row r="232">
      <c r="B232" s="1"/>
      <c r="C232" s="1"/>
      <c r="E232" s="1"/>
      <c r="I232" s="1" t="str">
        <f t="shared" si="1"/>
        <v/>
      </c>
    </row>
    <row r="233">
      <c r="B233" s="1"/>
      <c r="C233" s="1"/>
      <c r="E233" s="1"/>
      <c r="I233" s="1" t="str">
        <f t="shared" si="1"/>
        <v/>
      </c>
    </row>
    <row r="234">
      <c r="B234" s="1"/>
      <c r="C234" s="1"/>
      <c r="E234" s="1"/>
      <c r="I234" s="1" t="str">
        <f t="shared" si="1"/>
        <v/>
      </c>
    </row>
    <row r="235">
      <c r="B235" s="1"/>
      <c r="C235" s="1"/>
      <c r="E235" s="1"/>
      <c r="I235" s="1" t="str">
        <f t="shared" si="1"/>
        <v/>
      </c>
    </row>
    <row r="236">
      <c r="B236" s="1"/>
      <c r="C236" s="1"/>
      <c r="E236" s="1"/>
      <c r="I236" s="1" t="str">
        <f t="shared" si="1"/>
        <v/>
      </c>
    </row>
    <row r="237">
      <c r="B237" s="1"/>
      <c r="C237" s="1"/>
      <c r="E237" s="1"/>
      <c r="I237" s="1" t="str">
        <f t="shared" si="1"/>
        <v/>
      </c>
    </row>
    <row r="238">
      <c r="B238" s="1"/>
      <c r="C238" s="1"/>
      <c r="E238" s="1"/>
      <c r="I238" s="1" t="str">
        <f t="shared" si="1"/>
        <v/>
      </c>
    </row>
    <row r="239">
      <c r="B239" s="1"/>
      <c r="C239" s="1"/>
      <c r="E239" s="1"/>
      <c r="I239" s="1" t="str">
        <f t="shared" si="1"/>
        <v/>
      </c>
    </row>
    <row r="240">
      <c r="B240" s="1"/>
      <c r="C240" s="1"/>
      <c r="E240" s="1"/>
      <c r="I240" s="1" t="str">
        <f t="shared" si="1"/>
        <v/>
      </c>
    </row>
    <row r="241">
      <c r="B241" s="1"/>
      <c r="C241" s="1"/>
      <c r="E241" s="1"/>
      <c r="I241" s="1" t="str">
        <f t="shared" si="1"/>
        <v/>
      </c>
    </row>
    <row r="242">
      <c r="B242" s="1"/>
      <c r="C242" s="1"/>
      <c r="E242" s="1"/>
      <c r="I242" s="1" t="str">
        <f t="shared" si="1"/>
        <v/>
      </c>
    </row>
    <row r="243">
      <c r="B243" s="1"/>
      <c r="C243" s="1"/>
      <c r="E243" s="1"/>
      <c r="I243" s="1" t="str">
        <f t="shared" si="1"/>
        <v/>
      </c>
    </row>
    <row r="244">
      <c r="B244" s="1"/>
      <c r="C244" s="1"/>
      <c r="E244" s="1"/>
      <c r="I244" s="1" t="str">
        <f t="shared" si="1"/>
        <v/>
      </c>
    </row>
    <row r="245">
      <c r="B245" s="1"/>
      <c r="C245" s="1"/>
      <c r="E245" s="1"/>
      <c r="I245" s="1" t="str">
        <f t="shared" si="1"/>
        <v/>
      </c>
    </row>
    <row r="246">
      <c r="B246" s="1"/>
      <c r="C246" s="1"/>
      <c r="E246" s="1"/>
      <c r="I246" s="1" t="str">
        <f t="shared" si="1"/>
        <v/>
      </c>
    </row>
    <row r="247">
      <c r="B247" s="1"/>
      <c r="C247" s="1"/>
      <c r="E247" s="1"/>
      <c r="I247" s="1" t="str">
        <f t="shared" si="1"/>
        <v/>
      </c>
    </row>
    <row r="248">
      <c r="B248" s="1"/>
      <c r="C248" s="1"/>
      <c r="E248" s="1"/>
      <c r="I248" s="1" t="str">
        <f t="shared" si="1"/>
        <v/>
      </c>
    </row>
    <row r="249">
      <c r="B249" s="1"/>
      <c r="C249" s="1"/>
      <c r="E249" s="1"/>
      <c r="I249" s="1" t="str">
        <f t="shared" si="1"/>
        <v/>
      </c>
    </row>
    <row r="250">
      <c r="B250" s="1"/>
      <c r="C250" s="1"/>
      <c r="E250" s="1"/>
      <c r="I250" s="1" t="str">
        <f t="shared" si="1"/>
        <v/>
      </c>
    </row>
    <row r="251">
      <c r="B251" s="1"/>
      <c r="C251" s="1"/>
      <c r="E251" s="1"/>
      <c r="I251" s="1" t="str">
        <f t="shared" si="1"/>
        <v/>
      </c>
    </row>
    <row r="252">
      <c r="B252" s="1"/>
      <c r="C252" s="1"/>
      <c r="E252" s="1"/>
      <c r="I252" s="1" t="str">
        <f t="shared" si="1"/>
        <v/>
      </c>
    </row>
    <row r="253">
      <c r="B253" s="1"/>
      <c r="C253" s="1"/>
      <c r="E253" s="1"/>
      <c r="I253" s="1" t="str">
        <f t="shared" si="1"/>
        <v/>
      </c>
    </row>
    <row r="254">
      <c r="B254" s="1"/>
      <c r="C254" s="1"/>
      <c r="E254" s="1"/>
      <c r="I254" s="1" t="str">
        <f t="shared" si="1"/>
        <v/>
      </c>
    </row>
    <row r="255">
      <c r="B255" s="1"/>
      <c r="C255" s="1"/>
      <c r="E255" s="1"/>
      <c r="I255" s="1" t="str">
        <f t="shared" si="1"/>
        <v/>
      </c>
    </row>
    <row r="256">
      <c r="B256" s="1"/>
      <c r="C256" s="1"/>
      <c r="E256" s="1"/>
      <c r="I256" s="1" t="str">
        <f t="shared" si="1"/>
        <v/>
      </c>
    </row>
    <row r="257">
      <c r="B257" s="1"/>
      <c r="C257" s="1"/>
      <c r="E257" s="1"/>
      <c r="I257" s="1" t="str">
        <f t="shared" si="1"/>
        <v/>
      </c>
    </row>
    <row r="258">
      <c r="B258" s="1"/>
      <c r="C258" s="1"/>
      <c r="E258" s="1"/>
      <c r="I258" s="1" t="str">
        <f t="shared" si="1"/>
        <v/>
      </c>
    </row>
    <row r="259">
      <c r="B259" s="1"/>
      <c r="C259" s="1"/>
      <c r="E259" s="1"/>
      <c r="I259" s="1" t="str">
        <f t="shared" si="1"/>
        <v/>
      </c>
    </row>
    <row r="260">
      <c r="B260" s="1"/>
      <c r="C260" s="1"/>
      <c r="E260" s="1"/>
      <c r="I260" s="1" t="str">
        <f t="shared" si="1"/>
        <v/>
      </c>
    </row>
    <row r="261">
      <c r="B261" s="1"/>
      <c r="C261" s="1"/>
      <c r="E261" s="1"/>
      <c r="I261" s="1" t="str">
        <f t="shared" si="1"/>
        <v/>
      </c>
    </row>
    <row r="262">
      <c r="B262" s="1"/>
      <c r="C262" s="1"/>
      <c r="E262" s="1"/>
      <c r="I262" s="1" t="str">
        <f t="shared" si="1"/>
        <v/>
      </c>
    </row>
    <row r="263">
      <c r="B263" s="1"/>
      <c r="C263" s="1"/>
      <c r="E263" s="1"/>
      <c r="I263" s="1" t="str">
        <f t="shared" si="1"/>
        <v/>
      </c>
    </row>
    <row r="264">
      <c r="B264" s="1"/>
      <c r="C264" s="1"/>
      <c r="E264" s="1"/>
      <c r="I264" s="1" t="str">
        <f t="shared" si="1"/>
        <v/>
      </c>
    </row>
    <row r="265">
      <c r="B265" s="1"/>
      <c r="C265" s="1"/>
      <c r="E265" s="1"/>
      <c r="I265" s="1" t="str">
        <f t="shared" si="1"/>
        <v/>
      </c>
    </row>
    <row r="266">
      <c r="B266" s="1"/>
      <c r="C266" s="1"/>
      <c r="E266" s="1"/>
      <c r="I266" s="1" t="str">
        <f t="shared" si="1"/>
        <v/>
      </c>
    </row>
    <row r="267">
      <c r="B267" s="1"/>
      <c r="C267" s="1"/>
      <c r="E267" s="1"/>
      <c r="I267" s="1" t="str">
        <f t="shared" si="1"/>
        <v/>
      </c>
    </row>
    <row r="268">
      <c r="B268" s="1"/>
      <c r="C268" s="1"/>
      <c r="E268" s="1"/>
      <c r="I268" s="1" t="str">
        <f t="shared" si="1"/>
        <v/>
      </c>
    </row>
    <row r="269">
      <c r="B269" s="1"/>
      <c r="C269" s="1"/>
      <c r="E269" s="1"/>
      <c r="I269" s="1" t="str">
        <f t="shared" si="1"/>
        <v/>
      </c>
    </row>
    <row r="270">
      <c r="B270" s="1"/>
      <c r="C270" s="1"/>
      <c r="E270" s="1"/>
      <c r="I270" s="1" t="str">
        <f t="shared" si="1"/>
        <v/>
      </c>
    </row>
    <row r="271">
      <c r="B271" s="1"/>
      <c r="C271" s="1"/>
      <c r="E271" s="1"/>
      <c r="I271" s="1" t="str">
        <f t="shared" si="1"/>
        <v/>
      </c>
    </row>
    <row r="272">
      <c r="B272" s="1"/>
      <c r="C272" s="1"/>
      <c r="E272" s="1"/>
      <c r="I272" s="1" t="str">
        <f t="shared" si="1"/>
        <v/>
      </c>
    </row>
    <row r="273">
      <c r="B273" s="1"/>
      <c r="C273" s="1"/>
      <c r="E273" s="1"/>
      <c r="I273" s="1" t="str">
        <f t="shared" si="1"/>
        <v/>
      </c>
    </row>
    <row r="274">
      <c r="B274" s="1"/>
      <c r="C274" s="1"/>
      <c r="E274" s="1"/>
      <c r="I274" s="1" t="str">
        <f t="shared" si="1"/>
        <v/>
      </c>
    </row>
    <row r="275">
      <c r="B275" s="1"/>
      <c r="C275" s="1"/>
      <c r="E275" s="1"/>
      <c r="I275" s="1" t="str">
        <f t="shared" si="1"/>
        <v/>
      </c>
    </row>
    <row r="276">
      <c r="B276" s="1"/>
      <c r="C276" s="1"/>
      <c r="E276" s="1"/>
      <c r="I276" s="1" t="str">
        <f t="shared" si="1"/>
        <v/>
      </c>
    </row>
    <row r="277">
      <c r="B277" s="1"/>
      <c r="C277" s="1"/>
      <c r="E277" s="1"/>
      <c r="I277" s="1" t="str">
        <f t="shared" si="1"/>
        <v/>
      </c>
    </row>
    <row r="278">
      <c r="B278" s="1"/>
      <c r="C278" s="1"/>
      <c r="E278" s="1"/>
      <c r="I278" s="1" t="str">
        <f t="shared" si="1"/>
        <v/>
      </c>
    </row>
    <row r="279">
      <c r="B279" s="1"/>
      <c r="C279" s="1"/>
      <c r="E279" s="1"/>
      <c r="I279" s="1" t="str">
        <f t="shared" si="1"/>
        <v/>
      </c>
    </row>
    <row r="280">
      <c r="B280" s="1"/>
      <c r="C280" s="1"/>
      <c r="E280" s="1"/>
      <c r="I280" s="1" t="str">
        <f t="shared" si="1"/>
        <v/>
      </c>
    </row>
    <row r="281">
      <c r="B281" s="1"/>
      <c r="C281" s="1"/>
      <c r="E281" s="1"/>
      <c r="I281" s="1" t="str">
        <f t="shared" si="1"/>
        <v/>
      </c>
    </row>
    <row r="282">
      <c r="B282" s="1"/>
      <c r="C282" s="1"/>
      <c r="E282" s="1"/>
      <c r="I282" s="1" t="str">
        <f t="shared" si="1"/>
        <v/>
      </c>
    </row>
    <row r="283">
      <c r="B283" s="1"/>
      <c r="C283" s="1"/>
      <c r="E283" s="1"/>
      <c r="I283" s="1" t="str">
        <f t="shared" si="1"/>
        <v/>
      </c>
    </row>
    <row r="284">
      <c r="B284" s="1"/>
      <c r="C284" s="1"/>
      <c r="E284" s="1"/>
      <c r="I284" s="1" t="str">
        <f t="shared" si="1"/>
        <v/>
      </c>
    </row>
    <row r="285">
      <c r="B285" s="1"/>
      <c r="C285" s="1"/>
      <c r="E285" s="1"/>
      <c r="I285" s="1" t="str">
        <f t="shared" si="1"/>
        <v/>
      </c>
    </row>
    <row r="286">
      <c r="B286" s="1"/>
      <c r="C286" s="1"/>
      <c r="E286" s="1"/>
      <c r="I286" s="1" t="str">
        <f t="shared" si="1"/>
        <v/>
      </c>
    </row>
    <row r="287">
      <c r="B287" s="1"/>
      <c r="C287" s="1"/>
      <c r="E287" s="1"/>
      <c r="I287" s="1" t="str">
        <f t="shared" si="1"/>
        <v/>
      </c>
    </row>
    <row r="288">
      <c r="B288" s="1"/>
      <c r="C288" s="1"/>
      <c r="E288" s="1"/>
      <c r="I288" s="1" t="str">
        <f t="shared" si="1"/>
        <v/>
      </c>
    </row>
    <row r="289">
      <c r="B289" s="1"/>
      <c r="C289" s="1"/>
      <c r="E289" s="1"/>
      <c r="I289" s="1" t="str">
        <f t="shared" si="1"/>
        <v/>
      </c>
    </row>
    <row r="290">
      <c r="B290" s="1"/>
      <c r="C290" s="1"/>
      <c r="E290" s="1"/>
      <c r="I290" s="1" t="str">
        <f t="shared" si="1"/>
        <v/>
      </c>
    </row>
    <row r="291">
      <c r="B291" s="1"/>
      <c r="C291" s="1"/>
      <c r="E291" s="1"/>
      <c r="I291" s="1" t="str">
        <f t="shared" si="1"/>
        <v/>
      </c>
    </row>
    <row r="292">
      <c r="B292" s="1"/>
      <c r="C292" s="1"/>
      <c r="E292" s="1"/>
      <c r="I292" s="1" t="str">
        <f t="shared" si="1"/>
        <v/>
      </c>
    </row>
    <row r="293">
      <c r="B293" s="1"/>
      <c r="C293" s="1"/>
      <c r="E293" s="1"/>
      <c r="I293" s="1" t="str">
        <f t="shared" si="1"/>
        <v/>
      </c>
    </row>
    <row r="294">
      <c r="B294" s="1"/>
      <c r="C294" s="1"/>
      <c r="E294" s="1"/>
      <c r="I294" s="1" t="str">
        <f t="shared" si="1"/>
        <v/>
      </c>
    </row>
    <row r="295">
      <c r="B295" s="1"/>
      <c r="C295" s="1"/>
      <c r="E295" s="1"/>
      <c r="I295" s="1" t="str">
        <f t="shared" si="1"/>
        <v/>
      </c>
    </row>
    <row r="296">
      <c r="B296" s="1"/>
      <c r="C296" s="1"/>
      <c r="E296" s="1"/>
      <c r="I296" s="1" t="str">
        <f t="shared" si="1"/>
        <v/>
      </c>
    </row>
    <row r="297">
      <c r="B297" s="1"/>
      <c r="C297" s="1"/>
      <c r="E297" s="1"/>
      <c r="I297" s="1" t="str">
        <f t="shared" si="1"/>
        <v/>
      </c>
    </row>
    <row r="298">
      <c r="B298" s="1"/>
      <c r="C298" s="1"/>
      <c r="E298" s="1"/>
      <c r="I298" s="1" t="str">
        <f t="shared" si="1"/>
        <v/>
      </c>
    </row>
    <row r="299">
      <c r="B299" s="1"/>
      <c r="C299" s="1"/>
      <c r="E299" s="1"/>
      <c r="I299" s="1" t="str">
        <f t="shared" si="1"/>
        <v/>
      </c>
    </row>
    <row r="300">
      <c r="B300" s="1"/>
      <c r="C300" s="1"/>
      <c r="E300" s="1"/>
      <c r="I300" s="1" t="str">
        <f t="shared" si="1"/>
        <v/>
      </c>
    </row>
    <row r="301">
      <c r="B301" s="1"/>
      <c r="C301" s="1"/>
      <c r="I301" s="1" t="str">
        <f t="shared" si="1"/>
        <v/>
      </c>
    </row>
    <row r="302">
      <c r="B302" s="1"/>
      <c r="C302" s="1"/>
      <c r="I302" s="1" t="str">
        <f t="shared" si="1"/>
        <v/>
      </c>
    </row>
    <row r="303">
      <c r="B303" s="1"/>
      <c r="C303" s="1"/>
      <c r="I303" s="1" t="str">
        <f t="shared" si="1"/>
        <v/>
      </c>
    </row>
    <row r="304">
      <c r="I304" s="1" t="str">
        <f t="shared" si="1"/>
        <v/>
      </c>
    </row>
    <row r="305">
      <c r="I305" s="1" t="str">
        <f t="shared" si="1"/>
        <v/>
      </c>
    </row>
    <row r="306">
      <c r="I306" s="1" t="str">
        <f t="shared" si="1"/>
        <v/>
      </c>
    </row>
    <row r="307">
      <c r="I307" s="1" t="str">
        <f t="shared" si="1"/>
        <v/>
      </c>
    </row>
    <row r="308">
      <c r="I308" s="1" t="str">
        <f t="shared" si="1"/>
        <v/>
      </c>
    </row>
    <row r="309">
      <c r="I309" s="1" t="str">
        <f t="shared" si="1"/>
        <v/>
      </c>
    </row>
    <row r="310">
      <c r="I310" s="1" t="str">
        <f t="shared" si="1"/>
        <v/>
      </c>
    </row>
    <row r="311">
      <c r="I311" s="1" t="str">
        <f t="shared" si="1"/>
        <v/>
      </c>
    </row>
    <row r="312">
      <c r="I312" s="1" t="str">
        <f t="shared" si="1"/>
        <v/>
      </c>
    </row>
    <row r="313">
      <c r="I313" s="1" t="str">
        <f t="shared" si="1"/>
        <v/>
      </c>
    </row>
    <row r="314">
      <c r="I314" s="1" t="str">
        <f t="shared" si="1"/>
        <v/>
      </c>
    </row>
    <row r="315">
      <c r="I315" s="1" t="str">
        <f t="shared" si="1"/>
        <v/>
      </c>
    </row>
    <row r="316">
      <c r="I316" s="1" t="str">
        <f t="shared" si="1"/>
        <v/>
      </c>
    </row>
    <row r="317">
      <c r="I317" s="1" t="str">
        <f t="shared" si="1"/>
        <v/>
      </c>
    </row>
    <row r="318">
      <c r="I318" s="1" t="str">
        <f t="shared" si="1"/>
        <v/>
      </c>
    </row>
    <row r="319">
      <c r="I319" s="1" t="str">
        <f t="shared" si="1"/>
        <v/>
      </c>
    </row>
    <row r="320">
      <c r="I320" s="1" t="str">
        <f t="shared" si="1"/>
        <v/>
      </c>
    </row>
    <row r="321">
      <c r="I321" s="1" t="str">
        <f t="shared" si="1"/>
        <v/>
      </c>
    </row>
    <row r="322">
      <c r="I322" s="1" t="str">
        <f t="shared" si="1"/>
        <v/>
      </c>
    </row>
    <row r="323">
      <c r="I323" s="1" t="str">
        <f t="shared" si="1"/>
        <v/>
      </c>
    </row>
    <row r="324">
      <c r="I324" s="1" t="str">
        <f t="shared" si="1"/>
        <v/>
      </c>
    </row>
    <row r="325">
      <c r="I325" s="1" t="str">
        <f t="shared" si="1"/>
        <v/>
      </c>
    </row>
    <row r="326">
      <c r="I326" s="1" t="str">
        <f t="shared" si="1"/>
        <v/>
      </c>
    </row>
    <row r="327">
      <c r="I327" s="1" t="str">
        <f t="shared" si="1"/>
        <v/>
      </c>
    </row>
    <row r="328">
      <c r="I328" s="1" t="str">
        <f t="shared" si="1"/>
        <v/>
      </c>
    </row>
    <row r="329">
      <c r="I329" s="1" t="str">
        <f t="shared" si="1"/>
        <v/>
      </c>
    </row>
    <row r="330">
      <c r="I330" s="1" t="str">
        <f t="shared" si="1"/>
        <v/>
      </c>
    </row>
    <row r="331">
      <c r="I331" s="1" t="str">
        <f t="shared" si="1"/>
        <v/>
      </c>
    </row>
    <row r="332">
      <c r="I332" s="1" t="str">
        <f t="shared" si="1"/>
        <v/>
      </c>
    </row>
    <row r="333">
      <c r="I333" s="1" t="str">
        <f t="shared" si="1"/>
        <v/>
      </c>
    </row>
    <row r="334">
      <c r="I334" s="1" t="str">
        <f t="shared" si="1"/>
        <v/>
      </c>
    </row>
    <row r="335">
      <c r="I335" s="1" t="str">
        <f t="shared" si="1"/>
        <v/>
      </c>
    </row>
    <row r="336">
      <c r="I336" s="1" t="str">
        <f t="shared" si="1"/>
        <v/>
      </c>
    </row>
    <row r="337">
      <c r="I337" s="1" t="str">
        <f t="shared" si="1"/>
        <v/>
      </c>
    </row>
  </sheetData>
  <dataValidations>
    <dataValidation type="list" allowBlank="1" showErrorMessage="1" sqref="B3">
      <formula1>'Datos proyecto'!$B$9:$B$17</formula1>
    </dataValidation>
    <dataValidation type="list" allowBlank="1" showErrorMessage="1" sqref="A3:A45">
      <formula1>'Datos proyecto'!G$8:G$85</formula1>
    </dataValidation>
    <dataValidation type="list" allowBlank="1" showErrorMessage="1" sqref="E44:E300">
      <formula1>'Datos proyecto'!$K$8:$K$28</formula1>
    </dataValidation>
    <dataValidation type="list" allowBlank="1" showErrorMessage="1" sqref="C3 B4:C79 B80:B303">
      <formula1>'Datos proyecto'!$B$8:$B$17</formula1>
    </dataValidation>
    <dataValidation type="list" allowBlank="1" showErrorMessage="1" sqref="C80:C303">
      <formula1>$B$3:$B$12</formula1>
    </dataValidation>
    <dataValidation type="list" allowBlank="1" showErrorMessage="1" sqref="E3:E43">
      <formula1>'Estandar defectos'!$A$2:$A$22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7.44"/>
    <col customWidth="1" min="3" max="3" width="14.78"/>
    <col customWidth="1" min="4" max="4" width="13.67"/>
    <col customWidth="1" min="5" max="26" width="10.56"/>
  </cols>
  <sheetData>
    <row r="1">
      <c r="A1" s="3" t="s">
        <v>163</v>
      </c>
    </row>
    <row r="2">
      <c r="A2" s="42" t="s">
        <v>164</v>
      </c>
    </row>
    <row r="3">
      <c r="A3" s="3"/>
      <c r="B3" s="1" t="s">
        <v>115</v>
      </c>
      <c r="C3" s="4">
        <f>SUMIF('Datos proyecto'!J8:J$80,"LOC",'Datos proyecto'!H8:H$80)</f>
        <v>1500</v>
      </c>
      <c r="D3" s="4">
        <f>SUMIF('Datos proyecto'!J8:J$80,"LOC",'Datos proyecto'!I8:I$80)</f>
        <v>1637</v>
      </c>
    </row>
    <row r="4">
      <c r="A4" s="42" t="s">
        <v>165</v>
      </c>
      <c r="C4" s="1" t="s">
        <v>166</v>
      </c>
      <c r="D4" s="1" t="s">
        <v>74</v>
      </c>
    </row>
    <row r="5">
      <c r="B5" s="1" t="s">
        <v>167</v>
      </c>
      <c r="C5" s="43">
        <f>$C$3/'Datos proyecto'!C4</f>
        <v>73.17073171</v>
      </c>
      <c r="D5" s="43">
        <f>$D$3/'Datos proyecto'!D4</f>
        <v>38.33723653</v>
      </c>
    </row>
    <row r="6">
      <c r="B6" s="1" t="s">
        <v>168</v>
      </c>
      <c r="C6" s="9">
        <v>5.0</v>
      </c>
      <c r="D6" s="14">
        <v>5.0</v>
      </c>
    </row>
    <row r="8">
      <c r="A8" s="42" t="s">
        <v>169</v>
      </c>
    </row>
    <row r="9">
      <c r="B9" s="1" t="s">
        <v>170</v>
      </c>
      <c r="C9" s="35">
        <f>IFERROR(DefectosFase!L5/SUMIF('Datos proyecto'!$K$8:$K$80,"Requisitospaginas de texto",'Datos proyecto'!H$8:H$80),"")</f>
        <v>0</v>
      </c>
      <c r="D9" s="4">
        <f>IFERROR(DefectosFase!M5/SUMIF('Datos proyecto'!$K$8:$K$80,"Requisitospaginas de texto",'Datos proyecto'!I$8:I$80),"")</f>
        <v>0</v>
      </c>
    </row>
    <row r="10">
      <c r="B10" s="1" t="s">
        <v>102</v>
      </c>
      <c r="C10" s="35">
        <f>IFERROR(DefectosFase!L7/SUMIF('Datos proyecto'!$K$8:$K$80,"Diseñopaginas de texto",'Datos proyecto'!H$8:H$80),"")</f>
        <v>0.25</v>
      </c>
      <c r="D10" s="4">
        <f>IFERROR(DefectosFase!M7/SUMIF('Datos proyecto'!$K$8:$K$80,"Diseñopaginas de texto",'Datos proyecto'!I$8:I$80),"")</f>
        <v>0</v>
      </c>
    </row>
    <row r="11">
      <c r="A11" s="42" t="s">
        <v>171</v>
      </c>
    </row>
    <row r="12">
      <c r="B12" s="1" t="s">
        <v>172</v>
      </c>
      <c r="C12" s="35">
        <f>DefectosFase!L9/'Plan Calidad'!$C$3*1000</f>
        <v>0</v>
      </c>
      <c r="D12" s="35">
        <f>DefectosFase!M9/'Plan Calidad'!$D$3*1000</f>
        <v>0</v>
      </c>
    </row>
    <row r="13">
      <c r="B13" s="1" t="s">
        <v>173</v>
      </c>
      <c r="C13" s="35">
        <f>DefectosFase!L11/'Plan Calidad'!$C$3*1000</f>
        <v>4</v>
      </c>
      <c r="D13" s="35">
        <f>DefectosFase!M11/'Plan Calidad'!$D$3*1000</f>
        <v>0</v>
      </c>
    </row>
    <row r="14">
      <c r="B14" s="1" t="s">
        <v>174</v>
      </c>
      <c r="C14" s="35">
        <f>DefectosFase!L12/'Plan Calidad'!$C$3*1000</f>
        <v>2</v>
      </c>
      <c r="D14" s="35">
        <f>DefectosFase!M12/'Plan Calidad'!$D$3*1000</f>
        <v>0.6108735492</v>
      </c>
    </row>
    <row r="15">
      <c r="B15" s="1" t="s">
        <v>175</v>
      </c>
      <c r="C15" s="35">
        <f>DefectosFase!L13/'Plan Calidad'!$C$3*1000</f>
        <v>0.6666666667</v>
      </c>
      <c r="D15" s="35">
        <f>DefectosFase!M13/'Plan Calidad'!$D$3*1000</f>
        <v>0.6108735492</v>
      </c>
    </row>
    <row r="16">
      <c r="A16" s="42" t="s">
        <v>176</v>
      </c>
    </row>
    <row r="17">
      <c r="B17" s="44" t="s">
        <v>177</v>
      </c>
      <c r="C17" s="4">
        <f>IFERROR(DefectosFase!L9/DefectosFase!L12,"")</f>
        <v>0</v>
      </c>
      <c r="D17" s="4">
        <f>IFERROR(DefectosFase!M9/DefectosFase!M12,"")</f>
        <v>0</v>
      </c>
    </row>
    <row r="18">
      <c r="A18" s="42" t="s">
        <v>178</v>
      </c>
    </row>
    <row r="19">
      <c r="B19" s="44" t="s">
        <v>179</v>
      </c>
      <c r="C19" s="4">
        <f>IFERROR('Datos proyecto'!C9/'Datos proyecto'!C8,"")</f>
        <v>0</v>
      </c>
      <c r="D19" s="4">
        <f>IFERROR('Datos proyecto'!D9/'Datos proyecto'!D8,"")</f>
        <v>0</v>
      </c>
    </row>
    <row r="20">
      <c r="B20" s="44" t="s">
        <v>180</v>
      </c>
      <c r="C20" s="4">
        <f>IFERROR('Datos proyecto'!C11/'Datos proyecto'!C10,"")</f>
        <v>6</v>
      </c>
      <c r="D20" s="4">
        <f>IFERROR('Datos proyecto'!D11/'Datos proyecto'!D10,"")</f>
        <v>1.05</v>
      </c>
    </row>
    <row r="21">
      <c r="B21" s="1" t="s">
        <v>181</v>
      </c>
      <c r="C21" s="35">
        <f>IFERROR('Datos proyecto'!C12/'Datos proyecto'!C14,"")</f>
        <v>2.8</v>
      </c>
      <c r="D21" s="35">
        <f>IFERROR('Datos proyecto'!D12/'Datos proyecto'!D14,"")</f>
        <v>2.727272727</v>
      </c>
    </row>
    <row r="23">
      <c r="A23" s="42" t="s">
        <v>182</v>
      </c>
    </row>
    <row r="24">
      <c r="B24" s="1" t="s">
        <v>183</v>
      </c>
      <c r="C24" s="4">
        <f>IFERROR(SUMIF('Datos proyecto'!$K$8:$K$80,"Diseño detalladolineas pseudocódigo",'Datos proyecto'!H$8:H$80)/'Datos proyecto'!C13,"")</f>
        <v>0</v>
      </c>
      <c r="D24" s="4">
        <f>IFERROR(SUMIF('Datos proyecto'!$K$8:$K$80,"Diseño detalladolineas pseudocódigo",'Datos proyecto'!I$8:I$80)/'Datos proyecto'!D13,"")</f>
        <v>0</v>
      </c>
    </row>
    <row r="25">
      <c r="B25" s="1" t="s">
        <v>184</v>
      </c>
      <c r="C25" s="43">
        <f>IFERROR(SUMIF('Datos proyecto'!$K$8:$K$80,"CódigoLOC",'Datos proyecto'!H$8:H$80)/'Datos proyecto'!C14,"")</f>
        <v>3000</v>
      </c>
      <c r="D25" s="43">
        <f>IFERROR(SUMIF('Datos proyecto'!$K$8:$K$80,"CódigoLOC",'Datos proyecto'!I$8:I$80)/'Datos proyecto'!D14,"")</f>
        <v>1488.181818</v>
      </c>
    </row>
    <row r="26">
      <c r="A26" s="42" t="s">
        <v>185</v>
      </c>
    </row>
    <row r="27">
      <c r="B27" s="1" t="s">
        <v>89</v>
      </c>
      <c r="C27" s="35">
        <f>IFERROR(DefectosFase!C4/'Datos proyecto'!C8,"")</f>
        <v>0.4</v>
      </c>
      <c r="D27" s="35">
        <f>IFERROR(DefectosFase!D4/'Datos proyecto'!D8,"")</f>
        <v>0</v>
      </c>
    </row>
    <row r="28">
      <c r="B28" s="1" t="s">
        <v>186</v>
      </c>
      <c r="C28" s="35">
        <f>IFERROR(DefectosFase!C6/'Datos proyecto'!C10,"")</f>
        <v>0</v>
      </c>
      <c r="D28" s="35">
        <f>IFERROR(DefectosFase!D6/'Datos proyecto'!D10,"")</f>
        <v>0</v>
      </c>
    </row>
    <row r="29">
      <c r="B29" s="1" t="s">
        <v>187</v>
      </c>
      <c r="C29" s="35">
        <f>IFERROR(DefectosFase!C8/'Datos proyecto'!C12,"")</f>
        <v>1.428571429</v>
      </c>
      <c r="D29" s="35">
        <f>IFERROR(DefectosFase!D8/'Datos proyecto'!D12,"")</f>
        <v>0</v>
      </c>
    </row>
    <row r="30">
      <c r="B30" s="1" t="s">
        <v>104</v>
      </c>
      <c r="C30" s="35">
        <f>IFERROR(DefectosFase!C10/'Datos proyecto'!C14,"")</f>
        <v>0</v>
      </c>
      <c r="D30" s="35">
        <f>IFERROR(DefectosFase!D10/'Datos proyecto'!D14,"")</f>
        <v>0</v>
      </c>
    </row>
    <row r="32">
      <c r="A32" s="42" t="s">
        <v>188</v>
      </c>
    </row>
    <row r="33">
      <c r="B33" s="1" t="s">
        <v>189</v>
      </c>
      <c r="C33" s="35" t="str">
        <f>IFERROR(DefectosFase!L5/'Datos proyecto'!C9,"")</f>
        <v/>
      </c>
      <c r="D33" s="35" t="str">
        <f>IFERROR(DefectosFase!M5/'Datos proyecto'!D9,"")</f>
        <v/>
      </c>
    </row>
    <row r="34">
      <c r="B34" s="1" t="s">
        <v>190</v>
      </c>
      <c r="C34" s="35">
        <f>IFERROR(DefectosFase!L7/'Datos proyecto'!C11,"")</f>
        <v>0.8333333333</v>
      </c>
      <c r="D34" s="35">
        <f>IFERROR(DefectosFase!M7/'Datos proyecto'!D11,"")</f>
        <v>0</v>
      </c>
    </row>
    <row r="35">
      <c r="B35" s="1" t="s">
        <v>191</v>
      </c>
      <c r="C35" s="35">
        <f>IFERROR(DefectosFase!L8/'Datos proyecto'!C13,"")</f>
        <v>2.5</v>
      </c>
      <c r="D35" s="35">
        <f>IFERROR(DefectosFase!M8/'Datos proyecto'!D13,"")</f>
        <v>0</v>
      </c>
    </row>
    <row r="36">
      <c r="B36" s="1" t="s">
        <v>107</v>
      </c>
      <c r="C36" s="35">
        <f>IFERROR(DefectosFase!L11/'Datos proyecto'!C15,"")</f>
        <v>4.615384615</v>
      </c>
      <c r="D36" s="35">
        <f>IFERROR(DefectosFase!M11/'Datos proyecto'!D15,"")</f>
        <v>0</v>
      </c>
    </row>
    <row r="37">
      <c r="B37" s="1" t="s">
        <v>174</v>
      </c>
      <c r="C37" s="35">
        <f>IFERROR(DefectosFase!L12/'Datos proyecto'!C16,"")</f>
        <v>1.875</v>
      </c>
      <c r="D37" s="35">
        <f>IFERROR(DefectosFase!M12/'Datos proyecto'!D16,"")</f>
        <v>0.2631578947</v>
      </c>
    </row>
    <row r="38">
      <c r="B38" s="1" t="s">
        <v>192</v>
      </c>
      <c r="C38" s="35">
        <f>IFERROR(DefectosFase!L13/'Datos proyecto'!C17,"")</f>
        <v>1.666666667</v>
      </c>
      <c r="D38" s="35">
        <f>IFERROR(DefectosFase!M13/'Datos proyecto'!D17,"")</f>
        <v>1</v>
      </c>
    </row>
    <row r="40">
      <c r="A40" s="42" t="s">
        <v>193</v>
      </c>
    </row>
    <row r="41">
      <c r="B41" s="1" t="s">
        <v>194</v>
      </c>
      <c r="C41" s="5"/>
      <c r="D41" s="45" t="str">
        <f>Rendimiento!R5</f>
        <v/>
      </c>
    </row>
    <row r="42">
      <c r="B42" s="1" t="s">
        <v>195</v>
      </c>
      <c r="C42" s="5"/>
      <c r="D42" s="45" t="str">
        <f>Rendimiento!R7</f>
        <v/>
      </c>
    </row>
    <row r="43">
      <c r="B43" s="1" t="s">
        <v>196</v>
      </c>
      <c r="C43" s="5"/>
      <c r="D43" s="45" t="str">
        <f>Rendimiento!R9</f>
        <v/>
      </c>
    </row>
    <row r="44">
      <c r="B44" s="1" t="s">
        <v>107</v>
      </c>
      <c r="C44" s="5"/>
      <c r="D44" s="45" t="str">
        <f>Rendimiento!R10</f>
        <v/>
      </c>
    </row>
    <row r="45">
      <c r="B45" s="1" t="s">
        <v>174</v>
      </c>
      <c r="C45" s="5"/>
      <c r="D45" s="45">
        <f>Rendimiento!R12</f>
        <v>0.5</v>
      </c>
    </row>
    <row r="46">
      <c r="B46" s="1" t="s">
        <v>192</v>
      </c>
      <c r="C46" s="5"/>
      <c r="D46" s="45">
        <f>Rendimiento!R13</f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1.33"/>
    <col customWidth="1" min="4" max="12" width="10.56"/>
    <col customWidth="1" min="13" max="13" width="10.44"/>
    <col customWidth="1" min="14" max="18" width="10.56"/>
    <col customWidth="1" min="19" max="19" width="17.44"/>
    <col customWidth="1" min="20" max="26" width="10.56"/>
  </cols>
  <sheetData>
    <row r="1">
      <c r="A1" s="3" t="s">
        <v>197</v>
      </c>
    </row>
    <row r="3">
      <c r="B3" s="1" t="s">
        <v>198</v>
      </c>
      <c r="D3" s="44" t="str">
        <f>'Datos proyecto'!B8</f>
        <v>Lanzamiento</v>
      </c>
      <c r="E3" s="44" t="str">
        <f>'Datos proyecto'!B9</f>
        <v>Requisitos</v>
      </c>
      <c r="F3" s="44" t="str">
        <f>'Datos proyecto'!B10</f>
        <v>Inspección de Requisitos</v>
      </c>
      <c r="G3" s="44" t="str">
        <f>'Datos proyecto'!B11</f>
        <v>Estrategia</v>
      </c>
      <c r="H3" s="44" t="str">
        <f>'Datos proyecto'!B12</f>
        <v>Planificación</v>
      </c>
      <c r="I3" s="44" t="str">
        <f>'Datos proyecto'!B13</f>
        <v>Diseño</v>
      </c>
      <c r="J3" s="44" t="str">
        <f>'Datos proyecto'!B14</f>
        <v>Inspección de diseño</v>
      </c>
      <c r="K3" s="44" t="str">
        <f>'Datos proyecto'!B15</f>
        <v>Código</v>
      </c>
      <c r="L3" s="44" t="str">
        <f>'Datos proyecto'!B16</f>
        <v>Revisión de código</v>
      </c>
      <c r="M3" s="44" t="str">
        <f>'Datos proyecto'!B17</f>
        <v>Pruebas</v>
      </c>
      <c r="N3" s="1" t="s">
        <v>199</v>
      </c>
      <c r="O3" s="1" t="s">
        <v>200</v>
      </c>
      <c r="P3" s="1" t="s">
        <v>201</v>
      </c>
      <c r="Q3" s="1" t="s">
        <v>202</v>
      </c>
      <c r="R3" s="34" t="s">
        <v>203</v>
      </c>
      <c r="S3" s="34" t="s">
        <v>204</v>
      </c>
      <c r="T3" s="34" t="s">
        <v>205</v>
      </c>
    </row>
    <row r="4">
      <c r="C4" s="46" t="str">
        <f>'Datos proyecto'!B8</f>
        <v>Lanzamiento</v>
      </c>
      <c r="D4" s="47">
        <f>COUNTIFS('Lista defectos'!$B:$B,$C4,'Lista defectos'!$C:$C,D$3)</f>
        <v>0</v>
      </c>
      <c r="E4" s="47">
        <f>COUNTIFS('Lista defectos'!$B:$B,$C4,'Lista defectos'!$C:$C,E$3)</f>
        <v>0</v>
      </c>
      <c r="F4" s="47">
        <f>COUNTIFS('Lista defectos'!$B:$B,$C4,'Lista defectos'!$C:$C,F$3)</f>
        <v>0</v>
      </c>
      <c r="G4" s="47">
        <f>COUNTIFS('Lista defectos'!$B:$B,$C4,'Lista defectos'!$C:$C,G$3)</f>
        <v>0</v>
      </c>
      <c r="H4" s="47">
        <f>COUNTIFS('Lista defectos'!$B:$B,$C4,'Lista defectos'!$C:$C,H$3)</f>
        <v>0</v>
      </c>
      <c r="I4" s="47">
        <f>COUNTIFS('Lista defectos'!$B:$B,$C4,'Lista defectos'!$C:$C,I$3)</f>
        <v>0</v>
      </c>
      <c r="J4" s="47">
        <f>COUNTIFS('Lista defectos'!$B:$B,$C4,'Lista defectos'!$C:$C,J$3)</f>
        <v>0</v>
      </c>
      <c r="K4" s="47">
        <f>COUNTIFS('Lista defectos'!$B:$B,$C4,'Lista defectos'!$C:$C,K$3)</f>
        <v>0</v>
      </c>
      <c r="L4" s="47">
        <f>COUNTIFS('Lista defectos'!$B:$B,$C4,'Lista defectos'!$C:$C,L$3)</f>
        <v>0</v>
      </c>
      <c r="M4" s="47">
        <f>COUNTIFS('Lista defectos'!$B:$B,$C4,'Lista defectos'!$C:$C,M$3)</f>
        <v>0</v>
      </c>
      <c r="N4" s="4">
        <f t="shared" ref="N4:N13" si="1">SUM(D4:M4)</f>
        <v>0</v>
      </c>
      <c r="O4" s="4">
        <f>N4</f>
        <v>0</v>
      </c>
      <c r="P4" s="4">
        <f>DefectosFase!M4</f>
        <v>0</v>
      </c>
      <c r="Q4" s="4">
        <f t="shared" ref="Q4:Q13" si="2">O4-P4</f>
        <v>0</v>
      </c>
      <c r="R4" s="45" t="str">
        <f t="shared" ref="R4:R13" si="3">IFERROR(P4/O4,"")</f>
        <v/>
      </c>
      <c r="S4" s="43">
        <f>SUMIF('Lista defectos'!$B$3:$B$400,C4,'Lista defectos'!$D$3:D$400)</f>
        <v>0</v>
      </c>
      <c r="T4" s="43" t="str">
        <f>IF(N4=0,"",AVERAGEIF('Lista defectos'!$B$3:$B$400,C4,'Lista defectos'!$D$3:E$400))</f>
        <v/>
      </c>
    </row>
    <row r="5">
      <c r="C5" s="46" t="str">
        <f>'Datos proyecto'!B9</f>
        <v>Requisitos</v>
      </c>
      <c r="D5" s="48"/>
      <c r="E5" s="47">
        <f>COUNTIFS('Lista defectos'!$B:$B,$C5,'Lista defectos'!$C:$C,E$3)</f>
        <v>0</v>
      </c>
      <c r="F5" s="47">
        <f>COUNTIF('Lista defectos'!$I$3:$I$91,$C$5&amp;F$3)</f>
        <v>0</v>
      </c>
      <c r="G5" s="47">
        <f>COUNTIFS('Lista defectos'!$B:$B,$C5,'Lista defectos'!$C:$C,G$3)</f>
        <v>0</v>
      </c>
      <c r="H5" s="47">
        <f>COUNTIFS('Lista defectos'!$B:$B,$C5,'Lista defectos'!$C:$C,H$3)</f>
        <v>0</v>
      </c>
      <c r="I5" s="47">
        <f>COUNTIFS('Lista defectos'!$B:$B,$C5,'Lista defectos'!$C:$C,I$3)</f>
        <v>0</v>
      </c>
      <c r="J5" s="47">
        <f>COUNTIFS('Lista defectos'!$B:$B,$C5,'Lista defectos'!$C:$C,J$3)</f>
        <v>0</v>
      </c>
      <c r="K5" s="47">
        <f>COUNTIFS('Lista defectos'!$B:$B,$C5,'Lista defectos'!$C:$C,K$3)</f>
        <v>0</v>
      </c>
      <c r="L5" s="47">
        <f>COUNTIFS('Lista defectos'!$B:$B,$C5,'Lista defectos'!$C:$C,L$3)</f>
        <v>0</v>
      </c>
      <c r="M5" s="47">
        <f>COUNTIFS('Lista defectos'!$B:$B,$C5,'Lista defectos'!$C:$C,M$3)</f>
        <v>0</v>
      </c>
      <c r="N5" s="4">
        <f t="shared" si="1"/>
        <v>0</v>
      </c>
      <c r="O5" s="4">
        <f t="shared" ref="O5:O13" si="4">N5+Q4</f>
        <v>0</v>
      </c>
      <c r="P5" s="4">
        <f>DefectosFase!M5</f>
        <v>0</v>
      </c>
      <c r="Q5" s="4">
        <f t="shared" si="2"/>
        <v>0</v>
      </c>
      <c r="R5" s="45" t="str">
        <f t="shared" si="3"/>
        <v/>
      </c>
      <c r="S5" s="43">
        <f>SUMIF('Lista defectos'!$B$3:$B$400,C5,'Lista defectos'!$D$3:D$400)</f>
        <v>0</v>
      </c>
      <c r="T5" s="43" t="str">
        <f>IF(N5=0,"",AVERAGEIF('Lista defectos'!$B$3:$B$400,C5,'Lista defectos'!$D$3:E$400))</f>
        <v/>
      </c>
    </row>
    <row r="6">
      <c r="C6" s="46" t="str">
        <f>'Datos proyecto'!B10</f>
        <v>Inspección de Requisitos</v>
      </c>
      <c r="D6" s="48"/>
      <c r="F6" s="47">
        <f>COUNTIF('Lista defectos'!$I$3:$I$91,$C$6&amp;F$3)</f>
        <v>0</v>
      </c>
      <c r="G6" s="47">
        <f>COUNTIFS('Lista defectos'!$B:$B,$C6,'Lista defectos'!$C:$C,G$3)</f>
        <v>0</v>
      </c>
      <c r="H6" s="47">
        <f>COUNTIFS('Lista defectos'!$B:$B,$C6,'Lista defectos'!$C:$C,H$3)</f>
        <v>0</v>
      </c>
      <c r="I6" s="47">
        <f>COUNTIFS('Lista defectos'!$B:$B,$C6,'Lista defectos'!$C:$C,I$3)</f>
        <v>0</v>
      </c>
      <c r="J6" s="47">
        <f>COUNTIFS('Lista defectos'!$B:$B,$C6,'Lista defectos'!$C:$C,J$3)</f>
        <v>0</v>
      </c>
      <c r="K6" s="47">
        <f>COUNTIFS('Lista defectos'!$B:$B,$C6,'Lista defectos'!$C:$C,K$3)</f>
        <v>0</v>
      </c>
      <c r="L6" s="47">
        <f>COUNTIFS('Lista defectos'!$B:$B,$C6,'Lista defectos'!$C:$C,L$3)</f>
        <v>0</v>
      </c>
      <c r="M6" s="47">
        <f>COUNTIFS('Lista defectos'!$B:$B,$C6,'Lista defectos'!$C:$C,M$3)</f>
        <v>0</v>
      </c>
      <c r="N6" s="4">
        <f t="shared" si="1"/>
        <v>0</v>
      </c>
      <c r="O6" s="4">
        <f t="shared" si="4"/>
        <v>0</v>
      </c>
      <c r="P6" s="4">
        <f>DefectosFase!M6</f>
        <v>0</v>
      </c>
      <c r="Q6" s="4">
        <f t="shared" si="2"/>
        <v>0</v>
      </c>
      <c r="R6" s="45" t="str">
        <f t="shared" si="3"/>
        <v/>
      </c>
      <c r="S6" s="43">
        <f>SUMIF('Lista defectos'!$B$3:$B$400,C6,'Lista defectos'!$D$3:D$400)</f>
        <v>0</v>
      </c>
      <c r="T6" s="43" t="str">
        <f>IF(N6=0,"",AVERAGEIF('Lista defectos'!$B$3:$B$400,C6,'Lista defectos'!$D$3:E$400))</f>
        <v/>
      </c>
    </row>
    <row r="7">
      <c r="C7" s="46" t="str">
        <f>'Datos proyecto'!B11</f>
        <v>Estrategia</v>
      </c>
      <c r="D7" s="48"/>
      <c r="G7" s="47">
        <f>COUNTIFS('Lista defectos'!$B:$B,$C7,'Lista defectos'!$C:$C,G$3)</f>
        <v>0</v>
      </c>
      <c r="H7" s="47">
        <f>COUNTIFS('Lista defectos'!$B:$B,$C7,'Lista defectos'!$C:$C,H$3)</f>
        <v>0</v>
      </c>
      <c r="I7" s="47">
        <f>COUNTIFS('Lista defectos'!$B:$B,$C7,'Lista defectos'!$C:$C,I$3)</f>
        <v>0</v>
      </c>
      <c r="J7" s="47">
        <f>COUNTIFS('Lista defectos'!$B:$B,$C7,'Lista defectos'!$C:$C,J$3)</f>
        <v>0</v>
      </c>
      <c r="K7" s="47">
        <f>COUNTIFS('Lista defectos'!$B:$B,$C7,'Lista defectos'!$C:$C,K$3)</f>
        <v>0</v>
      </c>
      <c r="L7" s="47">
        <f>COUNTIFS('Lista defectos'!$B:$B,$C7,'Lista defectos'!$C:$C,L$3)</f>
        <v>0</v>
      </c>
      <c r="M7" s="47">
        <f>COUNTIFS('Lista defectos'!$B:$B,$C7,'Lista defectos'!$C:$C,M$3)</f>
        <v>0</v>
      </c>
      <c r="N7" s="4">
        <f t="shared" si="1"/>
        <v>0</v>
      </c>
      <c r="O7" s="4">
        <f t="shared" si="4"/>
        <v>0</v>
      </c>
      <c r="P7" s="4">
        <f>DefectosFase!M7</f>
        <v>0</v>
      </c>
      <c r="Q7" s="4">
        <f t="shared" si="2"/>
        <v>0</v>
      </c>
      <c r="R7" s="45" t="str">
        <f t="shared" si="3"/>
        <v/>
      </c>
      <c r="S7" s="43">
        <f>SUMIF('Lista defectos'!$B$3:$B$400,C7,'Lista defectos'!$D$3:D$400)</f>
        <v>0</v>
      </c>
      <c r="T7" s="43" t="str">
        <f>IF(N7=0,"",AVERAGEIF('Lista defectos'!$B$3:$B$400,C7,'Lista defectos'!$D$3:E$400))</f>
        <v/>
      </c>
    </row>
    <row r="8">
      <c r="C8" s="46" t="str">
        <f>'Datos proyecto'!B12</f>
        <v>Planificación</v>
      </c>
      <c r="D8" s="48"/>
      <c r="H8" s="47">
        <f>COUNTIFS('Lista defectos'!$B:$B,$C8,'Lista defectos'!$C:$C,H$3)</f>
        <v>0</v>
      </c>
      <c r="I8" s="47">
        <f>COUNTIFS('Lista defectos'!$B:$B,$C8,'Lista defectos'!$C:$C,I$3)</f>
        <v>0</v>
      </c>
      <c r="J8" s="47">
        <f>COUNTIFS('Lista defectos'!$B:$B,$C8,'Lista defectos'!$C:$C,J$3)</f>
        <v>0</v>
      </c>
      <c r="K8" s="47">
        <f>COUNTIFS('Lista defectos'!$B:$B,$C8,'Lista defectos'!$C:$C,K$3)</f>
        <v>0</v>
      </c>
      <c r="L8" s="47">
        <f>COUNTIFS('Lista defectos'!$B:$B,$C8,'Lista defectos'!$C:$C,L$3)</f>
        <v>0</v>
      </c>
      <c r="M8" s="47">
        <f>COUNTIFS('Lista defectos'!$B:$B,$C8,'Lista defectos'!$C:$C,M$3)</f>
        <v>0</v>
      </c>
      <c r="N8" s="4">
        <f t="shared" si="1"/>
        <v>0</v>
      </c>
      <c r="O8" s="4">
        <f t="shared" si="4"/>
        <v>0</v>
      </c>
      <c r="P8" s="4">
        <f>DefectosFase!M8</f>
        <v>0</v>
      </c>
      <c r="Q8" s="4">
        <f t="shared" si="2"/>
        <v>0</v>
      </c>
      <c r="R8" s="45" t="str">
        <f t="shared" si="3"/>
        <v/>
      </c>
      <c r="S8" s="43">
        <f>SUMIF('Lista defectos'!$B$3:$B$400,C8,'Lista defectos'!$D$3:D$400)</f>
        <v>0</v>
      </c>
      <c r="T8" s="43" t="str">
        <f>IF(N8=0,"",AVERAGEIF('Lista defectos'!$B$3:$B$400,C8,'Lista defectos'!$D$3:E$400))</f>
        <v/>
      </c>
    </row>
    <row r="9">
      <c r="C9" s="46" t="str">
        <f>'Datos proyecto'!B13</f>
        <v>Diseño</v>
      </c>
      <c r="D9" s="48"/>
      <c r="I9" s="47">
        <f>COUNTIFS('Lista defectos'!$B:$B,$C9,'Lista defectos'!$C:$C,I$3)</f>
        <v>0</v>
      </c>
      <c r="J9" s="47">
        <f>COUNTIFS('Lista defectos'!$B:$B,$C9,'Lista defectos'!$C:$C,J$3)</f>
        <v>0</v>
      </c>
      <c r="K9" s="47">
        <f>COUNTIFS('Lista defectos'!$B:$B,$C9,'Lista defectos'!$C:$C,K$3)</f>
        <v>0</v>
      </c>
      <c r="L9" s="47">
        <f>COUNTIFS('Lista defectos'!$B:$B,$C9,'Lista defectos'!$C:$C,L$3)</f>
        <v>0</v>
      </c>
      <c r="M9" s="47">
        <f>COUNTIFS('Lista defectos'!$B:$B,$C9,'Lista defectos'!$C:$C,M$3)</f>
        <v>0</v>
      </c>
      <c r="N9" s="4">
        <f t="shared" si="1"/>
        <v>0</v>
      </c>
      <c r="O9" s="4">
        <f t="shared" si="4"/>
        <v>0</v>
      </c>
      <c r="P9" s="4">
        <f>DefectosFase!M9</f>
        <v>0</v>
      </c>
      <c r="Q9" s="4">
        <f t="shared" si="2"/>
        <v>0</v>
      </c>
      <c r="R9" s="45" t="str">
        <f t="shared" si="3"/>
        <v/>
      </c>
      <c r="S9" s="43">
        <f>SUMIF('Lista defectos'!$B$3:$B$400,C9,'Lista defectos'!$D$3:D$400)</f>
        <v>0</v>
      </c>
      <c r="T9" s="43" t="str">
        <f>IF(N9=0,"",AVERAGEIF('Lista defectos'!$B$3:$B$400,C9,'Lista defectos'!$D$3:E$400))</f>
        <v/>
      </c>
    </row>
    <row r="10">
      <c r="C10" s="46" t="str">
        <f>'Datos proyecto'!B14</f>
        <v>Inspección de diseño</v>
      </c>
      <c r="D10" s="48"/>
      <c r="J10" s="47">
        <f>COUNTIFS('Lista defectos'!$B:$B,$C10,'Lista defectos'!$C:$C,J$3)</f>
        <v>0</v>
      </c>
      <c r="K10" s="47">
        <f>COUNTIFS('Lista defectos'!$B:$B,$C10,'Lista defectos'!$C:$C,K$3)</f>
        <v>0</v>
      </c>
      <c r="L10" s="47">
        <f>COUNTIFS('Lista defectos'!$B:$B,$C10,'Lista defectos'!$C:$C,L$3)</f>
        <v>0</v>
      </c>
      <c r="M10" s="47">
        <f>COUNTIFS('Lista defectos'!$B:$B,$C10,'Lista defectos'!$C:$C,M$3)</f>
        <v>0</v>
      </c>
      <c r="N10" s="4">
        <f t="shared" si="1"/>
        <v>0</v>
      </c>
      <c r="O10" s="4">
        <f t="shared" si="4"/>
        <v>0</v>
      </c>
      <c r="P10" s="4">
        <f>DefectosFase!M10</f>
        <v>0</v>
      </c>
      <c r="Q10" s="4">
        <f t="shared" si="2"/>
        <v>0</v>
      </c>
      <c r="R10" s="45" t="str">
        <f t="shared" si="3"/>
        <v/>
      </c>
      <c r="S10" s="43">
        <f>SUMIF('Lista defectos'!$B$3:$B$400,C10,'Lista defectos'!$D$3:D$400)</f>
        <v>0</v>
      </c>
      <c r="T10" s="43" t="str">
        <f>IF(N10=0,"",AVERAGEIF('Lista defectos'!$B$3:$B$400,C10,'Lista defectos'!$D$3:E$400))</f>
        <v/>
      </c>
    </row>
    <row r="11">
      <c r="C11" s="46" t="str">
        <f>'Datos proyecto'!B15</f>
        <v>Código</v>
      </c>
      <c r="D11" s="48"/>
      <c r="K11" s="47">
        <f>COUNTIFS('Lista defectos'!$B:$B,$C11,'Lista defectos'!$C:$C,K$3)</f>
        <v>0</v>
      </c>
      <c r="L11" s="47">
        <f>COUNTIFS('Lista defectos'!$B:$B,$C11,'Lista defectos'!$C:$C,L$3)</f>
        <v>1</v>
      </c>
      <c r="M11" s="47">
        <f>COUNTIFS('Lista defectos'!$B:$B,$C11,'Lista defectos'!$C:$C,M$3)</f>
        <v>1</v>
      </c>
      <c r="N11" s="4">
        <f t="shared" si="1"/>
        <v>2</v>
      </c>
      <c r="O11" s="4">
        <f t="shared" si="4"/>
        <v>2</v>
      </c>
      <c r="P11" s="4">
        <f>DefectosFase!M11</f>
        <v>0</v>
      </c>
      <c r="Q11" s="4">
        <f t="shared" si="2"/>
        <v>2</v>
      </c>
      <c r="R11" s="45">
        <f t="shared" si="3"/>
        <v>0</v>
      </c>
      <c r="S11" s="43">
        <f>SUMIF('Lista defectos'!$B$3:$B$400,C11,'Lista defectos'!$D$3:D$400)</f>
        <v>0.45</v>
      </c>
      <c r="T11" s="43">
        <f>IF(N11=0,"",AVERAGEIF('Lista defectos'!$B$3:$B$400,C11,'Lista defectos'!$D$3:E$400))</f>
        <v>0.225</v>
      </c>
    </row>
    <row r="12">
      <c r="C12" s="46" t="str">
        <f>'Datos proyecto'!B16</f>
        <v>Revisión de código</v>
      </c>
      <c r="D12" s="48"/>
      <c r="L12" s="47">
        <f>COUNTIFS('Lista defectos'!$B:$B,$C12,'Lista defectos'!$C:$C,L$3)</f>
        <v>0</v>
      </c>
      <c r="M12" s="47">
        <f>COUNTIFS('Lista defectos'!$B:$B,$C12,'Lista defectos'!$C:$C,M$3)</f>
        <v>0</v>
      </c>
      <c r="N12" s="4">
        <f t="shared" si="1"/>
        <v>0</v>
      </c>
      <c r="O12" s="4">
        <f t="shared" si="4"/>
        <v>2</v>
      </c>
      <c r="P12" s="4">
        <f>DefectosFase!M12</f>
        <v>1</v>
      </c>
      <c r="Q12" s="4">
        <f t="shared" si="2"/>
        <v>1</v>
      </c>
      <c r="R12" s="45">
        <f t="shared" si="3"/>
        <v>0.5</v>
      </c>
      <c r="S12" s="43">
        <f>SUMIF('Lista defectos'!$B$3:$B$400,C12,'Lista defectos'!$D$3:D$400)</f>
        <v>0</v>
      </c>
      <c r="T12" s="43" t="str">
        <f>IF(N12=0,"",AVERAGEIF('Lista defectos'!$B$3:$B$400,C12,'Lista defectos'!$D$3:E$400))</f>
        <v/>
      </c>
    </row>
    <row r="13">
      <c r="C13" s="46" t="str">
        <f>'Datos proyecto'!B17</f>
        <v>Pruebas</v>
      </c>
      <c r="D13" s="49"/>
      <c r="E13" s="50"/>
      <c r="F13" s="50"/>
      <c r="G13" s="50"/>
      <c r="H13" s="50"/>
      <c r="I13" s="50"/>
      <c r="J13" s="50"/>
      <c r="K13" s="50"/>
      <c r="L13" s="50"/>
      <c r="M13" s="47">
        <f>COUNTIFS('Lista defectos'!$B:$B,$C13,'Lista defectos'!$C:$C,M$3)</f>
        <v>0</v>
      </c>
      <c r="N13" s="4">
        <f t="shared" si="1"/>
        <v>0</v>
      </c>
      <c r="O13" s="4">
        <f t="shared" si="4"/>
        <v>1</v>
      </c>
      <c r="P13" s="4">
        <f>DefectosFase!M13</f>
        <v>1</v>
      </c>
      <c r="Q13" s="4">
        <f t="shared" si="2"/>
        <v>0</v>
      </c>
      <c r="R13" s="45">
        <f t="shared" si="3"/>
        <v>1</v>
      </c>
      <c r="S13" s="43">
        <f>SUMIF('Lista defectos'!$B$3:$B$400,C13,'Lista defectos'!$D$3:D$400)</f>
        <v>0</v>
      </c>
      <c r="T13" s="43" t="str">
        <f>IF(N13=0,"",AVERAGEIF('Lista defectos'!$B$3:$B$400,C13,'Lista defectos'!$D$3:E$400))</f>
        <v/>
      </c>
    </row>
    <row r="14">
      <c r="C14" s="34" t="s">
        <v>206</v>
      </c>
      <c r="D14" s="4">
        <f t="shared" ref="D14:M14" si="5">SUM(D4:D13)</f>
        <v>0</v>
      </c>
      <c r="E14" s="4">
        <f t="shared" si="5"/>
        <v>0</v>
      </c>
      <c r="F14" s="4">
        <f t="shared" si="5"/>
        <v>0</v>
      </c>
      <c r="G14" s="4">
        <f t="shared" si="5"/>
        <v>0</v>
      </c>
      <c r="H14" s="4">
        <f t="shared" si="5"/>
        <v>0</v>
      </c>
      <c r="I14" s="4">
        <f t="shared" si="5"/>
        <v>0</v>
      </c>
      <c r="J14" s="4">
        <f t="shared" si="5"/>
        <v>0</v>
      </c>
      <c r="K14" s="4">
        <f t="shared" si="5"/>
        <v>0</v>
      </c>
      <c r="L14" s="4">
        <f t="shared" si="5"/>
        <v>1</v>
      </c>
      <c r="M14" s="4">
        <f t="shared" si="5"/>
        <v>1</v>
      </c>
    </row>
    <row r="15">
      <c r="C15" s="34" t="s">
        <v>207</v>
      </c>
      <c r="D15" s="43">
        <f>SUMIF('Lista defectos'!$C$3:$C$400,D3,'Lista defectos'!$D$3:D$400)</f>
        <v>0</v>
      </c>
      <c r="E15" s="43">
        <f>SUMIF('Lista defectos'!$C$3:$C$400,E3,'Lista defectos'!$D$3:E$400)</f>
        <v>0</v>
      </c>
      <c r="F15" s="43">
        <f>SUMIF('Lista defectos'!$C$3:$C$400,F3,'Lista defectos'!$D$3:F$400)</f>
        <v>0</v>
      </c>
      <c r="G15" s="43">
        <f>SUMIF('Lista defectos'!$C$3:$C$400,G3,'Lista defectos'!$D$3:G$400)</f>
        <v>0</v>
      </c>
      <c r="H15" s="43">
        <f>SUMIF('Lista defectos'!$C$3:$C$400,H3,'Lista defectos'!$D$3:H$400)</f>
        <v>0</v>
      </c>
      <c r="I15" s="43">
        <f>SUMIF('Lista defectos'!$C$3:$C$400,I3,'Lista defectos'!$D$3:I$400)</f>
        <v>0</v>
      </c>
      <c r="J15" s="43">
        <f>SUMIF('Lista defectos'!$C$3:$C$400,J3,'Lista defectos'!$D$3:J$400)</f>
        <v>0</v>
      </c>
      <c r="K15" s="43">
        <f>SUMIF('Lista defectos'!$C$3:$C$400,K3,'Lista defectos'!$D$3:K$400)</f>
        <v>0</v>
      </c>
      <c r="L15" s="43">
        <f>SUMIF('Lista defectos'!$C$3:$C$400,L3,'Lista defectos'!$D$3:L$400)</f>
        <v>0.42</v>
      </c>
      <c r="M15" s="43">
        <f>SUMIF('Lista defectos'!$C$3:$C$400,M3,'Lista defectos'!$D$3:M$400)</f>
        <v>0.03</v>
      </c>
    </row>
    <row r="16">
      <c r="C16" s="34" t="s">
        <v>208</v>
      </c>
      <c r="D16" s="43" t="str">
        <f>IF(D14=0,"",AVERAGEIF('Lista defectos'!$C$3:$C$400,D3,'Lista defectos'!$D$3:D$400))</f>
        <v/>
      </c>
      <c r="E16" s="43" t="str">
        <f>IF(E14=0,"",AVERAGEIF('Lista defectos'!$C$3:$C$400,E3,'Lista defectos'!$D$3:E$400))</f>
        <v/>
      </c>
      <c r="F16" s="43" t="str">
        <f>IF(F14=0,"",AVERAGEIF('Lista defectos'!$C$3:$C$400,F3,'Lista defectos'!$D$3:F$400))</f>
        <v/>
      </c>
      <c r="G16" s="43" t="str">
        <f>IF(G14=0,"",AVERAGEIF('Lista defectos'!$C$3:$C$400,G3,'Lista defectos'!$D$3:G$400))</f>
        <v/>
      </c>
      <c r="H16" s="43" t="str">
        <f>IF(H14=0,"",AVERAGEIF('Lista defectos'!$C$3:$C$400,H3,'Lista defectos'!$D$3:H$400))</f>
        <v/>
      </c>
      <c r="I16" s="43" t="str">
        <f>IF(I14=0,"",AVERAGEIF('Lista defectos'!$C$3:$C$400,I3,'Lista defectos'!$D$3:I$400))</f>
        <v/>
      </c>
      <c r="J16" s="43" t="str">
        <f>IF(J14=0,"",AVERAGEIF('Lista defectos'!$C$3:$C$400,J3,'Lista defectos'!$D$3:J$400))</f>
        <v/>
      </c>
      <c r="K16" s="43" t="str">
        <f>IF(K14=0,"",AVERAGEIF('Lista defectos'!$C$3:$C$400,K3,'Lista defectos'!$D$3:K$400))</f>
        <v/>
      </c>
      <c r="L16" s="43">
        <f>IF(L14=0,"",AVERAGEIF('Lista defectos'!$C$3:$C$400,L3,'Lista defectos'!$D$3:L$400))</f>
        <v>0.42</v>
      </c>
      <c r="M16" s="43">
        <f>IF(M14=0,"",AVERAGEIF('Lista defectos'!$C$3:$C$400,M3,'Lista defectos'!$D$3:M$400))</f>
        <v>0.03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0"/>
    <col customWidth="1" min="2" max="2" width="16.78"/>
    <col customWidth="1" min="3" max="3" width="16.33"/>
    <col customWidth="1" min="4" max="4" width="29.78"/>
    <col customWidth="1" min="5" max="6" width="10.56"/>
    <col customWidth="1" min="7" max="7" width="7.44"/>
    <col customWidth="1" min="8" max="8" width="45.22"/>
    <col customWidth="1" min="9" max="11" width="10.56"/>
    <col customWidth="1" min="12" max="12" width="12.67"/>
    <col customWidth="1" min="13" max="21" width="10.56"/>
    <col customWidth="1" min="22" max="22" width="19.44"/>
    <col customWidth="1" min="23" max="26" width="10.56"/>
  </cols>
  <sheetData>
    <row r="1">
      <c r="A1" s="51" t="s">
        <v>209</v>
      </c>
    </row>
    <row r="4">
      <c r="A4" s="10" t="s">
        <v>210</v>
      </c>
      <c r="B4" s="4">
        <f>SUMIF('Datos proyecto'!$J$8:$J$100,C4,'Datos proyecto'!I$8:I$100)</f>
        <v>1637</v>
      </c>
      <c r="C4" s="1" t="s">
        <v>115</v>
      </c>
    </row>
    <row r="5">
      <c r="A5" s="10" t="s">
        <v>211</v>
      </c>
      <c r="B5" s="4">
        <f>DefectosFase!D14</f>
        <v>2</v>
      </c>
      <c r="C5" s="1" t="s">
        <v>212</v>
      </c>
    </row>
    <row r="7">
      <c r="A7" s="7" t="s">
        <v>213</v>
      </c>
    </row>
    <row r="9">
      <c r="A9" s="10" t="s">
        <v>214</v>
      </c>
      <c r="B9" s="35">
        <f>DefectosFase!D14/B4*1000</f>
        <v>1.221747098</v>
      </c>
      <c r="C9" s="1" t="s">
        <v>215</v>
      </c>
    </row>
    <row r="10">
      <c r="A10" s="10" t="s">
        <v>216</v>
      </c>
      <c r="B10" s="35">
        <f>SUM(DefectosFase!M10:M13)/B4*1000</f>
        <v>1.221747098</v>
      </c>
      <c r="C10" s="1" t="s">
        <v>215</v>
      </c>
    </row>
    <row r="13">
      <c r="A13" s="7" t="s">
        <v>217</v>
      </c>
      <c r="B13" s="52" t="s">
        <v>218</v>
      </c>
      <c r="D13" s="7" t="s">
        <v>219</v>
      </c>
      <c r="E13" s="7" t="s">
        <v>220</v>
      </c>
      <c r="H13" s="7" t="s">
        <v>221</v>
      </c>
      <c r="I13" s="7" t="s">
        <v>220</v>
      </c>
    </row>
    <row r="14">
      <c r="A14" s="1" t="str">
        <f>'Datos proyecto'!B8</f>
        <v>Lanzamiento</v>
      </c>
      <c r="B14" s="45" t="str">
        <f>Rendimiento!R4</f>
        <v/>
      </c>
      <c r="D14" s="1" t="str">
        <f>'Datos proyecto'!B8</f>
        <v>Lanzamiento</v>
      </c>
      <c r="E14" s="43" t="str">
        <f>Rendimiento!D$16</f>
        <v/>
      </c>
      <c r="F14" s="1" t="str">
        <f t="shared" ref="F14:F23" si="1">IF(E14="","","horas")</f>
        <v/>
      </c>
      <c r="H14" s="1" t="str">
        <f>'Datos proyecto'!B8</f>
        <v>Lanzamiento</v>
      </c>
      <c r="I14" s="43" t="str">
        <f>Rendimiento!T4</f>
        <v/>
      </c>
      <c r="J14" s="1" t="str">
        <f t="shared" ref="J14:J23" si="2">IF(I14="","","horas")</f>
        <v/>
      </c>
    </row>
    <row r="15">
      <c r="A15" s="1" t="str">
        <f>'Datos proyecto'!B9</f>
        <v>Requisitos</v>
      </c>
      <c r="B15" s="45" t="str">
        <f>Rendimiento!R5</f>
        <v/>
      </c>
      <c r="D15" s="1" t="str">
        <f>'Datos proyecto'!B9</f>
        <v>Requisitos</v>
      </c>
      <c r="E15" s="43" t="str">
        <f>Rendimiento!E$16</f>
        <v/>
      </c>
      <c r="F15" s="1" t="str">
        <f t="shared" si="1"/>
        <v/>
      </c>
      <c r="H15" s="1" t="str">
        <f>'Datos proyecto'!B9</f>
        <v>Requisitos</v>
      </c>
      <c r="I15" s="43" t="str">
        <f>Rendimiento!T5</f>
        <v/>
      </c>
      <c r="J15" s="1" t="str">
        <f t="shared" si="2"/>
        <v/>
      </c>
    </row>
    <row r="16">
      <c r="A16" s="1" t="str">
        <f>'Datos proyecto'!B10</f>
        <v>Inspección de Requisitos</v>
      </c>
      <c r="B16" s="45" t="str">
        <f>Rendimiento!R6</f>
        <v/>
      </c>
      <c r="D16" s="1" t="str">
        <f>'Datos proyecto'!B10</f>
        <v>Inspección de Requisitos</v>
      </c>
      <c r="E16" s="43" t="str">
        <f>Rendimiento!F$16</f>
        <v/>
      </c>
      <c r="F16" s="1" t="str">
        <f t="shared" si="1"/>
        <v/>
      </c>
      <c r="H16" s="1" t="str">
        <f>'Datos proyecto'!B10</f>
        <v>Inspección de Requisitos</v>
      </c>
      <c r="I16" s="43" t="str">
        <f>Rendimiento!T6</f>
        <v/>
      </c>
      <c r="J16" s="1" t="str">
        <f t="shared" si="2"/>
        <v/>
      </c>
    </row>
    <row r="17">
      <c r="A17" s="1" t="str">
        <f>'Datos proyecto'!B11</f>
        <v>Estrategia</v>
      </c>
      <c r="B17" s="45" t="str">
        <f>Rendimiento!R7</f>
        <v/>
      </c>
      <c r="D17" s="1" t="str">
        <f>'Datos proyecto'!B11</f>
        <v>Estrategia</v>
      </c>
      <c r="E17" s="43" t="str">
        <f>Rendimiento!G$16</f>
        <v/>
      </c>
      <c r="F17" s="1" t="str">
        <f t="shared" si="1"/>
        <v/>
      </c>
      <c r="H17" s="1" t="str">
        <f>'Datos proyecto'!B11</f>
        <v>Estrategia</v>
      </c>
      <c r="I17" s="43" t="str">
        <f>Rendimiento!T7</f>
        <v/>
      </c>
      <c r="J17" s="1" t="str">
        <f t="shared" si="2"/>
        <v/>
      </c>
    </row>
    <row r="18">
      <c r="A18" s="1" t="str">
        <f>'Datos proyecto'!B12</f>
        <v>Planificación</v>
      </c>
      <c r="B18" s="45" t="str">
        <f>Rendimiento!R8</f>
        <v/>
      </c>
      <c r="D18" s="1" t="str">
        <f>'Datos proyecto'!B12</f>
        <v>Planificación</v>
      </c>
      <c r="E18" s="43" t="str">
        <f>Rendimiento!H$16</f>
        <v/>
      </c>
      <c r="F18" s="1" t="str">
        <f t="shared" si="1"/>
        <v/>
      </c>
      <c r="H18" s="1" t="str">
        <f>'Datos proyecto'!B12</f>
        <v>Planificación</v>
      </c>
      <c r="I18" s="43" t="str">
        <f>Rendimiento!T8</f>
        <v/>
      </c>
      <c r="J18" s="1" t="str">
        <f t="shared" si="2"/>
        <v/>
      </c>
    </row>
    <row r="19">
      <c r="A19" s="1" t="str">
        <f>'Datos proyecto'!B13</f>
        <v>Diseño</v>
      </c>
      <c r="B19" s="45" t="str">
        <f>Rendimiento!R9</f>
        <v/>
      </c>
      <c r="D19" s="1" t="str">
        <f>'Datos proyecto'!B13</f>
        <v>Diseño</v>
      </c>
      <c r="E19" s="43" t="str">
        <f>Rendimiento!I$16</f>
        <v/>
      </c>
      <c r="F19" s="1" t="str">
        <f t="shared" si="1"/>
        <v/>
      </c>
      <c r="H19" s="1" t="str">
        <f>'Datos proyecto'!B13</f>
        <v>Diseño</v>
      </c>
      <c r="I19" s="43" t="str">
        <f>Rendimiento!T9</f>
        <v/>
      </c>
      <c r="J19" s="1" t="str">
        <f t="shared" si="2"/>
        <v/>
      </c>
    </row>
    <row r="20">
      <c r="A20" s="1" t="str">
        <f>'Datos proyecto'!B14</f>
        <v>Inspección de diseño</v>
      </c>
      <c r="B20" s="45" t="str">
        <f>Rendimiento!R10</f>
        <v/>
      </c>
      <c r="D20" s="1" t="str">
        <f>'Datos proyecto'!B14</f>
        <v>Inspección de diseño</v>
      </c>
      <c r="E20" s="43" t="str">
        <f>Rendimiento!J$16</f>
        <v/>
      </c>
      <c r="F20" s="1" t="str">
        <f t="shared" si="1"/>
        <v/>
      </c>
      <c r="H20" s="1" t="str">
        <f>'Datos proyecto'!B14</f>
        <v>Inspección de diseño</v>
      </c>
      <c r="I20" s="43" t="str">
        <f>Rendimiento!T10</f>
        <v/>
      </c>
      <c r="J20" s="1" t="str">
        <f t="shared" si="2"/>
        <v/>
      </c>
    </row>
    <row r="21">
      <c r="A21" s="1" t="str">
        <f>'Datos proyecto'!B15</f>
        <v>Código</v>
      </c>
      <c r="B21" s="45">
        <f>Rendimiento!R11</f>
        <v>0</v>
      </c>
      <c r="D21" s="1" t="str">
        <f>'Datos proyecto'!B15</f>
        <v>Código</v>
      </c>
      <c r="E21" s="43" t="str">
        <f>Rendimiento!K$16</f>
        <v/>
      </c>
      <c r="F21" s="1" t="str">
        <f t="shared" si="1"/>
        <v/>
      </c>
      <c r="H21" s="1" t="str">
        <f>'Datos proyecto'!B15</f>
        <v>Código</v>
      </c>
      <c r="I21" s="43">
        <f>Rendimiento!T11</f>
        <v>0.225</v>
      </c>
      <c r="J21" s="1" t="str">
        <f t="shared" si="2"/>
        <v>horas</v>
      </c>
    </row>
    <row r="22">
      <c r="A22" s="1" t="str">
        <f>'Datos proyecto'!B16</f>
        <v>Revisión de código</v>
      </c>
      <c r="B22" s="45">
        <f>Rendimiento!R12</f>
        <v>0.5</v>
      </c>
      <c r="D22" s="1" t="str">
        <f>'Datos proyecto'!B16</f>
        <v>Revisión de código</v>
      </c>
      <c r="E22" s="43">
        <f>Rendimiento!L$16</f>
        <v>0.42</v>
      </c>
      <c r="F22" s="1" t="str">
        <f t="shared" si="1"/>
        <v>horas</v>
      </c>
      <c r="H22" s="1" t="str">
        <f>'Datos proyecto'!B16</f>
        <v>Revisión de código</v>
      </c>
      <c r="I22" s="43" t="str">
        <f>Rendimiento!T12</f>
        <v/>
      </c>
      <c r="J22" s="1" t="str">
        <f t="shared" si="2"/>
        <v/>
      </c>
    </row>
    <row r="23">
      <c r="A23" s="1" t="str">
        <f>'Datos proyecto'!B17</f>
        <v>Pruebas</v>
      </c>
      <c r="B23" s="45">
        <f>Rendimiento!R13</f>
        <v>1</v>
      </c>
      <c r="D23" s="1" t="str">
        <f>'Datos proyecto'!B17</f>
        <v>Pruebas</v>
      </c>
      <c r="E23" s="43">
        <f>Rendimiento!M$16</f>
        <v>0.03</v>
      </c>
      <c r="F23" s="1" t="str">
        <f t="shared" si="1"/>
        <v>horas</v>
      </c>
      <c r="H23" s="1" t="str">
        <f>'Datos proyecto'!B17</f>
        <v>Pruebas</v>
      </c>
      <c r="I23" s="53" t="str">
        <f>Rendimiento!T13</f>
        <v/>
      </c>
      <c r="J23" s="1" t="str">
        <f t="shared" si="2"/>
        <v/>
      </c>
    </row>
    <row r="24">
      <c r="I24" s="54"/>
    </row>
    <row r="25">
      <c r="I25" s="55"/>
    </row>
    <row r="27">
      <c r="A27" s="7" t="s">
        <v>222</v>
      </c>
      <c r="B27" s="7" t="s">
        <v>223</v>
      </c>
      <c r="C27" s="7" t="s">
        <v>224</v>
      </c>
    </row>
    <row r="28">
      <c r="A28" s="1" t="str">
        <f>'Estandar defectos'!A2</f>
        <v>Documentación</v>
      </c>
      <c r="B28" s="1">
        <f>COUNTIF('Lista defectos'!E$3:E$300,'Informe Calidad'!A28)</f>
        <v>0</v>
      </c>
      <c r="C28" s="56">
        <f t="shared" ref="C28:C37" si="3">B28/$B$5</f>
        <v>0</v>
      </c>
    </row>
    <row r="29">
      <c r="A29" s="1" t="str">
        <f>'Estandar defectos'!A3</f>
        <v>Sintaxis</v>
      </c>
      <c r="B29" s="1">
        <f>COUNTIF('Lista defectos'!E$3:E$300,'Informe Calidad'!A29)</f>
        <v>2</v>
      </c>
      <c r="C29" s="56">
        <f t="shared" si="3"/>
        <v>1</v>
      </c>
    </row>
    <row r="30">
      <c r="A30" s="1" t="str">
        <f>'Estandar defectos'!A4</f>
        <v>Configuración</v>
      </c>
      <c r="B30" s="1">
        <f>COUNTIF('Lista defectos'!E$3:E$300,'Informe Calidad'!A30)</f>
        <v>0</v>
      </c>
      <c r="C30" s="56">
        <f t="shared" si="3"/>
        <v>0</v>
      </c>
    </row>
    <row r="31">
      <c r="A31" s="1" t="str">
        <f>'Estandar defectos'!A5</f>
        <v>Asignaciones</v>
      </c>
      <c r="B31" s="1">
        <f>COUNTIF('Lista defectos'!E$3:E$300,'Informe Calidad'!A31)</f>
        <v>0</v>
      </c>
      <c r="C31" s="56">
        <f t="shared" si="3"/>
        <v>0</v>
      </c>
    </row>
    <row r="32">
      <c r="A32" s="1" t="str">
        <f>'Estandar defectos'!A6</f>
        <v>Interface </v>
      </c>
      <c r="B32" s="1">
        <f>COUNTIF('Lista defectos'!E$3:E$300,'Informe Calidad'!A32)</f>
        <v>0</v>
      </c>
      <c r="C32" s="56">
        <f t="shared" si="3"/>
        <v>0</v>
      </c>
    </row>
    <row r="33">
      <c r="A33" s="1" t="str">
        <f>'Estandar defectos'!A7</f>
        <v>Comprobación</v>
      </c>
      <c r="B33" s="1">
        <f>COUNTIF('Lista defectos'!E$3:E$300,'Informe Calidad'!A33)</f>
        <v>0</v>
      </c>
      <c r="C33" s="56">
        <f t="shared" si="3"/>
        <v>0</v>
      </c>
    </row>
    <row r="34">
      <c r="A34" s="1" t="str">
        <f>'Estandar defectos'!A8</f>
        <v>Datos</v>
      </c>
      <c r="B34" s="1">
        <f>COUNTIF('Lista defectos'!E$3:E$300,'Informe Calidad'!A34)</f>
        <v>0</v>
      </c>
      <c r="C34" s="56">
        <f t="shared" si="3"/>
        <v>0</v>
      </c>
    </row>
    <row r="35">
      <c r="A35" s="1" t="str">
        <f>'Estandar defectos'!A9</f>
        <v>Funciones</v>
      </c>
      <c r="B35" s="1">
        <f>COUNTIF('Lista defectos'!E$3:E$300,'Informe Calidad'!A35)</f>
        <v>0</v>
      </c>
      <c r="C35" s="56">
        <f t="shared" si="3"/>
        <v>0</v>
      </c>
    </row>
    <row r="36">
      <c r="A36" s="1" t="str">
        <f>'Estandar defectos'!A10</f>
        <v>Estandar</v>
      </c>
      <c r="B36" s="1">
        <f>COUNTIF('Lista defectos'!E$3:E$300,'Informe Calidad'!A36)</f>
        <v>0</v>
      </c>
      <c r="C36" s="56">
        <f t="shared" si="3"/>
        <v>0</v>
      </c>
    </row>
    <row r="37">
      <c r="A37" s="1" t="str">
        <f>'Estandar defectos'!A11</f>
        <v>Entorno</v>
      </c>
      <c r="B37" s="1">
        <f>COUNTIF('Lista defectos'!E$3:E$300,'Informe Calidad'!A37)</f>
        <v>0</v>
      </c>
      <c r="C37" s="56">
        <f t="shared" si="3"/>
        <v>0</v>
      </c>
    </row>
    <row r="39" ht="120.0" customHeight="1">
      <c r="U39" s="57"/>
      <c r="W39" s="58"/>
    </row>
    <row r="40">
      <c r="U40" s="59"/>
      <c r="W40" s="53"/>
    </row>
    <row r="41">
      <c r="U41" s="59"/>
      <c r="W41" s="53"/>
    </row>
    <row r="42">
      <c r="U42" s="59"/>
      <c r="W42" s="53"/>
    </row>
    <row r="43">
      <c r="U43" s="59"/>
      <c r="W43" s="53"/>
    </row>
    <row r="44">
      <c r="U44" s="59"/>
      <c r="W44" s="53"/>
    </row>
    <row r="45">
      <c r="U45" s="59"/>
      <c r="W45" s="53"/>
    </row>
    <row r="46">
      <c r="U46" s="59"/>
      <c r="W46" s="53"/>
    </row>
    <row r="47">
      <c r="U47" s="59"/>
      <c r="W47" s="53"/>
    </row>
    <row r="48">
      <c r="U48" s="59"/>
      <c r="W48" s="53"/>
    </row>
    <row r="49">
      <c r="U49" s="59"/>
      <c r="W49" s="53"/>
    </row>
    <row r="56"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9">
      <c r="A59" s="61"/>
      <c r="B59" s="6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2013-11-08T12:04:04Z</dcterms:created>
  <dc:creator>Tomas San Feliu</dc:creator>
</cp:coreProperties>
</file>