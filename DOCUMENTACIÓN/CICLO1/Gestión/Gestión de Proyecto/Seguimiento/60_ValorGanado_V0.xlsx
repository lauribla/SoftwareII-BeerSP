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yuda" sheetId="1" r:id="rId4"/>
    <sheet state="visible" name="Informe" sheetId="2" r:id="rId5"/>
    <sheet state="visible" name="EV" sheetId="3" r:id="rId6"/>
    <sheet state="visible" name="Equipo" sheetId="4" r:id="rId7"/>
    <sheet state="visible" name="LH" sheetId="5" r:id="rId8"/>
    <sheet state="visible" name="LG" sheetId="6" r:id="rId9"/>
    <sheet state="visible" name="JR" sheetId="7" r:id="rId10"/>
    <sheet state="visible" name="VG" sheetId="8" r:id="rId11"/>
    <sheet state="visible" name="LM" sheetId="9" r:id="rId12"/>
    <sheet state="visible" name="Tareas" sheetId="10" r:id="rId13"/>
    <sheet state="visible" name="PV" sheetId="11" r:id="rId14"/>
    <sheet state="visible" name="AC" sheetId="12" r:id="rId15"/>
  </sheets>
  <definedNames>
    <definedName name="EsfuerzodelPlan">#REF!</definedName>
    <definedName name="log_HorasTrabajadas">#REF!</definedName>
    <definedName name="log_PorcentajeTareas">#REF!</definedName>
    <definedName name="MiembrosEquipo">#REF!</definedName>
    <definedName name="log_NombresMiembroEquipo">#REF!</definedName>
    <definedName name="log_SemanaTrabajada">#REF!</definedName>
    <definedName name="log_CodigosActividad">#REF!</definedName>
    <definedName name="SemanadelPlan">#REF!</definedName>
    <definedName name="PersonasdelPlan">#REF!</definedName>
    <definedName name="FasesProceso">#REF!</definedName>
    <definedName name="CodigosActividad">#REF!</definedName>
    <definedName name="TareasdelPlan">#REF!</definedName>
  </definedNames>
  <calcPr/>
</workbook>
</file>

<file path=xl/sharedStrings.xml><?xml version="1.0" encoding="utf-8"?>
<sst xmlns="http://schemas.openxmlformats.org/spreadsheetml/2006/main" count="191" uniqueCount="150">
  <si>
    <t>Instrucciones para generar el informe de valor ganado</t>
  </si>
  <si>
    <t>Pasos</t>
  </si>
  <si>
    <t>Introducir el nombre del proyecto, el nombre de la compañía o su logo en la hoja de informe</t>
  </si>
  <si>
    <t>Dar de alta los nombres de los miembros del equipo y sus abreviaturas en la hoja de Equipo. Además hay que renombrar las hojas existentes. Si hay menos miembros poner un miembro ficticio.Asegurrarse que el nombre de las hojas corresponden coon las abreviaturas del equipo.</t>
  </si>
  <si>
    <t>Dar de alta la lista de Tareas del proyecto en la hoja de Tareas. La hoja de tareas contiene un ejemplo que hay que adaptar según el plan de proyecto de cada equipo. Ahorra se tiene codificado un maximo de 200 tareas.</t>
  </si>
  <si>
    <t>Introducir las horas planificadas para cada tarea (PV, a partir de la columna N ) según el plan de proyecto en cada una de las hojas de los miembros del equipo</t>
  </si>
  <si>
    <t>Una vez planificado el proyecto hay que ir introduciendo  los esfuerzo real de cada tarea (AC , a partir de columna C en cada hoja de cada miembro) de cada para cada uno de los miembros del equipo</t>
  </si>
  <si>
    <t>Tambien hay que introducir el avance de cada tarea en la hoja EV, en la hoja aparecen sombreadas en color azul las celdas donde se han dedicado horas de trabajo</t>
  </si>
  <si>
    <t>Tambien se pueden hacer anotaciones en el campo Resumen de la hoja de informe para registrar las decisiones que afectan al proyecto</t>
  </si>
  <si>
    <t>En la hoja de informe indicar la fecha del informe y la semana para la que se quiere realizar el informe (ajustar las semanas a las semanas del ciclo, p. ej. Ciclo 1, 7 semanas)</t>
  </si>
  <si>
    <t>Version</t>
  </si>
  <si>
    <t>H</t>
  </si>
  <si>
    <t>Actualizada la formula del calculo del TBC: Ampliando la suma hasta la semana 8, en la version anterior solo sumaba hasta la 7</t>
  </si>
  <si>
    <t>BEERSP</t>
  </si>
  <si>
    <t>BeerSP</t>
  </si>
  <si>
    <t>Informe del Analisis de Valor Ganado</t>
  </si>
  <si>
    <t>Preparado por:</t>
  </si>
  <si>
    <t>Laura Herández</t>
  </si>
  <si>
    <t>Fecha informe:</t>
  </si>
  <si>
    <t>Para el periodo:</t>
  </si>
  <si>
    <t>← Puedes cambiar la semana del informe</t>
  </si>
  <si>
    <t>Resumen:</t>
  </si>
  <si>
    <t>[Usa este espacio para escribir un breve resumen o aquellas anotaciones que quieras destacar]</t>
  </si>
  <si>
    <t>Planned Value (PV) o Budgeted Cost of Work Scheduled (BCWS)</t>
  </si>
  <si>
    <t>S1</t>
  </si>
  <si>
    <t>S2</t>
  </si>
  <si>
    <t>S3</t>
  </si>
  <si>
    <t>S4</t>
  </si>
  <si>
    <t>S5</t>
  </si>
  <si>
    <t>S6</t>
  </si>
  <si>
    <t>S7</t>
  </si>
  <si>
    <t>S8</t>
  </si>
  <si>
    <t>← Puedes cambiar las etiquetas para los periodos (ej. Week 1/2/3, Semana 1/2/3, etc.)</t>
  </si>
  <si>
    <t>Coste Total Presupuestado</t>
  </si>
  <si>
    <t>solo hace falta editar los valores de las celdas azules</t>
  </si>
  <si>
    <t>Valor Planificado Acumulado</t>
  </si>
  <si>
    <t>Presupuesto Inicial</t>
  </si>
  <si>
    <t>Coste Actual y Valor Ganado</t>
  </si>
  <si>
    <t>Coste Real Acumulado (AC)</t>
  </si>
  <si>
    <t>Valor Ganado Acumulado(EV)</t>
  </si>
  <si>
    <t>Coste real proyecto</t>
  </si>
  <si>
    <t>Metricas de rendimiento del Proyecto</t>
  </si>
  <si>
    <t>Cost Variance (CV = EV - AC)</t>
  </si>
  <si>
    <t>Schedule Variance (SV = EV - PV)</t>
  </si>
  <si>
    <t>Cost Performance Index (CPI = EV/AC)</t>
  </si>
  <si>
    <t>Schedule Performance Index (SPI = EV/PV)</t>
  </si>
  <si>
    <t>Estimated Cost at Completion (EAC)</t>
  </si>
  <si>
    <t>Ratios productividad Real del Ciclo</t>
  </si>
  <si>
    <t>Puntos de Funcion Ciclo (PF)</t>
  </si>
  <si>
    <t>Lineas de Código (LOC)</t>
  </si>
  <si>
    <t>Ratio de productividad</t>
  </si>
  <si>
    <t>horas/PF</t>
  </si>
  <si>
    <t>horas/LOC</t>
  </si>
  <si>
    <t>Hoja de Valor Ganado</t>
  </si>
  <si>
    <t>Completa el porcentaje de progreso que tiene cada tarea</t>
  </si>
  <si>
    <t>Asegurate que los nombres son los mismos</t>
  </si>
  <si>
    <t>Introduce el % de avance para cada tarea, de esa manera se calcula el valor ganado</t>
  </si>
  <si>
    <t>Cuando una tarea ha alcanzado el 100% en la semanas posteriores sigue intrroduciendo el 100%</t>
  </si>
  <si>
    <t>← Las celdas con sombreado azul significa que se ha trabajado horas</t>
  </si>
  <si>
    <t>Nombre Tarea</t>
  </si>
  <si>
    <t>TBC</t>
  </si>
  <si>
    <t>Atención modificar las formulas si hay más de 200 tareas</t>
  </si>
  <si>
    <t>Lista de personas y sus hojas</t>
  </si>
  <si>
    <t>Nombre</t>
  </si>
  <si>
    <t>Laura H</t>
  </si>
  <si>
    <t>Laura G</t>
  </si>
  <si>
    <t>Jonás R</t>
  </si>
  <si>
    <t>Valeria G</t>
  </si>
  <si>
    <t>Lucía M</t>
  </si>
  <si>
    <t>Acrónimo</t>
  </si>
  <si>
    <t>LH</t>
  </si>
  <si>
    <t>LG</t>
  </si>
  <si>
    <t>JR</t>
  </si>
  <si>
    <t>VG</t>
  </si>
  <si>
    <t>LM</t>
  </si>
  <si>
    <t>Coste Reales y Costes Planificados</t>
  </si>
  <si>
    <t>En esta hoja se introducen los valores para cada tarea tanto reales de las horas trabajo del miembro de equipo asi como las horas que tuviera planificadas</t>
  </si>
  <si>
    <t>Asegurate que los nombres de las tareas son los mismos que el plan</t>
  </si>
  <si>
    <t xml:space="preserve"> Horas Reales (AC) del Trabajo Planificado</t>
  </si>
  <si>
    <t>Horas Planificadas (PV)</t>
  </si>
  <si>
    <t>Lista de tareas</t>
  </si>
  <si>
    <t>Puedes editar tareas</t>
  </si>
  <si>
    <t>Puedes añadir tareas al final de la lista, el orden de esta lista será el orden para el resto de hojas</t>
  </si>
  <si>
    <t>1. Reunión 1</t>
  </si>
  <si>
    <t>2. Asignación de roles</t>
  </si>
  <si>
    <t>3. Definición del estándar de documentación</t>
  </si>
  <si>
    <t>4. Definición del estándar de proceso</t>
  </si>
  <si>
    <t>5. Definición del entorno de desarrollo</t>
  </si>
  <si>
    <t>6. Reunión 2</t>
  </si>
  <si>
    <t>7. Realización del análisis de requisitos (ERS)</t>
  </si>
  <si>
    <t>8. Reunión 3</t>
  </si>
  <si>
    <t>9. Revisión del análisis de requisitos</t>
  </si>
  <si>
    <t>10. Disposición del ERS en la línea base (GCS)</t>
  </si>
  <si>
    <t>11. Definición del plan para el ciclo de vida 1</t>
  </si>
  <si>
    <t>12. Definición de los casos de uso y el modelo E/R</t>
  </si>
  <si>
    <t>13. Definición del plan de calidad (PCAL)</t>
  </si>
  <si>
    <t>14. Cálculo de los puntos de función</t>
  </si>
  <si>
    <t>15. Realización del diagrama Gantt</t>
  </si>
  <si>
    <t>16. Reunión 4</t>
  </si>
  <si>
    <t>17. Definición del plan de gestión de configuración software (GCS)</t>
  </si>
  <si>
    <t>18. Inicialización de la hoja de valor ganado (EVM)</t>
  </si>
  <si>
    <t>19. Introducción de los datos en EVM</t>
  </si>
  <si>
    <t>20. Definición del prototipo UI</t>
  </si>
  <si>
    <t>21. Reunión 5</t>
  </si>
  <si>
    <t>22. Actualización de EVM</t>
  </si>
  <si>
    <t>23. Revisión intermedia del diseño</t>
  </si>
  <si>
    <t>24. Implementación de la persistencia y estructura de datos</t>
  </si>
  <si>
    <t>25. Implementación de la gestión de usuarios</t>
  </si>
  <si>
    <t>26. Implementación de la gestión de perfiles</t>
  </si>
  <si>
    <t>27. Definición del diseño con objetos y pantallas finales</t>
  </si>
  <si>
    <t>28. Revisión intermedia del código</t>
  </si>
  <si>
    <t>29. Reunión 6</t>
  </si>
  <si>
    <t>30. Actualización de EVM</t>
  </si>
  <si>
    <t>31. Implementación de la gestión de amistades</t>
  </si>
  <si>
    <t>32. Implementación de la gestión de cervezas</t>
  </si>
  <si>
    <t>33. Actualización de los planes de GCS y calidad</t>
  </si>
  <si>
    <t>34. Revisión final del diseño</t>
  </si>
  <si>
    <t>35. Revisión intermedia del código</t>
  </si>
  <si>
    <t>36. Disposición del diseño en la línea base (GCS)</t>
  </si>
  <si>
    <t>37. Reunión 7</t>
  </si>
  <si>
    <t>38. Actualización de EVM</t>
  </si>
  <si>
    <t>39. Revisión de las incidencias detectadas</t>
  </si>
  <si>
    <t>40. Implementación de la gestión de degustaciones</t>
  </si>
  <si>
    <t>← Puedes añadir más tareas por debajo de esta</t>
  </si>
  <si>
    <t>41. Implementación de la pantalla principal (feed y menú)</t>
  </si>
  <si>
    <t>42. Integración del prototipo UI</t>
  </si>
  <si>
    <t>43. Definición de los casos de prueba</t>
  </si>
  <si>
    <t>44. Reunión 8</t>
  </si>
  <si>
    <t>45. Realización el informe de post-mortem</t>
  </si>
  <si>
    <t>46. Ejecución de las pruebas</t>
  </si>
  <si>
    <t>47. Control de versiones y revisión final del código</t>
  </si>
  <si>
    <t>48. Revisión de la configuración y los documentos entregables</t>
  </si>
  <si>
    <t>49. Revisión de los resultados de las pruebas y corrección de errores</t>
  </si>
  <si>
    <t>50. Corrección del código (post-revisión)</t>
  </si>
  <si>
    <t>51. Documentación de los resultados y errores de las pruebas</t>
  </si>
  <si>
    <t>52. Disposición del código en la línea base (GCS)</t>
  </si>
  <si>
    <t>53. Entrega del ciclo de vida</t>
  </si>
  <si>
    <t>Atención modificar las formulas si hay más tareas</t>
  </si>
  <si>
    <t>Hoja de Valor Planificado</t>
  </si>
  <si>
    <t>Esta hoja calcula el coste actual de cada tarea juntando los valores de los esfuerzos de cada miembro del equipo</t>
  </si>
  <si>
    <t>Se puede usar para comprobar que se realiza bien la agregacion de las horas de todos los miembros</t>
  </si>
  <si>
    <t>Esta hoja no tocar</t>
  </si>
  <si>
    <t>Valor Planificado(PV) o  (BCWS)</t>
  </si>
  <si>
    <t>Horas semanales</t>
  </si>
  <si>
    <t>Acumulado Valor Planificado</t>
  </si>
  <si>
    <t>Hoja de Horas Actuales</t>
  </si>
  <si>
    <t>Esta hoaja calcula el coste actual de cada tarea juntando los valores de los esfuerzos de cada miembro del equipo</t>
  </si>
  <si>
    <t xml:space="preserve"> Coste Real(AC) del Trabajo Realizado</t>
  </si>
  <si>
    <t>Coste real Acumulado</t>
  </si>
  <si>
    <t>Coste Real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</si>
</sst>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9">
    <font>
      <sz val="12.0"/>
      <color theme="1"/>
      <name val="Calibri"/>
      <scheme val="minor"/>
    </font>
    <font>
      <color theme="1"/>
      <name val="Calibri"/>
      <scheme val="minor"/>
    </font>
    <font>
      <sz val="16.0"/>
      <color theme="1"/>
      <name val="Arial"/>
    </font>
    <font>
      <b/>
      <sz val="12.0"/>
      <color theme="1"/>
      <name val="Arial"/>
    </font>
    <font>
      <sz val="12.0"/>
      <color theme="1"/>
      <name val="Calibri"/>
    </font>
    <font>
      <sz val="8.0"/>
      <color theme="1"/>
      <name val="Arial"/>
    </font>
    <font>
      <b/>
      <sz val="10.0"/>
      <color rgb="FFFFFFFF"/>
      <name val="Arial"/>
    </font>
    <font>
      <b/>
      <sz val="11.0"/>
      <color theme="1"/>
      <name val="Calibri"/>
    </font>
    <font>
      <b/>
      <sz val="10.0"/>
      <color theme="1"/>
      <name val="Arial"/>
    </font>
  </fonts>
  <fills count="4">
    <fill>
      <patternFill patternType="none"/>
    </fill>
    <fill>
      <patternFill patternType="lightGray"/>
    </fill>
    <fill>
      <patternFill patternType="solid">
        <fgColor theme="4"/>
        <bgColor theme="4"/>
      </patternFill>
    </fill>
    <fill>
      <patternFill patternType="solid">
        <fgColor rgb="FFD9E2F3"/>
        <bgColor rgb="FFD9E2F3"/>
      </patternFill>
    </fill>
  </fills>
  <borders count="18">
    <border/>
    <border>
      <bottom style="thin">
        <color rgb="FF000000"/>
      </bottom>
    </border>
    <border>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right/>
      <top/>
      <bottom style="thin">
        <color rgb="FF969696"/>
      </bottom>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Font="1"/>
    <xf borderId="0" fillId="0" fontId="4" numFmtId="49" xfId="0" applyAlignment="1" applyFont="1" applyNumberFormat="1">
      <alignment horizontal="right"/>
    </xf>
    <xf borderId="1" fillId="0" fontId="4" numFmtId="0" xfId="0" applyAlignment="1" applyBorder="1" applyFont="1">
      <alignment readingOrder="0"/>
    </xf>
    <xf borderId="1" fillId="0" fontId="4" numFmtId="0" xfId="0" applyBorder="1" applyFont="1"/>
    <xf borderId="2" fillId="0" fontId="4" numFmtId="164" xfId="0" applyAlignment="1" applyBorder="1" applyFont="1" applyNumberFormat="1">
      <alignment readingOrder="0"/>
    </xf>
    <xf borderId="2" fillId="0" fontId="4" numFmtId="0" xfId="0" applyBorder="1" applyFont="1"/>
    <xf borderId="0" fillId="0" fontId="4" numFmtId="0" xfId="0" applyAlignment="1" applyFont="1">
      <alignment horizontal="center" readingOrder="0"/>
    </xf>
    <xf borderId="0" fillId="0" fontId="5" numFmtId="0" xfId="0" applyFont="1"/>
    <xf borderId="0" fillId="0" fontId="4" numFmtId="0" xfId="0" applyAlignment="1" applyFont="1">
      <alignment horizontal="left" vertical="top"/>
    </xf>
    <xf borderId="3" fillId="2" fontId="6" numFmtId="0" xfId="0" applyAlignment="1" applyBorder="1" applyFill="1" applyFont="1">
      <alignment horizontal="center" vertical="center"/>
    </xf>
    <xf borderId="0" fillId="0" fontId="4" numFmtId="0" xfId="0" applyAlignment="1" applyFont="1">
      <alignment horizontal="right"/>
    </xf>
    <xf borderId="4" fillId="0" fontId="4" numFmtId="2" xfId="0" applyBorder="1" applyFont="1" applyNumberFormat="1"/>
    <xf borderId="4" fillId="0" fontId="4" numFmtId="165" xfId="0" applyBorder="1" applyFont="1" applyNumberFormat="1"/>
    <xf borderId="0" fillId="0" fontId="4" numFmtId="0" xfId="0" applyAlignment="1" applyFont="1">
      <alignment horizontal="right" vertical="center"/>
    </xf>
    <xf borderId="0" fillId="0" fontId="4" numFmtId="165" xfId="0" applyFont="1" applyNumberFormat="1"/>
    <xf borderId="0" fillId="0" fontId="4" numFmtId="2" xfId="0" applyFont="1" applyNumberFormat="1"/>
    <xf borderId="5" fillId="0" fontId="4" numFmtId="2" xfId="0" applyBorder="1" applyFont="1" applyNumberFormat="1"/>
    <xf borderId="6" fillId="0" fontId="4" numFmtId="2" xfId="0" applyBorder="1" applyFont="1" applyNumberFormat="1"/>
    <xf borderId="7" fillId="0" fontId="4" numFmtId="2" xfId="0" applyBorder="1" applyFont="1" applyNumberFormat="1"/>
    <xf borderId="8" fillId="0" fontId="4" numFmtId="2" xfId="0" applyBorder="1" applyFont="1" applyNumberFormat="1"/>
    <xf borderId="9" fillId="0" fontId="4" numFmtId="2" xfId="0" applyBorder="1" applyFont="1" applyNumberFormat="1"/>
    <xf borderId="10" fillId="0" fontId="4" numFmtId="2" xfId="0" applyBorder="1" applyFont="1" applyNumberFormat="1"/>
    <xf borderId="11" fillId="0" fontId="4" numFmtId="2" xfId="0" applyBorder="1" applyFont="1" applyNumberFormat="1"/>
    <xf borderId="12" fillId="0" fontId="4" numFmtId="2" xfId="0" applyBorder="1" applyFont="1" applyNumberFormat="1"/>
    <xf borderId="4" fillId="0" fontId="4" numFmtId="165" xfId="0" applyAlignment="1" applyBorder="1" applyFont="1" applyNumberFormat="1">
      <alignment horizontal="center"/>
    </xf>
    <xf borderId="13" fillId="0" fontId="4" numFmtId="165" xfId="0" applyAlignment="1" applyBorder="1" applyFont="1" applyNumberFormat="1">
      <alignment horizontal="center" readingOrder="0"/>
    </xf>
    <xf borderId="14" fillId="0" fontId="4" numFmtId="2" xfId="0" applyAlignment="1" applyBorder="1" applyFont="1" applyNumberFormat="1">
      <alignment horizontal="center"/>
    </xf>
    <xf borderId="15" fillId="2" fontId="6" numFmtId="0" xfId="0" applyAlignment="1" applyBorder="1" applyFont="1">
      <alignment vertical="center"/>
    </xf>
    <xf borderId="0" fillId="0" fontId="4" numFmtId="9" xfId="0" applyAlignment="1" applyFont="1" applyNumberFormat="1">
      <alignment readingOrder="0"/>
    </xf>
    <xf borderId="0" fillId="0" fontId="4" numFmtId="9" xfId="0" applyFont="1" applyNumberFormat="1"/>
    <xf borderId="4" fillId="3" fontId="7" numFmtId="0" xfId="0" applyBorder="1" applyFill="1" applyFont="1"/>
    <xf borderId="4" fillId="0" fontId="4" numFmtId="0" xfId="0" applyAlignment="1" applyBorder="1" applyFont="1">
      <alignment horizontal="center" readingOrder="0" vertical="center"/>
    </xf>
    <xf borderId="16" fillId="0" fontId="4" numFmtId="0" xfId="0" applyBorder="1" applyFont="1"/>
    <xf borderId="17" fillId="0" fontId="4" numFmtId="0" xfId="0" applyBorder="1" applyFont="1"/>
    <xf borderId="0" fillId="0" fontId="4" numFmtId="165" xfId="0" applyAlignment="1" applyFont="1" applyNumberFormat="1">
      <alignment readingOrder="0"/>
    </xf>
    <xf borderId="0" fillId="0" fontId="4" numFmtId="0" xfId="0" applyAlignment="1" applyFont="1">
      <alignment readingOrder="0"/>
    </xf>
    <xf borderId="0" fillId="0" fontId="1" numFmtId="0" xfId="0" applyAlignment="1" applyFont="1">
      <alignment readingOrder="0"/>
    </xf>
    <xf borderId="0" fillId="0" fontId="4" numFmtId="165" xfId="0" applyAlignment="1" applyFont="1" applyNumberFormat="1">
      <alignment horizontal="right" vertical="bottom"/>
    </xf>
    <xf borderId="0" fillId="0" fontId="8" numFmtId="0" xfId="0" applyAlignment="1" applyFont="1">
      <alignment horizontal="right"/>
    </xf>
  </cellXfs>
  <cellStyles count="1">
    <cellStyle xfId="0" name="Normal" builtinId="0"/>
  </cellStyles>
  <dxfs count="3">
    <dxf>
      <font>
        <color theme="0"/>
      </font>
      <fill>
        <patternFill patternType="none"/>
      </fill>
      <border/>
    </dxf>
    <dxf>
      <font>
        <color rgb="FFFF0000"/>
      </font>
      <fill>
        <patternFill patternType="none"/>
      </fill>
      <border/>
    </dxf>
    <dxf>
      <font>
        <color rgb="FF00B05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236178884329599"/>
          <c:y val="0.23682348609301532"/>
          <c:w val="0.8779614888602304"/>
          <c:h val="0.6594241096431984"/>
        </c:manualLayout>
      </c:layout>
      <c:lineChart>
        <c:ser>
          <c:idx val="0"/>
          <c:order val="0"/>
          <c:tx>
            <c:v>Valor Planificado (PV)</c:v>
          </c:tx>
          <c:spPr>
            <a:ln cmpd="sng" w="19050">
              <a:solidFill>
                <a:srgbClr val="000080">
                  <a:alpha val="100000"/>
                </a:srgbClr>
              </a:solidFill>
              <a:prstDash val="solid"/>
            </a:ln>
          </c:spPr>
          <c:marker>
            <c:symbol val="circle"/>
            <c:size val="6"/>
            <c:spPr>
              <a:solidFill>
                <a:srgbClr val="000080">
                  <a:alpha val="100000"/>
                </a:srgbClr>
              </a:solidFill>
              <a:ln cmpd="sng">
                <a:solidFill>
                  <a:srgbClr val="000080">
                    <a:alpha val="100000"/>
                  </a:srgbClr>
                </a:solidFill>
              </a:ln>
            </c:spPr>
          </c:marker>
          <c:cat>
            <c:strRef>
              <c:f>Informe!$D$22:$O$22</c:f>
            </c:strRef>
          </c:cat>
          <c:val>
            <c:numRef>
              <c:f>Informe!$D$24:$O$24</c:f>
              <c:numCache/>
            </c:numRef>
          </c:val>
          <c:smooth val="0"/>
        </c:ser>
        <c:ser>
          <c:idx val="1"/>
          <c:order val="1"/>
          <c:tx>
            <c:v>Valor Ganado (EV)</c:v>
          </c:tx>
          <c:spPr>
            <a:ln cmpd="sng" w="19050">
              <a:solidFill>
                <a:srgbClr val="006500">
                  <a:alpha val="100000"/>
                </a:srgbClr>
              </a:solidFill>
              <a:prstDash val="solid"/>
            </a:ln>
          </c:spPr>
          <c:marker>
            <c:symbol val="circle"/>
            <c:size val="5"/>
            <c:spPr>
              <a:solidFill>
                <a:srgbClr val="006500">
                  <a:alpha val="100000"/>
                </a:srgbClr>
              </a:solidFill>
              <a:ln cmpd="sng">
                <a:solidFill>
                  <a:srgbClr val="006500">
                    <a:alpha val="100000"/>
                  </a:srgbClr>
                </a:solidFill>
              </a:ln>
            </c:spPr>
          </c:marker>
          <c:cat>
            <c:strRef>
              <c:f>Informe!$D$22:$O$22</c:f>
            </c:strRef>
          </c:cat>
          <c:val>
            <c:numRef>
              <c:f>Informe!$D$29:$K$29</c:f>
              <c:numCache/>
            </c:numRef>
          </c:val>
          <c:smooth val="0"/>
        </c:ser>
        <c:ser>
          <c:idx val="2"/>
          <c:order val="2"/>
          <c:tx>
            <c:v>Coste Real(AC)</c:v>
          </c:tx>
          <c:spPr>
            <a:ln cmpd="sng" w="19050">
              <a:solidFill>
                <a:srgbClr val="FF0000">
                  <a:alpha val="100000"/>
                </a:srgbClr>
              </a:solidFill>
              <a:prstDash val="solid"/>
            </a:ln>
          </c:spPr>
          <c:marker>
            <c:symbol val="circle"/>
            <c:size val="5"/>
            <c:spPr>
              <a:solidFill>
                <a:srgbClr val="FF0000">
                  <a:alpha val="100000"/>
                </a:srgbClr>
              </a:solidFill>
              <a:ln cmpd="sng">
                <a:solidFill>
                  <a:srgbClr val="FF0000">
                    <a:alpha val="100000"/>
                  </a:srgbClr>
                </a:solidFill>
              </a:ln>
            </c:spPr>
          </c:marker>
          <c:cat>
            <c:strRef>
              <c:f>Informe!$D$22:$O$22</c:f>
            </c:strRef>
          </c:cat>
          <c:val>
            <c:numRef>
              <c:f>Informe!$D$28:$K$28</c:f>
              <c:numCache/>
            </c:numRef>
          </c:val>
          <c:smooth val="0"/>
        </c:ser>
        <c:axId val="189262585"/>
        <c:axId val="1159557300"/>
      </c:lineChart>
      <c:catAx>
        <c:axId val="1892625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000">
                <a:solidFill>
                  <a:srgbClr val="000000"/>
                </a:solidFill>
                <a:latin typeface="Arial"/>
              </a:defRPr>
            </a:pPr>
          </a:p>
        </c:txPr>
        <c:crossAx val="1159557300"/>
      </c:catAx>
      <c:valAx>
        <c:axId val="115955730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out"/>
        <c:minorTickMark val="none"/>
        <c:tickLblPos val="nextTo"/>
        <c:spPr>
          <a:ln/>
        </c:spPr>
        <c:txPr>
          <a:bodyPr rot="0"/>
          <a:lstStyle/>
          <a:p>
            <a:pPr lvl="0">
              <a:defRPr b="0" i="0" sz="1000">
                <a:solidFill>
                  <a:srgbClr val="000000"/>
                </a:solidFill>
                <a:latin typeface="Arial"/>
              </a:defRPr>
            </a:pPr>
          </a:p>
        </c:txPr>
        <c:crossAx val="189262585"/>
      </c:valAx>
    </c:plotArea>
    <c:legend>
      <c:legendPos val="r"/>
      <c:layout>
        <c:manualLayout>
          <c:xMode val="edge"/>
          <c:yMode val="edge"/>
          <c:x val="0.13962480651457032"/>
          <c:y val="0.0029223151229807653"/>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1</xdr:row>
      <xdr:rowOff>19050</xdr:rowOff>
    </xdr:from>
    <xdr:ext cx="8020050" cy="3419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0</v>
      </c>
    </row>
    <row r="2" ht="15.75" customHeight="1">
      <c r="A2" s="1" t="s">
        <v>1</v>
      </c>
    </row>
    <row r="3" ht="15.75" customHeight="1">
      <c r="A3" s="1">
        <v>0.0</v>
      </c>
      <c r="B3" s="1" t="s">
        <v>2</v>
      </c>
    </row>
    <row r="4" ht="15.75" customHeight="1">
      <c r="A4" s="1">
        <v>1.0</v>
      </c>
      <c r="B4" s="1" t="s">
        <v>3</v>
      </c>
    </row>
    <row r="5" ht="15.75" customHeight="1">
      <c r="A5" s="1">
        <v>2.0</v>
      </c>
      <c r="B5" s="1" t="s">
        <v>4</v>
      </c>
    </row>
    <row r="6" ht="15.75" customHeight="1">
      <c r="A6" s="1">
        <v>3.0</v>
      </c>
      <c r="B6" s="1" t="s">
        <v>5</v>
      </c>
    </row>
    <row r="7" ht="15.75" customHeight="1">
      <c r="A7" s="1">
        <v>4.0</v>
      </c>
      <c r="B7" s="1" t="s">
        <v>6</v>
      </c>
    </row>
    <row r="8" ht="15.75" customHeight="1">
      <c r="A8" s="1">
        <v>5.0</v>
      </c>
      <c r="B8" s="1" t="s">
        <v>7</v>
      </c>
    </row>
    <row r="9" ht="15.75" customHeight="1">
      <c r="A9" s="1">
        <v>6.0</v>
      </c>
      <c r="B9" s="1" t="s">
        <v>8</v>
      </c>
    </row>
    <row r="10" ht="15.75" customHeight="1">
      <c r="A10" s="1">
        <v>7.0</v>
      </c>
      <c r="B10" s="1" t="s">
        <v>9</v>
      </c>
    </row>
    <row r="11" ht="15.75" customHeight="1"/>
    <row r="12" ht="15.75" customHeight="1"/>
    <row r="13" ht="15.75" customHeight="1"/>
    <row r="14" ht="15.75" customHeight="1"/>
    <row r="15" ht="15.75" customHeight="1"/>
    <row r="16" ht="15.75" customHeight="1"/>
    <row r="17" ht="15.75" customHeight="1"/>
    <row r="18" ht="15.75" customHeight="1">
      <c r="A18" s="1" t="s">
        <v>10</v>
      </c>
    </row>
    <row r="19" ht="15.75" customHeight="1">
      <c r="A19" s="1" t="s">
        <v>11</v>
      </c>
      <c r="B19" s="1" t="s">
        <v>12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55.78"/>
    <col customWidth="1" min="3" max="12" width="11.44"/>
    <col customWidth="1" min="13" max="13" width="10.56"/>
    <col customWidth="1" min="14" max="14" width="11.44"/>
    <col customWidth="1" min="15" max="26" width="10.56"/>
  </cols>
  <sheetData>
    <row r="1" ht="15.75" customHeight="1">
      <c r="A1" s="2" t="s">
        <v>13</v>
      </c>
      <c r="M1" s="2" t="s">
        <v>14</v>
      </c>
    </row>
    <row r="2" ht="15.75" customHeight="1">
      <c r="A2" s="3"/>
    </row>
    <row r="3" ht="15.75" customHeight="1">
      <c r="A3" s="4" t="s">
        <v>15</v>
      </c>
    </row>
    <row r="4" ht="15.75" customHeight="1"/>
    <row r="5" ht="15.75" customHeight="1">
      <c r="B5" s="5" t="s">
        <v>16</v>
      </c>
      <c r="C5" s="6" t="s">
        <v>17</v>
      </c>
      <c r="D5" s="7"/>
      <c r="E5" s="7"/>
    </row>
    <row r="6" ht="15.75" customHeight="1">
      <c r="B6" s="5" t="s">
        <v>18</v>
      </c>
      <c r="C6" s="8">
        <v>45964.0</v>
      </c>
      <c r="D6" s="9"/>
    </row>
    <row r="7" ht="15.75" customHeight="1">
      <c r="B7" s="5"/>
    </row>
    <row r="8" ht="15.75" customHeight="1">
      <c r="B8" s="5"/>
    </row>
    <row r="9" ht="15.75" customHeight="1">
      <c r="B9" s="5" t="s">
        <v>19</v>
      </c>
      <c r="C9" s="10">
        <v>8.0</v>
      </c>
      <c r="D9" s="11" t="s">
        <v>20</v>
      </c>
    </row>
    <row r="10" ht="15.75" customHeight="1"/>
    <row r="11" ht="15.75" customHeight="1"/>
    <row r="12" ht="15.75" customHeight="1">
      <c r="A12" s="4" t="s">
        <v>21</v>
      </c>
    </row>
    <row r="13" ht="15.75" customHeight="1">
      <c r="B13" s="12" t="s">
        <v>22</v>
      </c>
    </row>
    <row r="14" ht="15.75" customHeight="1"/>
    <row r="15" ht="15.75" customHeight="1"/>
    <row r="16" ht="15.75" customHeight="1"/>
    <row r="17" ht="15.75" customHeight="1"/>
    <row r="18" ht="15.75" customHeight="1"/>
    <row r="19" ht="15.75" customHeight="1"/>
    <row r="20" ht="15.75" customHeight="1"/>
    <row r="21" ht="15.75" customHeight="1"/>
    <row r="22" ht="15.75" customHeight="1">
      <c r="A22" s="4" t="s">
        <v>23</v>
      </c>
      <c r="D22" s="13" t="s">
        <v>24</v>
      </c>
      <c r="E22" s="13" t="s">
        <v>25</v>
      </c>
      <c r="F22" s="13" t="s">
        <v>26</v>
      </c>
      <c r="G22" s="13" t="s">
        <v>27</v>
      </c>
      <c r="H22" s="13" t="s">
        <v>28</v>
      </c>
      <c r="I22" s="13" t="s">
        <v>29</v>
      </c>
      <c r="J22" s="13" t="s">
        <v>30</v>
      </c>
      <c r="K22" s="13" t="s">
        <v>31</v>
      </c>
      <c r="P22" s="11" t="s">
        <v>32</v>
      </c>
    </row>
    <row r="23" ht="15.75" customHeight="1">
      <c r="C23" s="14" t="s">
        <v>33</v>
      </c>
      <c r="D23" s="15">
        <f>PV!D7</f>
        <v>9.4</v>
      </c>
      <c r="E23" s="15">
        <f>PV!E7</f>
        <v>8.5</v>
      </c>
      <c r="F23" s="15">
        <f>PV!F7</f>
        <v>14.2</v>
      </c>
      <c r="G23" s="15">
        <f>PV!G7</f>
        <v>12</v>
      </c>
      <c r="H23" s="15">
        <f>PV!H7</f>
        <v>8.7</v>
      </c>
      <c r="I23" s="15">
        <f>PV!I7</f>
        <v>7.6</v>
      </c>
      <c r="J23" s="15">
        <f>PV!J7</f>
        <v>15.8</v>
      </c>
      <c r="K23" s="15">
        <f>PV!K7</f>
        <v>11.3</v>
      </c>
      <c r="P23" s="11" t="s">
        <v>34</v>
      </c>
    </row>
    <row r="24" ht="15.75" customHeight="1">
      <c r="C24" s="14" t="s">
        <v>35</v>
      </c>
      <c r="D24" s="16">
        <f>IF(D23="","",D23)</f>
        <v>9.4</v>
      </c>
      <c r="E24" s="16">
        <f t="shared" ref="E24:K24" si="1">IF(E23="",D24,D24+E23)</f>
        <v>17.9</v>
      </c>
      <c r="F24" s="16">
        <f t="shared" si="1"/>
        <v>32.1</v>
      </c>
      <c r="G24" s="16">
        <f t="shared" si="1"/>
        <v>44.1</v>
      </c>
      <c r="H24" s="16">
        <f t="shared" si="1"/>
        <v>52.8</v>
      </c>
      <c r="I24" s="16">
        <f t="shared" si="1"/>
        <v>60.4</v>
      </c>
      <c r="J24" s="16">
        <f t="shared" si="1"/>
        <v>76.2</v>
      </c>
      <c r="K24" s="16">
        <f t="shared" si="1"/>
        <v>87.5</v>
      </c>
    </row>
    <row r="25" ht="15.75" customHeight="1">
      <c r="C25" s="17" t="s">
        <v>36</v>
      </c>
      <c r="D25" s="18">
        <f>MAX(PV!D8:K8)</f>
        <v>87.5</v>
      </c>
    </row>
    <row r="26" ht="15.75" customHeight="1"/>
    <row r="27" ht="15.75" customHeight="1">
      <c r="A27" s="4" t="s">
        <v>37</v>
      </c>
    </row>
    <row r="28" ht="15.75" customHeight="1">
      <c r="C28" s="14" t="s">
        <v>38</v>
      </c>
      <c r="D28" s="16">
        <f>IF($C$9&gt;=COLUMN(D$22)-3,AC!D7,NA())</f>
        <v>7.6</v>
      </c>
      <c r="E28" s="16">
        <f>IF($C$9&gt;=COLUMN(E$22)-3,AC!E7,NA())</f>
        <v>13.1</v>
      </c>
      <c r="F28" s="16">
        <f>IF($C$9&gt;=COLUMN(F$22)-3,AC!F7,NA())</f>
        <v>28.3</v>
      </c>
      <c r="G28" s="16">
        <f>IF($C$9&gt;=COLUMN(G$22)-3,AC!G7,NA())</f>
        <v>42.1</v>
      </c>
      <c r="H28" s="16">
        <f>IF($C$9&gt;=COLUMN(H$22)-3,AC!H7,NA())</f>
        <v>51.8</v>
      </c>
      <c r="I28" s="16">
        <f>IF($C$9&gt;=COLUMN(I$22)-3,AC!I7,NA())</f>
        <v>58.7</v>
      </c>
      <c r="J28" s="16">
        <f>IF($C$9&gt;=COLUMN(J$22)-3,AC!J7,NA())</f>
        <v>69.2</v>
      </c>
      <c r="K28" s="16">
        <f>IF($C$9&gt;=COLUMN(K$22)-3,AC!K7,NA())</f>
        <v>79.3</v>
      </c>
    </row>
    <row r="29" ht="15.75" customHeight="1">
      <c r="C29" s="14" t="s">
        <v>39</v>
      </c>
      <c r="D29" s="16">
        <f>IF($C$9&gt;=COLUMN(D$22)-3,EV!D7,NA())</f>
        <v>9.4</v>
      </c>
      <c r="E29" s="16">
        <f>IF($C$9&gt;=COLUMN(E$22)-3,EV!E7,NA())</f>
        <v>17.1</v>
      </c>
      <c r="F29" s="16">
        <f>IF($C$9&gt;=COLUMN(F$22)-3,EV!F7,NA())</f>
        <v>36.65</v>
      </c>
      <c r="G29" s="16">
        <f>IF($C$9&gt;=COLUMN(G$22)-3,EV!G7,NA())</f>
        <v>43.1</v>
      </c>
      <c r="H29" s="16">
        <f>IF($C$9&gt;=COLUMN(H$22)-3,EV!H7,NA())</f>
        <v>52.8</v>
      </c>
      <c r="I29" s="16">
        <f>IF($C$9&gt;=COLUMN(I$22)-3,EV!I7,NA())</f>
        <v>60.4</v>
      </c>
      <c r="J29" s="16">
        <f>IF($C$9&gt;=COLUMN(J$22)-3,EV!J7,NA())</f>
        <v>74</v>
      </c>
      <c r="K29" s="16">
        <f>IF($C$9&gt;=COLUMN(K$22)-3,EV!K7,NA())</f>
        <v>87.5</v>
      </c>
    </row>
    <row r="30" ht="15.75" customHeight="1">
      <c r="C30" s="14" t="s">
        <v>40</v>
      </c>
      <c r="D30" s="18">
        <f>MAX(AC!D7:K7)</f>
        <v>79.3</v>
      </c>
    </row>
    <row r="31" ht="15.75" customHeight="1">
      <c r="D31" s="19"/>
      <c r="E31" s="19"/>
      <c r="F31" s="19"/>
      <c r="G31" s="19"/>
      <c r="H31" s="19"/>
      <c r="I31" s="19"/>
      <c r="J31" s="19"/>
      <c r="K31" s="19"/>
    </row>
    <row r="32" ht="15.75" customHeight="1">
      <c r="A32" s="4" t="s">
        <v>41</v>
      </c>
      <c r="D32" s="19"/>
      <c r="E32" s="19"/>
      <c r="F32" s="19"/>
      <c r="G32" s="19"/>
      <c r="H32" s="19"/>
      <c r="I32" s="19"/>
      <c r="J32" s="19"/>
      <c r="K32" s="19"/>
    </row>
    <row r="33" ht="15.75" customHeight="1">
      <c r="C33" s="14" t="s">
        <v>42</v>
      </c>
      <c r="D33" s="20">
        <f t="shared" ref="D33:K33" si="2">IF(OR(ISERROR(D28),ISERROR(D29))," - ",D29-D28)</f>
        <v>1.8</v>
      </c>
      <c r="E33" s="21">
        <f t="shared" si="2"/>
        <v>4</v>
      </c>
      <c r="F33" s="21">
        <f t="shared" si="2"/>
        <v>8.35</v>
      </c>
      <c r="G33" s="21">
        <f t="shared" si="2"/>
        <v>1</v>
      </c>
      <c r="H33" s="21">
        <f t="shared" si="2"/>
        <v>1</v>
      </c>
      <c r="I33" s="21">
        <f t="shared" si="2"/>
        <v>1.7</v>
      </c>
      <c r="J33" s="21">
        <f t="shared" si="2"/>
        <v>4.8</v>
      </c>
      <c r="K33" s="22">
        <f t="shared" si="2"/>
        <v>8.2</v>
      </c>
    </row>
    <row r="34" ht="15.75" customHeight="1">
      <c r="C34" s="14" t="s">
        <v>43</v>
      </c>
      <c r="D34" s="23">
        <f t="shared" ref="D34:K34" si="3">IF(OR(ISERROR(D24),ISERROR(D29))," - ",D29-D24)</f>
        <v>0</v>
      </c>
      <c r="E34" s="19">
        <f t="shared" si="3"/>
        <v>-0.8</v>
      </c>
      <c r="F34" s="19">
        <f t="shared" si="3"/>
        <v>4.55</v>
      </c>
      <c r="G34" s="19">
        <f t="shared" si="3"/>
        <v>-1</v>
      </c>
      <c r="H34" s="19">
        <f t="shared" si="3"/>
        <v>0</v>
      </c>
      <c r="I34" s="19">
        <f t="shared" si="3"/>
        <v>0</v>
      </c>
      <c r="J34" s="19">
        <f t="shared" si="3"/>
        <v>-2.2</v>
      </c>
      <c r="K34" s="24">
        <f t="shared" si="3"/>
        <v>0</v>
      </c>
    </row>
    <row r="35" ht="15.75" customHeight="1">
      <c r="C35" s="14" t="s">
        <v>44</v>
      </c>
      <c r="D35" s="23">
        <f t="shared" ref="D35:K35" si="4">IF(OR(ISERROR(D28),ISERROR(D29))," - ",D29/D28)</f>
        <v>1.236842105</v>
      </c>
      <c r="E35" s="19">
        <f t="shared" si="4"/>
        <v>1.305343511</v>
      </c>
      <c r="F35" s="19">
        <f t="shared" si="4"/>
        <v>1.295053004</v>
      </c>
      <c r="G35" s="19">
        <f t="shared" si="4"/>
        <v>1.023752969</v>
      </c>
      <c r="H35" s="19">
        <f t="shared" si="4"/>
        <v>1.019305019</v>
      </c>
      <c r="I35" s="19">
        <f t="shared" si="4"/>
        <v>1.028960818</v>
      </c>
      <c r="J35" s="19">
        <f t="shared" si="4"/>
        <v>1.069364162</v>
      </c>
      <c r="K35" s="24">
        <f t="shared" si="4"/>
        <v>1.103404792</v>
      </c>
    </row>
    <row r="36" ht="15.75" customHeight="1">
      <c r="C36" s="14" t="s">
        <v>45</v>
      </c>
      <c r="D36" s="23">
        <f t="shared" ref="D36:K36" si="5">IF(OR(ISERROR(D24),ISERROR(D29))," - ",D29/D24)</f>
        <v>1</v>
      </c>
      <c r="E36" s="19">
        <f t="shared" si="5"/>
        <v>0.9553072626</v>
      </c>
      <c r="F36" s="19">
        <f t="shared" si="5"/>
        <v>1.141744548</v>
      </c>
      <c r="G36" s="19">
        <f t="shared" si="5"/>
        <v>0.977324263</v>
      </c>
      <c r="H36" s="19">
        <f t="shared" si="5"/>
        <v>1</v>
      </c>
      <c r="I36" s="19">
        <f t="shared" si="5"/>
        <v>1</v>
      </c>
      <c r="J36" s="19">
        <f t="shared" si="5"/>
        <v>0.9711286089</v>
      </c>
      <c r="K36" s="24">
        <f t="shared" si="5"/>
        <v>1</v>
      </c>
    </row>
    <row r="37" ht="15.75" customHeight="1">
      <c r="C37" s="14" t="s">
        <v>46</v>
      </c>
      <c r="D37" s="25">
        <f t="shared" ref="D37:K37" si="6">IF(AND(ISERROR(D28),ISERROR(D29))," - ",$D$25/D35)</f>
        <v>70.74468085</v>
      </c>
      <c r="E37" s="26">
        <f t="shared" si="6"/>
        <v>67.03216374</v>
      </c>
      <c r="F37" s="26">
        <f t="shared" si="6"/>
        <v>67.56480218</v>
      </c>
      <c r="G37" s="26">
        <f t="shared" si="6"/>
        <v>85.46983759</v>
      </c>
      <c r="H37" s="26">
        <f t="shared" si="6"/>
        <v>85.84280303</v>
      </c>
      <c r="I37" s="26">
        <f t="shared" si="6"/>
        <v>85.03725166</v>
      </c>
      <c r="J37" s="26">
        <f t="shared" si="6"/>
        <v>81.82432432</v>
      </c>
      <c r="K37" s="27">
        <f t="shared" si="6"/>
        <v>79.3</v>
      </c>
    </row>
    <row r="38" ht="15.75" customHeight="1">
      <c r="D38" s="19"/>
      <c r="E38" s="19"/>
      <c r="F38" s="19"/>
      <c r="G38" s="19"/>
      <c r="H38" s="19"/>
      <c r="I38" s="19"/>
      <c r="J38" s="19"/>
      <c r="K38" s="19"/>
    </row>
    <row r="39" ht="15.75" customHeight="1">
      <c r="D39" s="19"/>
      <c r="E39" s="19"/>
      <c r="F39" s="19"/>
      <c r="G39" s="19"/>
      <c r="H39" s="19"/>
      <c r="I39" s="19"/>
      <c r="J39" s="19"/>
      <c r="K39" s="19"/>
    </row>
    <row r="40" ht="15.75" customHeight="1">
      <c r="B40" s="4" t="s">
        <v>47</v>
      </c>
      <c r="E40" s="19"/>
      <c r="F40" s="19"/>
      <c r="G40" s="19"/>
      <c r="H40" s="19"/>
      <c r="I40" s="19"/>
      <c r="J40" s="19"/>
      <c r="K40" s="19"/>
    </row>
    <row r="41" ht="15.75" customHeight="1">
      <c r="D41" s="14" t="s">
        <v>38</v>
      </c>
      <c r="E41" s="28">
        <f>D30</f>
        <v>79.3</v>
      </c>
      <c r="H41" s="14" t="s">
        <v>38</v>
      </c>
      <c r="I41" s="28">
        <f>D30</f>
        <v>79.3</v>
      </c>
      <c r="K41" s="19"/>
    </row>
    <row r="42" ht="15.75" customHeight="1">
      <c r="D42" s="14" t="s">
        <v>48</v>
      </c>
      <c r="E42" s="29">
        <v>83.0</v>
      </c>
      <c r="H42" s="14" t="s">
        <v>49</v>
      </c>
      <c r="I42" s="29">
        <v>2028.0</v>
      </c>
      <c r="K42" s="19"/>
    </row>
    <row r="43" ht="15.75" customHeight="1">
      <c r="D43" s="14" t="s">
        <v>50</v>
      </c>
      <c r="E43" s="30">
        <f>IF(E42=0,"Falta PF",E41/E42)</f>
        <v>0.9554216867</v>
      </c>
      <c r="F43" s="19" t="s">
        <v>51</v>
      </c>
      <c r="G43" s="19"/>
      <c r="H43" s="14" t="s">
        <v>50</v>
      </c>
      <c r="I43" s="30">
        <f>IF(I42=0,"Falta LOC",I41/I42)</f>
        <v>0.0391025641</v>
      </c>
      <c r="J43" s="19" t="s">
        <v>52</v>
      </c>
      <c r="K43" s="19"/>
    </row>
    <row r="44" ht="15.75" customHeight="1">
      <c r="D44" s="19"/>
      <c r="E44" s="19"/>
      <c r="F44" s="19"/>
      <c r="G44" s="19"/>
      <c r="H44" s="19"/>
      <c r="I44" s="19"/>
      <c r="J44" s="19"/>
      <c r="K44" s="19"/>
    </row>
    <row r="45" ht="15.75" customHeight="1">
      <c r="D45" s="19"/>
      <c r="E45" s="19"/>
      <c r="F45" s="19"/>
      <c r="G45" s="19"/>
      <c r="H45" s="19"/>
      <c r="I45" s="19"/>
      <c r="J45" s="19"/>
      <c r="K45" s="19"/>
    </row>
    <row r="46" ht="15.75" customHeight="1">
      <c r="D46" s="19"/>
      <c r="E46" s="19"/>
      <c r="F46" s="19"/>
      <c r="G46" s="19"/>
      <c r="H46" s="19"/>
      <c r="I46" s="19"/>
      <c r="J46" s="19"/>
      <c r="K46" s="19"/>
    </row>
    <row r="47" ht="15.75" customHeight="1">
      <c r="D47" s="19"/>
      <c r="E47" s="19"/>
      <c r="F47" s="19"/>
      <c r="G47" s="19"/>
      <c r="H47" s="19"/>
      <c r="I47" s="19"/>
      <c r="J47" s="19"/>
      <c r="K47" s="19"/>
    </row>
    <row r="48" ht="15.75" customHeight="1">
      <c r="D48" s="19"/>
      <c r="E48" s="19"/>
      <c r="F48" s="19"/>
      <c r="G48" s="19"/>
      <c r="H48" s="19"/>
      <c r="I48" s="19"/>
      <c r="J48" s="19"/>
      <c r="K48" s="19"/>
    </row>
    <row r="49" ht="15.75" customHeight="1">
      <c r="D49" s="19"/>
      <c r="E49" s="19"/>
      <c r="F49" s="19"/>
      <c r="G49" s="19"/>
      <c r="H49" s="19"/>
      <c r="I49" s="19"/>
      <c r="J49" s="19"/>
      <c r="K49" s="19"/>
    </row>
    <row r="50" ht="15.75" customHeight="1">
      <c r="D50" s="19"/>
      <c r="E50" s="19"/>
      <c r="F50" s="19"/>
      <c r="G50" s="19"/>
      <c r="H50" s="19"/>
      <c r="I50" s="19"/>
      <c r="J50" s="19"/>
      <c r="K50" s="19"/>
    </row>
    <row r="51" ht="15.75" customHeight="1">
      <c r="D51" s="19"/>
      <c r="E51" s="19"/>
      <c r="F51" s="19"/>
      <c r="G51" s="19"/>
      <c r="H51" s="19"/>
      <c r="I51" s="19"/>
      <c r="J51" s="19"/>
      <c r="K51" s="19"/>
    </row>
    <row r="52" ht="15.75" customHeight="1">
      <c r="D52" s="19"/>
      <c r="E52" s="19"/>
      <c r="F52" s="19"/>
      <c r="G52" s="19"/>
      <c r="H52" s="19"/>
      <c r="I52" s="19"/>
      <c r="J52" s="19"/>
      <c r="K52" s="19"/>
    </row>
    <row r="53" ht="15.75" customHeight="1">
      <c r="D53" s="19"/>
      <c r="E53" s="19"/>
      <c r="F53" s="19"/>
      <c r="G53" s="19"/>
      <c r="H53" s="19"/>
      <c r="I53" s="19"/>
      <c r="J53" s="19"/>
      <c r="K53" s="19"/>
    </row>
    <row r="54" ht="15.75" customHeight="1">
      <c r="D54" s="19"/>
      <c r="E54" s="19"/>
      <c r="F54" s="19"/>
      <c r="G54" s="19"/>
      <c r="H54" s="19"/>
      <c r="I54" s="19"/>
      <c r="J54" s="19"/>
      <c r="K54" s="19"/>
    </row>
    <row r="55" ht="15.75" customHeight="1">
      <c r="D55" s="19"/>
      <c r="E55" s="19"/>
      <c r="F55" s="19"/>
      <c r="G55" s="19"/>
      <c r="H55" s="19"/>
      <c r="I55" s="19"/>
      <c r="J55" s="19"/>
      <c r="K55" s="19"/>
    </row>
    <row r="56" ht="15.75" customHeight="1">
      <c r="D56" s="19"/>
      <c r="E56" s="19"/>
      <c r="F56" s="19"/>
      <c r="G56" s="19"/>
      <c r="H56" s="19"/>
      <c r="I56" s="19"/>
      <c r="J56" s="19"/>
      <c r="K56" s="19"/>
    </row>
    <row r="57" ht="15.75" customHeight="1">
      <c r="D57" s="19"/>
      <c r="E57" s="19"/>
      <c r="F57" s="19"/>
      <c r="G57" s="19"/>
      <c r="H57" s="19"/>
      <c r="I57" s="19"/>
      <c r="J57" s="19"/>
      <c r="K57" s="19"/>
    </row>
    <row r="58" ht="15.75" customHeight="1">
      <c r="D58" s="19"/>
      <c r="E58" s="19"/>
      <c r="F58" s="19"/>
      <c r="G58" s="19"/>
      <c r="H58" s="19"/>
      <c r="I58" s="19"/>
      <c r="J58" s="19"/>
      <c r="K58" s="19"/>
    </row>
    <row r="59" ht="15.75" customHeight="1">
      <c r="D59" s="19"/>
      <c r="E59" s="19"/>
      <c r="F59" s="19"/>
      <c r="G59" s="19"/>
      <c r="H59" s="19"/>
      <c r="I59" s="19"/>
      <c r="J59" s="19"/>
      <c r="K59" s="19"/>
    </row>
    <row r="60" ht="15.75" customHeight="1">
      <c r="D60" s="19"/>
      <c r="E60" s="19"/>
      <c r="F60" s="19"/>
      <c r="G60" s="19"/>
      <c r="H60" s="19"/>
      <c r="I60" s="19"/>
      <c r="J60" s="19"/>
      <c r="K60" s="19"/>
    </row>
    <row r="61" ht="15.75" customHeight="1">
      <c r="D61" s="19"/>
      <c r="E61" s="19"/>
      <c r="F61" s="19"/>
      <c r="G61" s="19"/>
      <c r="H61" s="19"/>
      <c r="I61" s="19"/>
      <c r="J61" s="19"/>
      <c r="K61" s="19"/>
    </row>
    <row r="62" ht="15.75" customHeight="1">
      <c r="D62" s="19"/>
      <c r="E62" s="19"/>
      <c r="F62" s="19"/>
      <c r="G62" s="19"/>
      <c r="H62" s="19"/>
      <c r="I62" s="19"/>
      <c r="J62" s="19"/>
      <c r="K62" s="19"/>
    </row>
    <row r="63" ht="15.75" customHeight="1">
      <c r="D63" s="19"/>
      <c r="E63" s="19"/>
      <c r="F63" s="19"/>
      <c r="G63" s="19"/>
      <c r="H63" s="19"/>
      <c r="I63" s="19"/>
      <c r="J63" s="19"/>
      <c r="K63" s="19"/>
    </row>
    <row r="64" ht="15.75" customHeight="1">
      <c r="D64" s="19"/>
      <c r="E64" s="19"/>
      <c r="F64" s="19"/>
      <c r="G64" s="19"/>
      <c r="H64" s="19"/>
      <c r="I64" s="19"/>
      <c r="J64" s="19"/>
      <c r="K64" s="19"/>
    </row>
    <row r="65" ht="15.75" customHeight="1">
      <c r="D65" s="19"/>
      <c r="E65" s="19"/>
      <c r="F65" s="19"/>
      <c r="G65" s="19"/>
      <c r="H65" s="19"/>
      <c r="I65" s="19"/>
      <c r="J65" s="19"/>
      <c r="K65" s="19"/>
    </row>
    <row r="66" ht="15.75" customHeight="1">
      <c r="D66" s="19"/>
      <c r="E66" s="19"/>
      <c r="F66" s="19"/>
      <c r="G66" s="19"/>
      <c r="H66" s="19"/>
      <c r="I66" s="19"/>
      <c r="J66" s="19"/>
      <c r="K66" s="19"/>
    </row>
    <row r="67" ht="15.75" customHeight="1">
      <c r="D67" s="19"/>
      <c r="E67" s="19"/>
      <c r="F67" s="19"/>
      <c r="G67" s="19"/>
      <c r="H67" s="19"/>
      <c r="I67" s="19"/>
      <c r="J67" s="19"/>
      <c r="K67" s="19"/>
    </row>
    <row r="68" ht="15.75" customHeight="1">
      <c r="D68" s="19"/>
      <c r="E68" s="19"/>
      <c r="F68" s="19"/>
      <c r="G68" s="19"/>
      <c r="H68" s="19"/>
      <c r="I68" s="19"/>
      <c r="J68" s="19"/>
      <c r="K68" s="19"/>
    </row>
    <row r="69" ht="15.75" customHeight="1">
      <c r="D69" s="19"/>
      <c r="E69" s="19"/>
      <c r="F69" s="19"/>
      <c r="G69" s="19"/>
      <c r="H69" s="19"/>
      <c r="I69" s="19"/>
      <c r="J69" s="19"/>
      <c r="K69" s="19"/>
    </row>
    <row r="70" ht="15.75" customHeight="1">
      <c r="D70" s="19"/>
      <c r="E70" s="19"/>
      <c r="F70" s="19"/>
      <c r="G70" s="19"/>
      <c r="H70" s="19"/>
      <c r="I70" s="19"/>
      <c r="J70" s="19"/>
      <c r="K70" s="19"/>
    </row>
    <row r="71" ht="15.75" customHeight="1">
      <c r="D71" s="19"/>
      <c r="E71" s="19"/>
      <c r="F71" s="19"/>
      <c r="G71" s="19"/>
      <c r="H71" s="19"/>
      <c r="I71" s="19"/>
      <c r="J71" s="19"/>
      <c r="K71" s="19"/>
    </row>
    <row r="72" ht="15.75" customHeight="1">
      <c r="D72" s="19"/>
      <c r="E72" s="19"/>
      <c r="F72" s="19"/>
      <c r="G72" s="19"/>
      <c r="H72" s="19"/>
      <c r="I72" s="19"/>
      <c r="J72" s="19"/>
      <c r="K72" s="19"/>
    </row>
    <row r="73" ht="15.75" customHeight="1">
      <c r="D73" s="19"/>
      <c r="E73" s="19"/>
      <c r="F73" s="19"/>
      <c r="G73" s="19"/>
      <c r="H73" s="19"/>
      <c r="I73" s="19"/>
      <c r="J73" s="19"/>
      <c r="K73" s="19"/>
    </row>
    <row r="74" ht="15.75" customHeight="1">
      <c r="D74" s="19"/>
      <c r="E74" s="19"/>
      <c r="F74" s="19"/>
      <c r="G74" s="19"/>
      <c r="H74" s="19"/>
      <c r="I74" s="19"/>
      <c r="J74" s="19"/>
      <c r="K74" s="19"/>
    </row>
    <row r="75" ht="15.75" customHeight="1">
      <c r="D75" s="19"/>
      <c r="E75" s="19"/>
      <c r="F75" s="19"/>
      <c r="G75" s="19"/>
      <c r="H75" s="19"/>
      <c r="I75" s="19"/>
      <c r="J75" s="19"/>
      <c r="K75" s="19"/>
    </row>
    <row r="76" ht="15.75" customHeight="1">
      <c r="D76" s="19"/>
      <c r="E76" s="19"/>
      <c r="F76" s="19"/>
      <c r="G76" s="19"/>
      <c r="H76" s="19"/>
      <c r="I76" s="19"/>
      <c r="J76" s="19"/>
      <c r="K76" s="19"/>
    </row>
    <row r="77" ht="15.75" customHeight="1"/>
    <row r="78" ht="15.75" customHeight="1">
      <c r="C78" s="18"/>
    </row>
    <row r="79" ht="15.75" customHeight="1">
      <c r="C79" s="14"/>
      <c r="D79" s="18"/>
      <c r="E79" s="18"/>
      <c r="F79" s="18"/>
      <c r="G79" s="18"/>
      <c r="H79" s="18"/>
      <c r="I79" s="18"/>
      <c r="J79" s="18"/>
      <c r="K79" s="18"/>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3:E19"/>
  </mergeCells>
  <conditionalFormatting sqref="D28:K29">
    <cfRule type="expression" dxfId="0" priority="1">
      <formula>ISERROR(D28)</formula>
    </cfRule>
  </conditionalFormatting>
  <conditionalFormatting sqref="D33:K36">
    <cfRule type="cellIs" dxfId="1" priority="2" operator="lessThan">
      <formula>0</formula>
    </cfRule>
  </conditionalFormatting>
  <conditionalFormatting sqref="D33:K36">
    <cfRule type="cellIs" dxfId="2" priority="3" operator="greaterThanOrEqual">
      <formula>0</formula>
    </cfRule>
  </conditionalFormatting>
  <conditionalFormatting sqref="D33:K37">
    <cfRule type="expression" dxfId="0" priority="4">
      <formula>ISERROR(D33)</formula>
    </cfRule>
  </conditionalFormatting>
  <conditionalFormatting sqref="E41:E42">
    <cfRule type="expression" dxfId="0" priority="5">
      <formula>ISERROR(E41)</formula>
    </cfRule>
  </conditionalFormatting>
  <conditionalFormatting sqref="I41:I42">
    <cfRule type="expression" dxfId="0" priority="6">
      <formula>ISERROR(I41)</formula>
    </cfRule>
  </conditionalFormatting>
  <conditionalFormatting sqref="K38">
    <cfRule type="cellIs" dxfId="1" priority="7"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21.11"/>
    <col customWidth="1" min="4" max="4" width="11.44"/>
    <col customWidth="1" min="5" max="26" width="10.56"/>
  </cols>
  <sheetData>
    <row r="1" ht="15.75" customHeight="1">
      <c r="A1" s="1" t="s">
        <v>53</v>
      </c>
    </row>
    <row r="2" ht="15.75" customHeight="1">
      <c r="B2" s="1" t="s">
        <v>54</v>
      </c>
    </row>
    <row r="3" ht="15.75" customHeight="1">
      <c r="B3" s="1" t="s">
        <v>55</v>
      </c>
    </row>
    <row r="4" ht="15.75" customHeight="1">
      <c r="B4" s="1" t="s">
        <v>56</v>
      </c>
    </row>
    <row r="5" ht="15.75" customHeight="1">
      <c r="B5" s="1" t="s">
        <v>57</v>
      </c>
      <c r="M5" s="11" t="s">
        <v>58</v>
      </c>
    </row>
    <row r="6" ht="15.75" customHeight="1"/>
    <row r="7" ht="15.75" customHeight="1">
      <c r="A7" s="4" t="s">
        <v>39</v>
      </c>
      <c r="D7" s="1">
        <f t="shared" ref="D7:K7" si="1">SUMPRODUCT($C$10:$C1000,D$10:D1000)</f>
        <v>9.4</v>
      </c>
      <c r="E7" s="1">
        <f t="shared" si="1"/>
        <v>17.1</v>
      </c>
      <c r="F7" s="1">
        <f t="shared" si="1"/>
        <v>36.65</v>
      </c>
      <c r="G7" s="1">
        <f t="shared" si="1"/>
        <v>43.1</v>
      </c>
      <c r="H7" s="1">
        <f t="shared" si="1"/>
        <v>52.8</v>
      </c>
      <c r="I7" s="1">
        <f t="shared" si="1"/>
        <v>60.4</v>
      </c>
      <c r="J7" s="1">
        <f t="shared" si="1"/>
        <v>74</v>
      </c>
      <c r="K7" s="1">
        <f t="shared" si="1"/>
        <v>87.5</v>
      </c>
    </row>
    <row r="8" ht="15.75" customHeight="1">
      <c r="A8" s="4"/>
    </row>
    <row r="9" ht="15.75" customHeight="1">
      <c r="B9" s="31" t="s">
        <v>59</v>
      </c>
      <c r="C9" s="31" t="s">
        <v>60</v>
      </c>
      <c r="D9" s="31" t="str">
        <f>Informe!D22</f>
        <v>S1</v>
      </c>
      <c r="E9" s="31" t="str">
        <f>Informe!E22</f>
        <v>S2</v>
      </c>
      <c r="F9" s="31" t="str">
        <f>Informe!F22</f>
        <v>S3</v>
      </c>
      <c r="G9" s="31" t="str">
        <f>Informe!G22</f>
        <v>S4</v>
      </c>
      <c r="H9" s="31" t="str">
        <f>Informe!H22</f>
        <v>S5</v>
      </c>
      <c r="I9" s="31" t="str">
        <f>Informe!I22</f>
        <v>S6</v>
      </c>
      <c r="J9" s="31" t="str">
        <f>Informe!J22</f>
        <v>S7</v>
      </c>
      <c r="K9" s="31" t="str">
        <f>Informe!K22</f>
        <v>S8</v>
      </c>
    </row>
    <row r="10" ht="15.75" customHeight="1">
      <c r="B10" s="1" t="str">
        <f>IF(ISBLANK(Tareas!B6)," - ",Tareas!B6)</f>
        <v>1. Reunión 1</v>
      </c>
      <c r="C10" s="19">
        <f>PV!C10</f>
        <v>4.5</v>
      </c>
      <c r="D10" s="32">
        <v>1.0</v>
      </c>
      <c r="E10" s="33">
        <f t="shared" ref="E10:K10" si="2">IF(D10="","",MAX($D10:D10))</f>
        <v>1</v>
      </c>
      <c r="F10" s="33">
        <f t="shared" si="2"/>
        <v>1</v>
      </c>
      <c r="G10" s="33">
        <f t="shared" si="2"/>
        <v>1</v>
      </c>
      <c r="H10" s="33">
        <f t="shared" si="2"/>
        <v>1</v>
      </c>
      <c r="I10" s="33">
        <f t="shared" si="2"/>
        <v>1</v>
      </c>
      <c r="J10" s="33">
        <f t="shared" si="2"/>
        <v>1</v>
      </c>
      <c r="K10" s="33">
        <f t="shared" si="2"/>
        <v>1</v>
      </c>
    </row>
    <row r="11" ht="15.75" customHeight="1">
      <c r="B11" s="1" t="str">
        <f>IF(ISBLANK(Tareas!B7)," - ",Tareas!B7)</f>
        <v>2. Asignación de roles</v>
      </c>
      <c r="C11" s="19">
        <f>PV!C11</f>
        <v>0.9</v>
      </c>
      <c r="D11" s="32">
        <v>1.0</v>
      </c>
      <c r="E11" s="33">
        <f t="shared" ref="E11:K11" si="3">IF(D11="","",MAX($D11:D11))</f>
        <v>1</v>
      </c>
      <c r="F11" s="33">
        <f t="shared" si="3"/>
        <v>1</v>
      </c>
      <c r="G11" s="33">
        <f t="shared" si="3"/>
        <v>1</v>
      </c>
      <c r="H11" s="33">
        <f t="shared" si="3"/>
        <v>1</v>
      </c>
      <c r="I11" s="33">
        <f t="shared" si="3"/>
        <v>1</v>
      </c>
      <c r="J11" s="33">
        <f t="shared" si="3"/>
        <v>1</v>
      </c>
      <c r="K11" s="33">
        <f t="shared" si="3"/>
        <v>1</v>
      </c>
    </row>
    <row r="12" ht="15.75" customHeight="1">
      <c r="B12" s="1" t="str">
        <f>IF(ISBLANK(Tareas!B8)," - ",Tareas!B8)</f>
        <v>3. Definición del estándar de documentación</v>
      </c>
      <c r="C12" s="19">
        <f>PV!C12</f>
        <v>1.2</v>
      </c>
      <c r="D12" s="32">
        <v>1.0</v>
      </c>
      <c r="E12" s="33">
        <f t="shared" ref="E12:K12" si="4">IF(D12="","",MAX($D12:D12))</f>
        <v>1</v>
      </c>
      <c r="F12" s="33">
        <f t="shared" si="4"/>
        <v>1</v>
      </c>
      <c r="G12" s="33">
        <f t="shared" si="4"/>
        <v>1</v>
      </c>
      <c r="H12" s="33">
        <f t="shared" si="4"/>
        <v>1</v>
      </c>
      <c r="I12" s="33">
        <f t="shared" si="4"/>
        <v>1</v>
      </c>
      <c r="J12" s="33">
        <f t="shared" si="4"/>
        <v>1</v>
      </c>
      <c r="K12" s="33">
        <f t="shared" si="4"/>
        <v>1</v>
      </c>
    </row>
    <row r="13" ht="15.75" customHeight="1">
      <c r="B13" s="1" t="str">
        <f>IF(ISBLANK(Tareas!B9)," - ",Tareas!B9)</f>
        <v>4. Definición del estándar de proceso</v>
      </c>
      <c r="C13" s="19">
        <f>PV!C13</f>
        <v>2.2</v>
      </c>
      <c r="D13" s="32">
        <v>1.0</v>
      </c>
      <c r="E13" s="33">
        <f t="shared" ref="E13:K13" si="5">IF(D13="","",MAX($D13:D13))</f>
        <v>1</v>
      </c>
      <c r="F13" s="33">
        <f t="shared" si="5"/>
        <v>1</v>
      </c>
      <c r="G13" s="33">
        <f t="shared" si="5"/>
        <v>1</v>
      </c>
      <c r="H13" s="33">
        <f t="shared" si="5"/>
        <v>1</v>
      </c>
      <c r="I13" s="33">
        <f t="shared" si="5"/>
        <v>1</v>
      </c>
      <c r="J13" s="33">
        <f t="shared" si="5"/>
        <v>1</v>
      </c>
      <c r="K13" s="33">
        <f t="shared" si="5"/>
        <v>1</v>
      </c>
    </row>
    <row r="14" ht="15.75" customHeight="1">
      <c r="B14" s="1" t="str">
        <f>IF(ISBLANK(Tareas!B10)," - ",Tareas!B10)</f>
        <v>5. Definición del entorno de desarrollo</v>
      </c>
      <c r="C14" s="19">
        <f>PV!C14</f>
        <v>0.6</v>
      </c>
      <c r="D14" s="32">
        <v>1.0</v>
      </c>
      <c r="E14" s="33">
        <f t="shared" ref="E14:K14" si="6">IF(D14="","",MAX($D14:D14))</f>
        <v>1</v>
      </c>
      <c r="F14" s="33">
        <f t="shared" si="6"/>
        <v>1</v>
      </c>
      <c r="G14" s="33">
        <f t="shared" si="6"/>
        <v>1</v>
      </c>
      <c r="H14" s="33">
        <f t="shared" si="6"/>
        <v>1</v>
      </c>
      <c r="I14" s="33">
        <f t="shared" si="6"/>
        <v>1</v>
      </c>
      <c r="J14" s="33">
        <f t="shared" si="6"/>
        <v>1</v>
      </c>
      <c r="K14" s="33">
        <f t="shared" si="6"/>
        <v>1</v>
      </c>
    </row>
    <row r="15" ht="15.75" customHeight="1">
      <c r="B15" s="1" t="str">
        <f>IF(ISBLANK(Tareas!B11)," - ",Tareas!B11)</f>
        <v>6. Reunión 2</v>
      </c>
      <c r="C15" s="19">
        <f>PV!C15</f>
        <v>4.5</v>
      </c>
      <c r="D15" s="32">
        <v>0.0</v>
      </c>
      <c r="E15" s="32">
        <v>1.0</v>
      </c>
      <c r="F15" s="33">
        <f t="shared" ref="F15:K15" si="7">IF(E15="","",MAX($D15:E15))</f>
        <v>1</v>
      </c>
      <c r="G15" s="33">
        <f t="shared" si="7"/>
        <v>1</v>
      </c>
      <c r="H15" s="33">
        <f t="shared" si="7"/>
        <v>1</v>
      </c>
      <c r="I15" s="33">
        <f t="shared" si="7"/>
        <v>1</v>
      </c>
      <c r="J15" s="33">
        <f t="shared" si="7"/>
        <v>1</v>
      </c>
      <c r="K15" s="33">
        <f t="shared" si="7"/>
        <v>1</v>
      </c>
    </row>
    <row r="16" ht="15.75" customHeight="1">
      <c r="B16" s="1" t="str">
        <f>IF(ISBLANK(Tareas!B12)," - ",Tareas!B12)</f>
        <v>7. Realización del análisis de requisitos (ERS)</v>
      </c>
      <c r="C16" s="19">
        <f>PV!C16</f>
        <v>4</v>
      </c>
      <c r="D16" s="32">
        <v>0.0</v>
      </c>
      <c r="E16" s="32">
        <v>0.8</v>
      </c>
      <c r="F16" s="32">
        <v>1.0</v>
      </c>
      <c r="G16" s="33">
        <f t="shared" ref="G16:K16" si="8">IF(F16="","",MAX($D16:F16))</f>
        <v>1</v>
      </c>
      <c r="H16" s="33">
        <f t="shared" si="8"/>
        <v>1</v>
      </c>
      <c r="I16" s="33">
        <f t="shared" si="8"/>
        <v>1</v>
      </c>
      <c r="J16" s="33">
        <f t="shared" si="8"/>
        <v>1</v>
      </c>
      <c r="K16" s="33">
        <f t="shared" si="8"/>
        <v>1</v>
      </c>
    </row>
    <row r="17" ht="15.75" customHeight="1">
      <c r="B17" s="1" t="str">
        <f>IF(ISBLANK(Tareas!B13)," - ",Tareas!B13)</f>
        <v>8. Reunión 3</v>
      </c>
      <c r="C17" s="19">
        <f>PV!C17</f>
        <v>4.5</v>
      </c>
      <c r="D17" s="32">
        <v>0.0</v>
      </c>
      <c r="E17" s="33">
        <f t="shared" ref="E17:E200" si="10">IF(D17="","",MAX($D17:D17))</f>
        <v>0</v>
      </c>
      <c r="F17" s="32">
        <v>1.0</v>
      </c>
      <c r="G17" s="33">
        <f t="shared" ref="G17:K17" si="9">IF(F17="","",MAX($D17:F17))</f>
        <v>1</v>
      </c>
      <c r="H17" s="33">
        <f t="shared" si="9"/>
        <v>1</v>
      </c>
      <c r="I17" s="33">
        <f t="shared" si="9"/>
        <v>1</v>
      </c>
      <c r="J17" s="33">
        <f t="shared" si="9"/>
        <v>1</v>
      </c>
      <c r="K17" s="33">
        <f t="shared" si="9"/>
        <v>1</v>
      </c>
    </row>
    <row r="18" ht="15.75" customHeight="1">
      <c r="B18" s="1" t="str">
        <f>IF(ISBLANK(Tareas!B14)," - ",Tareas!B14)</f>
        <v>9. Revisión del análisis de requisitos</v>
      </c>
      <c r="C18" s="19">
        <f>PV!C18</f>
        <v>1.4</v>
      </c>
      <c r="D18" s="32">
        <v>0.0</v>
      </c>
      <c r="E18" s="33">
        <f t="shared" si="10"/>
        <v>0</v>
      </c>
      <c r="F18" s="32">
        <v>1.0</v>
      </c>
      <c r="G18" s="33">
        <f t="shared" ref="G18:K18" si="11">IF(F18="","",MAX($D18:F18))</f>
        <v>1</v>
      </c>
      <c r="H18" s="33">
        <f t="shared" si="11"/>
        <v>1</v>
      </c>
      <c r="I18" s="33">
        <f t="shared" si="11"/>
        <v>1</v>
      </c>
      <c r="J18" s="33">
        <f t="shared" si="11"/>
        <v>1</v>
      </c>
      <c r="K18" s="33">
        <f t="shared" si="11"/>
        <v>1</v>
      </c>
    </row>
    <row r="19" ht="15.75" customHeight="1">
      <c r="B19" s="1" t="str">
        <f>IF(ISBLANK(Tareas!B15)," - ",Tareas!B15)</f>
        <v>10. Disposición del ERS en la línea base (GCS)</v>
      </c>
      <c r="C19" s="19">
        <f>PV!C19</f>
        <v>0.3</v>
      </c>
      <c r="D19" s="32">
        <v>0.0</v>
      </c>
      <c r="E19" s="33">
        <f t="shared" si="10"/>
        <v>0</v>
      </c>
      <c r="F19" s="32">
        <v>1.0</v>
      </c>
      <c r="G19" s="33">
        <f t="shared" ref="G19:K19" si="12">IF(F19="","",MAX($D19:F19))</f>
        <v>1</v>
      </c>
      <c r="H19" s="33">
        <f t="shared" si="12"/>
        <v>1</v>
      </c>
      <c r="I19" s="33">
        <f t="shared" si="12"/>
        <v>1</v>
      </c>
      <c r="J19" s="33">
        <f t="shared" si="12"/>
        <v>1</v>
      </c>
      <c r="K19" s="33">
        <f t="shared" si="12"/>
        <v>1</v>
      </c>
    </row>
    <row r="20" ht="15.75" customHeight="1">
      <c r="B20" s="1" t="str">
        <f>IF(ISBLANK(Tareas!B16)," - ",Tareas!B16)</f>
        <v>11. Definición del plan para el ciclo de vida 1</v>
      </c>
      <c r="C20" s="19">
        <f>PV!C20</f>
        <v>1.5</v>
      </c>
      <c r="D20" s="32">
        <v>0.0</v>
      </c>
      <c r="E20" s="33">
        <f t="shared" si="10"/>
        <v>0</v>
      </c>
      <c r="F20" s="32">
        <v>1.0</v>
      </c>
      <c r="G20" s="33">
        <f t="shared" ref="G20:K20" si="13">IF(F20="","",MAX($D20:F20))</f>
        <v>1</v>
      </c>
      <c r="H20" s="33">
        <f t="shared" si="13"/>
        <v>1</v>
      </c>
      <c r="I20" s="33">
        <f t="shared" si="13"/>
        <v>1</v>
      </c>
      <c r="J20" s="33">
        <f t="shared" si="13"/>
        <v>1</v>
      </c>
      <c r="K20" s="33">
        <f t="shared" si="13"/>
        <v>1</v>
      </c>
    </row>
    <row r="21" ht="15.75" customHeight="1">
      <c r="B21" s="1" t="str">
        <f>IF(ISBLANK(Tareas!B17)," - ",Tareas!B17)</f>
        <v>12. Definición de los casos de uso y el modelo E/R</v>
      </c>
      <c r="C21" s="19">
        <f>PV!C21</f>
        <v>2</v>
      </c>
      <c r="D21" s="32">
        <v>0.0</v>
      </c>
      <c r="E21" s="33">
        <f t="shared" si="10"/>
        <v>0</v>
      </c>
      <c r="F21" s="32">
        <v>1.0</v>
      </c>
      <c r="G21" s="33">
        <f t="shared" ref="G21:K21" si="14">IF(F21="","",MAX($D21:F21))</f>
        <v>1</v>
      </c>
      <c r="H21" s="33">
        <f t="shared" si="14"/>
        <v>1</v>
      </c>
      <c r="I21" s="33">
        <f t="shared" si="14"/>
        <v>1</v>
      </c>
      <c r="J21" s="33">
        <f t="shared" si="14"/>
        <v>1</v>
      </c>
      <c r="K21" s="33">
        <f t="shared" si="14"/>
        <v>1</v>
      </c>
    </row>
    <row r="22" ht="15.75" customHeight="1">
      <c r="B22" s="1" t="str">
        <f>IF(ISBLANK(Tareas!B18)," - ",Tareas!B18)</f>
        <v>13. Definición del plan de calidad (PCAL)</v>
      </c>
      <c r="C22" s="19">
        <f>PV!C22</f>
        <v>2</v>
      </c>
      <c r="D22" s="32">
        <v>0.0</v>
      </c>
      <c r="E22" s="33">
        <f t="shared" si="10"/>
        <v>0</v>
      </c>
      <c r="F22" s="32">
        <v>1.0</v>
      </c>
      <c r="G22" s="33">
        <f t="shared" ref="G22:K22" si="15">IF(F22="","",MAX($D22:F22))</f>
        <v>1</v>
      </c>
      <c r="H22" s="33">
        <f t="shared" si="15"/>
        <v>1</v>
      </c>
      <c r="I22" s="33">
        <f t="shared" si="15"/>
        <v>1</v>
      </c>
      <c r="J22" s="33">
        <f t="shared" si="15"/>
        <v>1</v>
      </c>
      <c r="K22" s="33">
        <f t="shared" si="15"/>
        <v>1</v>
      </c>
    </row>
    <row r="23" ht="15.75" customHeight="1">
      <c r="B23" s="1" t="str">
        <f>IF(ISBLANK(Tareas!B19)," - ",Tareas!B19)</f>
        <v>14. Cálculo de los puntos de función</v>
      </c>
      <c r="C23" s="19">
        <f>PV!C23</f>
        <v>1</v>
      </c>
      <c r="D23" s="32">
        <v>0.0</v>
      </c>
      <c r="E23" s="33">
        <f t="shared" si="10"/>
        <v>0</v>
      </c>
      <c r="F23" s="32">
        <v>0.7</v>
      </c>
      <c r="G23" s="32">
        <v>0.9</v>
      </c>
      <c r="H23" s="32">
        <v>1.0</v>
      </c>
      <c r="I23" s="33">
        <f t="shared" ref="I23:K23" si="16">IF(H23="","",MAX($D23:H23))</f>
        <v>1</v>
      </c>
      <c r="J23" s="33">
        <f t="shared" si="16"/>
        <v>1</v>
      </c>
      <c r="K23" s="33">
        <f t="shared" si="16"/>
        <v>1</v>
      </c>
    </row>
    <row r="24" ht="15.75" customHeight="1">
      <c r="B24" s="1" t="str">
        <f>IF(ISBLANK(Tareas!B20)," - ",Tareas!B20)</f>
        <v>15. Realización del diagrama Gantt</v>
      </c>
      <c r="C24" s="19">
        <f>PV!C24</f>
        <v>1.5</v>
      </c>
      <c r="D24" s="32">
        <v>0.0</v>
      </c>
      <c r="E24" s="33">
        <f t="shared" si="10"/>
        <v>0</v>
      </c>
      <c r="F24" s="32">
        <v>0.9</v>
      </c>
      <c r="G24" s="32">
        <v>1.0</v>
      </c>
      <c r="H24" s="33">
        <f t="shared" ref="H24:K24" si="17">IF(G24="","",MAX($D24:G24))</f>
        <v>1</v>
      </c>
      <c r="I24" s="33">
        <f t="shared" si="17"/>
        <v>1</v>
      </c>
      <c r="J24" s="33">
        <f t="shared" si="17"/>
        <v>1</v>
      </c>
      <c r="K24" s="33">
        <f t="shared" si="17"/>
        <v>1</v>
      </c>
    </row>
    <row r="25" ht="15.75" customHeight="1">
      <c r="B25" s="1" t="str">
        <f>IF(ISBLANK(Tareas!B21)," - ",Tareas!B21)</f>
        <v>16. Reunión 4</v>
      </c>
      <c r="C25" s="19">
        <f>PV!C25</f>
        <v>5</v>
      </c>
      <c r="D25" s="32">
        <v>0.0</v>
      </c>
      <c r="E25" s="33">
        <f t="shared" si="10"/>
        <v>0</v>
      </c>
      <c r="F25" s="32">
        <v>1.0</v>
      </c>
      <c r="G25" s="33">
        <f t="shared" ref="G25:K25" si="18">IF(F25="","",MAX($D25:F25))</f>
        <v>1</v>
      </c>
      <c r="H25" s="33">
        <f t="shared" si="18"/>
        <v>1</v>
      </c>
      <c r="I25" s="33">
        <f t="shared" si="18"/>
        <v>1</v>
      </c>
      <c r="J25" s="33">
        <f t="shared" si="18"/>
        <v>1</v>
      </c>
      <c r="K25" s="33">
        <f t="shared" si="18"/>
        <v>1</v>
      </c>
    </row>
    <row r="26" ht="15.75" customHeight="1">
      <c r="B26" s="1" t="str">
        <f>IF(ISBLANK(Tareas!B22)," - ",Tareas!B22)</f>
        <v>17. Definición del plan de gestión de configuración software (GCS)</v>
      </c>
      <c r="C26" s="19">
        <f>PV!C26</f>
        <v>3</v>
      </c>
      <c r="D26" s="32">
        <v>0.0</v>
      </c>
      <c r="E26" s="33">
        <f t="shared" si="10"/>
        <v>0</v>
      </c>
      <c r="F26" s="33">
        <f t="shared" ref="F26:F200" si="20">IF(E26="","",MAX($D26:E26))</f>
        <v>0</v>
      </c>
      <c r="G26" s="32">
        <v>0.8</v>
      </c>
      <c r="H26" s="32">
        <v>1.0</v>
      </c>
      <c r="I26" s="33">
        <f t="shared" ref="I26:K26" si="19">IF(H26="","",MAX($D26:H26))</f>
        <v>1</v>
      </c>
      <c r="J26" s="33">
        <f t="shared" si="19"/>
        <v>1</v>
      </c>
      <c r="K26" s="33">
        <f t="shared" si="19"/>
        <v>1</v>
      </c>
    </row>
    <row r="27" ht="15.75" customHeight="1">
      <c r="B27" s="1" t="str">
        <f>IF(ISBLANK(Tareas!B23)," - ",Tareas!B23)</f>
        <v>18. Inicialización de la hoja de valor ganado (EVM)</v>
      </c>
      <c r="C27" s="19">
        <f>PV!C27</f>
        <v>0.5</v>
      </c>
      <c r="D27" s="32">
        <v>0.0</v>
      </c>
      <c r="E27" s="33">
        <f t="shared" si="10"/>
        <v>0</v>
      </c>
      <c r="F27" s="33">
        <f t="shared" si="20"/>
        <v>0</v>
      </c>
      <c r="G27" s="32">
        <v>1.0</v>
      </c>
      <c r="H27" s="33">
        <f t="shared" ref="H27:K27" si="21">IF(G27="","",MAX($D27:G27))</f>
        <v>1</v>
      </c>
      <c r="I27" s="33">
        <f t="shared" si="21"/>
        <v>1</v>
      </c>
      <c r="J27" s="33">
        <f t="shared" si="21"/>
        <v>1</v>
      </c>
      <c r="K27" s="33">
        <f t="shared" si="21"/>
        <v>1</v>
      </c>
    </row>
    <row r="28" ht="15.75" customHeight="1">
      <c r="B28" s="1" t="str">
        <f>IF(ISBLANK(Tareas!B24)," - ",Tareas!B24)</f>
        <v>19. Introducción de los datos en EVM</v>
      </c>
      <c r="C28" s="19">
        <f>PV!C28</f>
        <v>2.5</v>
      </c>
      <c r="D28" s="32">
        <v>0.0</v>
      </c>
      <c r="E28" s="33">
        <f t="shared" si="10"/>
        <v>0</v>
      </c>
      <c r="F28" s="33">
        <f t="shared" si="20"/>
        <v>0</v>
      </c>
      <c r="G28" s="32">
        <v>1.0</v>
      </c>
      <c r="H28" s="33">
        <f t="shared" ref="H28:K28" si="22">IF(G28="","",MAX($D28:G28))</f>
        <v>1</v>
      </c>
      <c r="I28" s="33">
        <f t="shared" si="22"/>
        <v>1</v>
      </c>
      <c r="J28" s="33">
        <f t="shared" si="22"/>
        <v>1</v>
      </c>
      <c r="K28" s="33">
        <f t="shared" si="22"/>
        <v>1</v>
      </c>
    </row>
    <row r="29" ht="15.75" customHeight="1">
      <c r="B29" s="1" t="str">
        <f>IF(ISBLANK(Tareas!B25)," - ",Tareas!B25)</f>
        <v>20. Definición del prototipo UI</v>
      </c>
      <c r="C29" s="19">
        <f>PV!C29</f>
        <v>1</v>
      </c>
      <c r="D29" s="32">
        <v>0.0</v>
      </c>
      <c r="E29" s="33">
        <f t="shared" si="10"/>
        <v>0</v>
      </c>
      <c r="F29" s="33">
        <f t="shared" si="20"/>
        <v>0</v>
      </c>
      <c r="G29" s="32">
        <v>0.7</v>
      </c>
      <c r="H29" s="32">
        <v>1.0</v>
      </c>
      <c r="I29" s="33">
        <f t="shared" ref="I29:K29" si="23">IF(H29="","",MAX($D29:H29))</f>
        <v>1</v>
      </c>
      <c r="J29" s="33">
        <f t="shared" si="23"/>
        <v>1</v>
      </c>
      <c r="K29" s="33">
        <f t="shared" si="23"/>
        <v>1</v>
      </c>
    </row>
    <row r="30" ht="15.75" customHeight="1">
      <c r="B30" s="1" t="str">
        <f>IF(ISBLANK(Tareas!B26)," - ",Tareas!B26)</f>
        <v>21. Reunión 5</v>
      </c>
      <c r="C30" s="19">
        <f>PV!C30</f>
        <v>3.5</v>
      </c>
      <c r="D30" s="32">
        <v>0.0</v>
      </c>
      <c r="E30" s="33">
        <f t="shared" si="10"/>
        <v>0</v>
      </c>
      <c r="F30" s="33">
        <f t="shared" si="20"/>
        <v>0</v>
      </c>
      <c r="G30" s="33">
        <f t="shared" ref="G30:G200" si="25">IF(F30="","",MAX($D30:F30))</f>
        <v>0</v>
      </c>
      <c r="H30" s="32">
        <v>1.0</v>
      </c>
      <c r="I30" s="33">
        <f t="shared" ref="I30:K30" si="24">IF(H30="","",MAX($D30:H30))</f>
        <v>1</v>
      </c>
      <c r="J30" s="33">
        <f t="shared" si="24"/>
        <v>1</v>
      </c>
      <c r="K30" s="33">
        <f t="shared" si="24"/>
        <v>1</v>
      </c>
    </row>
    <row r="31" ht="15.75" customHeight="1">
      <c r="B31" s="1" t="str">
        <f>IF(ISBLANK(Tareas!B27)," - ",Tareas!B27)</f>
        <v>22. Actualización de EVM</v>
      </c>
      <c r="C31" s="19">
        <f>PV!C31</f>
        <v>0.5</v>
      </c>
      <c r="D31" s="32">
        <v>0.0</v>
      </c>
      <c r="E31" s="33">
        <f t="shared" si="10"/>
        <v>0</v>
      </c>
      <c r="F31" s="33">
        <f t="shared" si="20"/>
        <v>0</v>
      </c>
      <c r="G31" s="33">
        <f t="shared" si="25"/>
        <v>0</v>
      </c>
      <c r="H31" s="32">
        <v>1.0</v>
      </c>
      <c r="I31" s="33">
        <f t="shared" ref="I31:K31" si="26">IF(H31="","",MAX($D31:H31))</f>
        <v>1</v>
      </c>
      <c r="J31" s="33">
        <f t="shared" si="26"/>
        <v>1</v>
      </c>
      <c r="K31" s="33">
        <f t="shared" si="26"/>
        <v>1</v>
      </c>
    </row>
    <row r="32" ht="15.75" customHeight="1">
      <c r="B32" s="1" t="str">
        <f>IF(ISBLANK(Tareas!B28)," - ",Tareas!B28)</f>
        <v>23. Revisión intermedia del diseño</v>
      </c>
      <c r="C32" s="19">
        <f>PV!C32</f>
        <v>0.5</v>
      </c>
      <c r="D32" s="32">
        <v>0.0</v>
      </c>
      <c r="E32" s="33">
        <f t="shared" si="10"/>
        <v>0</v>
      </c>
      <c r="F32" s="33">
        <f t="shared" si="20"/>
        <v>0</v>
      </c>
      <c r="G32" s="33">
        <f t="shared" si="25"/>
        <v>0</v>
      </c>
      <c r="H32" s="32">
        <v>1.0</v>
      </c>
      <c r="I32" s="33">
        <f t="shared" ref="I32:K32" si="27">IF(H32="","",MAX($D32:H32))</f>
        <v>1</v>
      </c>
      <c r="J32" s="33">
        <f t="shared" si="27"/>
        <v>1</v>
      </c>
      <c r="K32" s="33">
        <f t="shared" si="27"/>
        <v>1</v>
      </c>
    </row>
    <row r="33" ht="15.75" customHeight="1">
      <c r="B33" s="1" t="str">
        <f>IF(ISBLANK(Tareas!B29)," - ",Tareas!B29)</f>
        <v>24. Implementación de la persistencia y estructura de datos</v>
      </c>
      <c r="C33" s="19">
        <f>PV!C33</f>
        <v>1</v>
      </c>
      <c r="D33" s="32">
        <v>0.0</v>
      </c>
      <c r="E33" s="33">
        <f t="shared" si="10"/>
        <v>0</v>
      </c>
      <c r="F33" s="33">
        <f t="shared" si="20"/>
        <v>0</v>
      </c>
      <c r="G33" s="33">
        <f t="shared" si="25"/>
        <v>0</v>
      </c>
      <c r="H33" s="32">
        <v>1.0</v>
      </c>
      <c r="I33" s="33">
        <f t="shared" ref="I33:K33" si="28">IF(H33="","",MAX($D33:H33))</f>
        <v>1</v>
      </c>
      <c r="J33" s="33">
        <f t="shared" si="28"/>
        <v>1</v>
      </c>
      <c r="K33" s="33">
        <f t="shared" si="28"/>
        <v>1</v>
      </c>
    </row>
    <row r="34" ht="15.75" customHeight="1">
      <c r="B34" s="1" t="str">
        <f>IF(ISBLANK(Tareas!B30)," - ",Tareas!B30)</f>
        <v>25. Implementación de la gestión de usuarios</v>
      </c>
      <c r="C34" s="19">
        <f>PV!C34</f>
        <v>1.4</v>
      </c>
      <c r="D34" s="32">
        <v>0.0</v>
      </c>
      <c r="E34" s="33">
        <f t="shared" si="10"/>
        <v>0</v>
      </c>
      <c r="F34" s="33">
        <f t="shared" si="20"/>
        <v>0</v>
      </c>
      <c r="G34" s="33">
        <f t="shared" si="25"/>
        <v>0</v>
      </c>
      <c r="H34" s="32">
        <v>1.0</v>
      </c>
      <c r="I34" s="33">
        <f t="shared" ref="I34:K34" si="29">IF(H34="","",MAX($D34:H34))</f>
        <v>1</v>
      </c>
      <c r="J34" s="33">
        <f t="shared" si="29"/>
        <v>1</v>
      </c>
      <c r="K34" s="33">
        <f t="shared" si="29"/>
        <v>1</v>
      </c>
    </row>
    <row r="35" ht="15.75" customHeight="1">
      <c r="B35" s="1" t="str">
        <f>IF(ISBLANK(Tareas!B31)," - ",Tareas!B31)</f>
        <v>26. Implementación de la gestión de perfiles</v>
      </c>
      <c r="C35" s="19">
        <f>PV!C35</f>
        <v>0.2</v>
      </c>
      <c r="D35" s="32">
        <v>0.0</v>
      </c>
      <c r="E35" s="33">
        <f t="shared" si="10"/>
        <v>0</v>
      </c>
      <c r="F35" s="33">
        <f t="shared" si="20"/>
        <v>0</v>
      </c>
      <c r="G35" s="33">
        <f t="shared" si="25"/>
        <v>0</v>
      </c>
      <c r="H35" s="32">
        <v>1.0</v>
      </c>
      <c r="I35" s="33">
        <f t="shared" ref="I35:K35" si="30">IF(H35="","",MAX($D35:H35))</f>
        <v>1</v>
      </c>
      <c r="J35" s="33">
        <f t="shared" si="30"/>
        <v>1</v>
      </c>
      <c r="K35" s="33">
        <f t="shared" si="30"/>
        <v>1</v>
      </c>
    </row>
    <row r="36" ht="15.75" customHeight="1">
      <c r="B36" s="1" t="str">
        <f>IF(ISBLANK(Tareas!B32)," - ",Tareas!B32)</f>
        <v>27. Definición del diseño con objetos y pantallas finales</v>
      </c>
      <c r="C36" s="19">
        <f>PV!C36</f>
        <v>0.5</v>
      </c>
      <c r="D36" s="32">
        <v>0.0</v>
      </c>
      <c r="E36" s="33">
        <f t="shared" si="10"/>
        <v>0</v>
      </c>
      <c r="F36" s="33">
        <f t="shared" si="20"/>
        <v>0</v>
      </c>
      <c r="G36" s="33">
        <f t="shared" si="25"/>
        <v>0</v>
      </c>
      <c r="H36" s="32">
        <v>1.0</v>
      </c>
      <c r="I36" s="33">
        <f t="shared" ref="I36:K36" si="31">IF(H36="","",MAX($D36:H36))</f>
        <v>1</v>
      </c>
      <c r="J36" s="33">
        <f t="shared" si="31"/>
        <v>1</v>
      </c>
      <c r="K36" s="33">
        <f t="shared" si="31"/>
        <v>1</v>
      </c>
    </row>
    <row r="37" ht="15.75" customHeight="1">
      <c r="B37" s="1" t="str">
        <f>IF(ISBLANK(Tareas!B33)," - ",Tareas!B33)</f>
        <v>28. Revisión intermedia del código</v>
      </c>
      <c r="C37" s="19">
        <f>PV!C37</f>
        <v>1.1</v>
      </c>
      <c r="D37" s="32">
        <v>0.0</v>
      </c>
      <c r="E37" s="33">
        <f t="shared" si="10"/>
        <v>0</v>
      </c>
      <c r="F37" s="33">
        <f t="shared" si="20"/>
        <v>0</v>
      </c>
      <c r="G37" s="33">
        <f t="shared" si="25"/>
        <v>0</v>
      </c>
      <c r="H37" s="32">
        <v>1.0</v>
      </c>
      <c r="I37" s="33">
        <f t="shared" ref="I37:K37" si="32">IF(H37="","",MAX($D37:H37))</f>
        <v>1</v>
      </c>
      <c r="J37" s="33">
        <f t="shared" si="32"/>
        <v>1</v>
      </c>
      <c r="K37" s="33">
        <f t="shared" si="32"/>
        <v>1</v>
      </c>
    </row>
    <row r="38" ht="15.75" customHeight="1">
      <c r="B38" s="1" t="str">
        <f>IF(ISBLANK(Tareas!B34)," - ",Tareas!B34)</f>
        <v>29. Reunión 6</v>
      </c>
      <c r="C38" s="19">
        <f>PV!C38</f>
        <v>1.5</v>
      </c>
      <c r="D38" s="32">
        <v>0.0</v>
      </c>
      <c r="E38" s="33">
        <f t="shared" si="10"/>
        <v>0</v>
      </c>
      <c r="F38" s="33">
        <f t="shared" si="20"/>
        <v>0</v>
      </c>
      <c r="G38" s="33">
        <f t="shared" si="25"/>
        <v>0</v>
      </c>
      <c r="H38" s="33">
        <f t="shared" ref="H38:H200" si="34">IF(G38="","",MAX($D38:G38))</f>
        <v>0</v>
      </c>
      <c r="I38" s="32">
        <v>1.0</v>
      </c>
      <c r="J38" s="33">
        <f t="shared" ref="J38:K38" si="33">IF(I38="","",MAX($D38:I38))</f>
        <v>1</v>
      </c>
      <c r="K38" s="33">
        <f t="shared" si="33"/>
        <v>1</v>
      </c>
    </row>
    <row r="39" ht="15.75" customHeight="1">
      <c r="B39" s="1" t="str">
        <f>IF(ISBLANK(Tareas!B35)," - ",Tareas!B35)</f>
        <v>30. Actualización de EVM</v>
      </c>
      <c r="C39" s="19">
        <f>PV!C39</f>
        <v>0.5</v>
      </c>
      <c r="D39" s="32">
        <v>0.0</v>
      </c>
      <c r="E39" s="33">
        <f t="shared" si="10"/>
        <v>0</v>
      </c>
      <c r="F39" s="33">
        <f t="shared" si="20"/>
        <v>0</v>
      </c>
      <c r="G39" s="33">
        <f t="shared" si="25"/>
        <v>0</v>
      </c>
      <c r="H39" s="33">
        <f t="shared" si="34"/>
        <v>0</v>
      </c>
      <c r="I39" s="32">
        <v>1.0</v>
      </c>
      <c r="J39" s="33">
        <f t="shared" ref="J39:K39" si="35">IF(I39="","",MAX($D39:I39))</f>
        <v>1</v>
      </c>
      <c r="K39" s="33">
        <f t="shared" si="35"/>
        <v>1</v>
      </c>
    </row>
    <row r="40" ht="15.75" customHeight="1">
      <c r="B40" s="1" t="str">
        <f>IF(ISBLANK(Tareas!B36)," - ",Tareas!B36)</f>
        <v>31. Implementación de la gestión de amistades</v>
      </c>
      <c r="C40" s="19">
        <f>PV!C40</f>
        <v>1</v>
      </c>
      <c r="D40" s="32">
        <v>0.0</v>
      </c>
      <c r="E40" s="33">
        <f t="shared" si="10"/>
        <v>0</v>
      </c>
      <c r="F40" s="33">
        <f t="shared" si="20"/>
        <v>0</v>
      </c>
      <c r="G40" s="33">
        <f t="shared" si="25"/>
        <v>0</v>
      </c>
      <c r="H40" s="33">
        <f t="shared" si="34"/>
        <v>0</v>
      </c>
      <c r="I40" s="32">
        <v>1.0</v>
      </c>
      <c r="J40" s="33">
        <f t="shared" ref="J40:K40" si="36">IF(I40="","",MAX($D40:I40))</f>
        <v>1</v>
      </c>
      <c r="K40" s="33">
        <f t="shared" si="36"/>
        <v>1</v>
      </c>
    </row>
    <row r="41" ht="15.75" customHeight="1">
      <c r="B41" s="1" t="str">
        <f>IF(ISBLANK(Tareas!B37)," - ",Tareas!B37)</f>
        <v>32. Implementación de la gestión de cervezas</v>
      </c>
      <c r="C41" s="19">
        <f>PV!C41</f>
        <v>1</v>
      </c>
      <c r="D41" s="32">
        <v>0.0</v>
      </c>
      <c r="E41" s="33">
        <f t="shared" si="10"/>
        <v>0</v>
      </c>
      <c r="F41" s="33">
        <f t="shared" si="20"/>
        <v>0</v>
      </c>
      <c r="G41" s="33">
        <f t="shared" si="25"/>
        <v>0</v>
      </c>
      <c r="H41" s="33">
        <f t="shared" si="34"/>
        <v>0</v>
      </c>
      <c r="I41" s="32">
        <v>1.0</v>
      </c>
      <c r="J41" s="33">
        <f t="shared" ref="J41:K41" si="37">IF(I41="","",MAX($D41:I41))</f>
        <v>1</v>
      </c>
      <c r="K41" s="33">
        <f t="shared" si="37"/>
        <v>1</v>
      </c>
    </row>
    <row r="42" ht="15.75" customHeight="1">
      <c r="B42" s="1" t="str">
        <f>IF(ISBLANK(Tareas!B38)," - ",Tareas!B38)</f>
        <v>33. Actualización de los planes de GCS y calidad</v>
      </c>
      <c r="C42" s="19">
        <f>PV!C42</f>
        <v>0.3</v>
      </c>
      <c r="D42" s="32">
        <v>0.0</v>
      </c>
      <c r="E42" s="33">
        <f t="shared" si="10"/>
        <v>0</v>
      </c>
      <c r="F42" s="33">
        <f t="shared" si="20"/>
        <v>0</v>
      </c>
      <c r="G42" s="33">
        <f t="shared" si="25"/>
        <v>0</v>
      </c>
      <c r="H42" s="33">
        <f t="shared" si="34"/>
        <v>0</v>
      </c>
      <c r="I42" s="32">
        <v>1.0</v>
      </c>
      <c r="J42" s="33">
        <f t="shared" ref="J42:K42" si="38">IF(I42="","",MAX($D42:I42))</f>
        <v>1</v>
      </c>
      <c r="K42" s="33">
        <f t="shared" si="38"/>
        <v>1</v>
      </c>
    </row>
    <row r="43" ht="15.75" customHeight="1">
      <c r="B43" s="1" t="str">
        <f>IF(ISBLANK(Tareas!B39)," - ",Tareas!B39)</f>
        <v>34. Revisión final del diseño</v>
      </c>
      <c r="C43" s="19">
        <f>PV!C43</f>
        <v>1.5</v>
      </c>
      <c r="D43" s="32">
        <v>0.0</v>
      </c>
      <c r="E43" s="33">
        <f t="shared" si="10"/>
        <v>0</v>
      </c>
      <c r="F43" s="33">
        <f t="shared" si="20"/>
        <v>0</v>
      </c>
      <c r="G43" s="33">
        <f t="shared" si="25"/>
        <v>0</v>
      </c>
      <c r="H43" s="33">
        <f t="shared" si="34"/>
        <v>0</v>
      </c>
      <c r="I43" s="32">
        <v>1.0</v>
      </c>
      <c r="J43" s="33">
        <f t="shared" ref="J43:K43" si="39">IF(I43="","",MAX($D43:I43))</f>
        <v>1</v>
      </c>
      <c r="K43" s="33">
        <f t="shared" si="39"/>
        <v>1</v>
      </c>
    </row>
    <row r="44" ht="15.75" customHeight="1">
      <c r="B44" s="1" t="str">
        <f>IF(ISBLANK(Tareas!B40)," - ",Tareas!B40)</f>
        <v>35. Revisión intermedia del código</v>
      </c>
      <c r="C44" s="19">
        <f>PV!C44</f>
        <v>1.5</v>
      </c>
      <c r="D44" s="32">
        <v>0.0</v>
      </c>
      <c r="E44" s="33">
        <f t="shared" si="10"/>
        <v>0</v>
      </c>
      <c r="F44" s="33">
        <f t="shared" si="20"/>
        <v>0</v>
      </c>
      <c r="G44" s="33">
        <f t="shared" si="25"/>
        <v>0</v>
      </c>
      <c r="H44" s="33">
        <f t="shared" si="34"/>
        <v>0</v>
      </c>
      <c r="I44" s="32">
        <v>1.0</v>
      </c>
      <c r="J44" s="33">
        <f t="shared" ref="J44:K44" si="40">IF(I44="","",MAX($D44:I44))</f>
        <v>1</v>
      </c>
      <c r="K44" s="33">
        <f t="shared" si="40"/>
        <v>1</v>
      </c>
    </row>
    <row r="45" ht="15.75" customHeight="1">
      <c r="B45" s="1" t="str">
        <f>IF(ISBLANK(Tareas!B41)," - ",Tareas!B41)</f>
        <v>36. Disposición del diseño en la línea base (GCS)</v>
      </c>
      <c r="C45" s="19">
        <f>PV!C45</f>
        <v>0.3</v>
      </c>
      <c r="D45" s="32">
        <v>0.0</v>
      </c>
      <c r="E45" s="33">
        <f t="shared" si="10"/>
        <v>0</v>
      </c>
      <c r="F45" s="33">
        <f t="shared" si="20"/>
        <v>0</v>
      </c>
      <c r="G45" s="33">
        <f t="shared" si="25"/>
        <v>0</v>
      </c>
      <c r="H45" s="33">
        <f t="shared" si="34"/>
        <v>0</v>
      </c>
      <c r="I45" s="32">
        <v>1.0</v>
      </c>
      <c r="J45" s="33">
        <f t="shared" ref="J45:K45" si="41">IF(I45="","",MAX($D45:I45))</f>
        <v>1</v>
      </c>
      <c r="K45" s="33">
        <f t="shared" si="41"/>
        <v>1</v>
      </c>
    </row>
    <row r="46" ht="15.75" customHeight="1">
      <c r="B46" s="1" t="str">
        <f>IF(ISBLANK(Tareas!B42)," - ",Tareas!B42)</f>
        <v>37. Reunión 7</v>
      </c>
      <c r="C46" s="19">
        <f>PV!C46</f>
        <v>2.5</v>
      </c>
      <c r="D46" s="32">
        <v>0.0</v>
      </c>
      <c r="E46" s="33">
        <f t="shared" si="10"/>
        <v>0</v>
      </c>
      <c r="F46" s="33">
        <f t="shared" si="20"/>
        <v>0</v>
      </c>
      <c r="G46" s="33">
        <f t="shared" si="25"/>
        <v>0</v>
      </c>
      <c r="H46" s="33">
        <f t="shared" si="34"/>
        <v>0</v>
      </c>
      <c r="I46" s="33">
        <f t="shared" ref="I46:I200" si="42">IF(H46="","",MAX($D46:H46))</f>
        <v>0</v>
      </c>
      <c r="J46" s="32">
        <v>1.0</v>
      </c>
      <c r="K46" s="33">
        <f>IF(J46="","",MAX($D46:J46))</f>
        <v>1</v>
      </c>
    </row>
    <row r="47" ht="15.75" customHeight="1">
      <c r="B47" s="1" t="str">
        <f>IF(ISBLANK(Tareas!B43)," - ",Tareas!B43)</f>
        <v>38. Actualización de EVM</v>
      </c>
      <c r="C47" s="19">
        <f>PV!C47</f>
        <v>1</v>
      </c>
      <c r="D47" s="32">
        <v>0.0</v>
      </c>
      <c r="E47" s="33">
        <f t="shared" si="10"/>
        <v>0</v>
      </c>
      <c r="F47" s="33">
        <f t="shared" si="20"/>
        <v>0</v>
      </c>
      <c r="G47" s="33">
        <f t="shared" si="25"/>
        <v>0</v>
      </c>
      <c r="H47" s="33">
        <f t="shared" si="34"/>
        <v>0</v>
      </c>
      <c r="I47" s="33">
        <f t="shared" si="42"/>
        <v>0</v>
      </c>
      <c r="J47" s="32">
        <v>0.1</v>
      </c>
      <c r="K47" s="32">
        <v>1.0</v>
      </c>
    </row>
    <row r="48" ht="15.75" customHeight="1">
      <c r="B48" s="1" t="str">
        <f>IF(ISBLANK(Tareas!B44)," - ",Tareas!B44)</f>
        <v>39. Revisión de las incidencias detectadas</v>
      </c>
      <c r="C48" s="19">
        <f>PV!C48</f>
        <v>1.3</v>
      </c>
      <c r="D48" s="32">
        <v>0.0</v>
      </c>
      <c r="E48" s="33">
        <f t="shared" si="10"/>
        <v>0</v>
      </c>
      <c r="F48" s="33">
        <f t="shared" si="20"/>
        <v>0</v>
      </c>
      <c r="G48" s="33">
        <f t="shared" si="25"/>
        <v>0</v>
      </c>
      <c r="H48" s="33">
        <f t="shared" si="34"/>
        <v>0</v>
      </c>
      <c r="I48" s="33">
        <f t="shared" si="42"/>
        <v>0</v>
      </c>
      <c r="J48" s="32">
        <v>1.0</v>
      </c>
      <c r="K48" s="33">
        <f>IF(J48="","",MAX($D48:J48))</f>
        <v>1</v>
      </c>
    </row>
    <row r="49" ht="15.75" customHeight="1">
      <c r="B49" s="1" t="str">
        <f>IF(ISBLANK(Tareas!B45)," - ",Tareas!B45)</f>
        <v>40. Implementación de la gestión de degustaciones</v>
      </c>
      <c r="C49" s="19">
        <f>PV!C49</f>
        <v>3</v>
      </c>
      <c r="D49" s="32">
        <v>0.0</v>
      </c>
      <c r="E49" s="33">
        <f t="shared" si="10"/>
        <v>0</v>
      </c>
      <c r="F49" s="33">
        <f t="shared" si="20"/>
        <v>0</v>
      </c>
      <c r="G49" s="33">
        <f t="shared" si="25"/>
        <v>0</v>
      </c>
      <c r="H49" s="33">
        <f t="shared" si="34"/>
        <v>0</v>
      </c>
      <c r="I49" s="33">
        <f t="shared" si="42"/>
        <v>0</v>
      </c>
      <c r="J49" s="32">
        <v>0.8</v>
      </c>
      <c r="K49" s="32">
        <v>1.0</v>
      </c>
    </row>
    <row r="50" ht="15.75" customHeight="1">
      <c r="B50" s="1" t="str">
        <f>IF(ISBLANK(Tareas!B46)," - ",Tareas!B46)</f>
        <v>41. Implementación de la pantalla principal (feed y menú)</v>
      </c>
      <c r="C50" s="19">
        <f>PV!C50</f>
        <v>4</v>
      </c>
      <c r="D50" s="32">
        <v>0.0</v>
      </c>
      <c r="E50" s="33">
        <f t="shared" si="10"/>
        <v>0</v>
      </c>
      <c r="F50" s="33">
        <f t="shared" si="20"/>
        <v>0</v>
      </c>
      <c r="G50" s="33">
        <f t="shared" si="25"/>
        <v>0</v>
      </c>
      <c r="H50" s="33">
        <f t="shared" si="34"/>
        <v>0</v>
      </c>
      <c r="I50" s="33">
        <f t="shared" si="42"/>
        <v>0</v>
      </c>
      <c r="J50" s="32">
        <v>0.9</v>
      </c>
      <c r="K50" s="32">
        <v>1.0</v>
      </c>
    </row>
    <row r="51" ht="15.75" customHeight="1">
      <c r="B51" s="1" t="str">
        <f>IF(ISBLANK(Tareas!B47)," - ",Tareas!B47)</f>
        <v>42. Integración del prototipo UI</v>
      </c>
      <c r="C51" s="19">
        <f>PV!C51</f>
        <v>3</v>
      </c>
      <c r="D51" s="32">
        <v>0.0</v>
      </c>
      <c r="E51" s="33">
        <f t="shared" si="10"/>
        <v>0</v>
      </c>
      <c r="F51" s="33">
        <f t="shared" si="20"/>
        <v>0</v>
      </c>
      <c r="G51" s="33">
        <f t="shared" si="25"/>
        <v>0</v>
      </c>
      <c r="H51" s="33">
        <f t="shared" si="34"/>
        <v>0</v>
      </c>
      <c r="I51" s="33">
        <f t="shared" si="42"/>
        <v>0</v>
      </c>
      <c r="J51" s="32">
        <v>1.0</v>
      </c>
      <c r="K51" s="33">
        <f>IF(J51="","",MAX($D51:J51))</f>
        <v>1</v>
      </c>
    </row>
    <row r="52" ht="15.75" customHeight="1">
      <c r="B52" s="1" t="str">
        <f>IF(ISBLANK(Tareas!B48)," - ",Tareas!B48)</f>
        <v>43. Definición de los casos de prueba</v>
      </c>
      <c r="C52" s="19">
        <f>PV!C52</f>
        <v>1</v>
      </c>
      <c r="D52" s="32">
        <v>0.0</v>
      </c>
      <c r="E52" s="33">
        <f t="shared" si="10"/>
        <v>0</v>
      </c>
      <c r="F52" s="33">
        <f t="shared" si="20"/>
        <v>0</v>
      </c>
      <c r="G52" s="33">
        <f t="shared" si="25"/>
        <v>0</v>
      </c>
      <c r="H52" s="33">
        <f t="shared" si="34"/>
        <v>0</v>
      </c>
      <c r="I52" s="33">
        <f t="shared" si="42"/>
        <v>0</v>
      </c>
      <c r="J52" s="32">
        <v>0.7</v>
      </c>
      <c r="K52" s="32">
        <v>1.0</v>
      </c>
    </row>
    <row r="53" ht="15.75" customHeight="1">
      <c r="B53" s="1" t="str">
        <f>IF(ISBLANK(Tareas!B49)," - ",Tareas!B49)</f>
        <v>44. Reunión 8</v>
      </c>
      <c r="C53" s="19">
        <f>PV!C53</f>
        <v>2.5</v>
      </c>
      <c r="D53" s="32">
        <v>0.0</v>
      </c>
      <c r="E53" s="33">
        <f t="shared" si="10"/>
        <v>0</v>
      </c>
      <c r="F53" s="33">
        <f t="shared" si="20"/>
        <v>0</v>
      </c>
      <c r="G53" s="33">
        <f t="shared" si="25"/>
        <v>0</v>
      </c>
      <c r="H53" s="33">
        <f t="shared" si="34"/>
        <v>0</v>
      </c>
      <c r="I53" s="33">
        <f t="shared" si="42"/>
        <v>0</v>
      </c>
      <c r="J53" s="33">
        <f t="shared" ref="J53:J200" si="43">IF(I53="","",MAX($D53:I53))</f>
        <v>0</v>
      </c>
      <c r="K53" s="32">
        <v>1.0</v>
      </c>
    </row>
    <row r="54" ht="15.75" customHeight="1">
      <c r="B54" s="1" t="str">
        <f>IF(ISBLANK(Tareas!B50)," - ",Tareas!B50)</f>
        <v>45. Realización el informe de post-mortem</v>
      </c>
      <c r="C54" s="19">
        <f>PV!C54</f>
        <v>1.5</v>
      </c>
      <c r="D54" s="32">
        <v>0.0</v>
      </c>
      <c r="E54" s="33">
        <f t="shared" si="10"/>
        <v>0</v>
      </c>
      <c r="F54" s="33">
        <f t="shared" si="20"/>
        <v>0</v>
      </c>
      <c r="G54" s="33">
        <f t="shared" si="25"/>
        <v>0</v>
      </c>
      <c r="H54" s="33">
        <f t="shared" si="34"/>
        <v>0</v>
      </c>
      <c r="I54" s="33">
        <f t="shared" si="42"/>
        <v>0</v>
      </c>
      <c r="J54" s="33">
        <f t="shared" si="43"/>
        <v>0</v>
      </c>
      <c r="K54" s="32">
        <v>1.0</v>
      </c>
    </row>
    <row r="55" ht="15.75" customHeight="1">
      <c r="B55" s="1" t="str">
        <f>IF(ISBLANK(Tareas!B51)," - ",Tareas!B51)</f>
        <v>46. Ejecución de las pruebas</v>
      </c>
      <c r="C55" s="19">
        <f>PV!C55</f>
        <v>1</v>
      </c>
      <c r="D55" s="32">
        <v>0.0</v>
      </c>
      <c r="E55" s="33">
        <f t="shared" si="10"/>
        <v>0</v>
      </c>
      <c r="F55" s="33">
        <f t="shared" si="20"/>
        <v>0</v>
      </c>
      <c r="G55" s="33">
        <f t="shared" si="25"/>
        <v>0</v>
      </c>
      <c r="H55" s="33">
        <f t="shared" si="34"/>
        <v>0</v>
      </c>
      <c r="I55" s="33">
        <f t="shared" si="42"/>
        <v>0</v>
      </c>
      <c r="J55" s="33">
        <f t="shared" si="43"/>
        <v>0</v>
      </c>
      <c r="K55" s="32">
        <v>1.0</v>
      </c>
    </row>
    <row r="56" ht="15.75" customHeight="1">
      <c r="B56" s="1" t="str">
        <f>IF(ISBLANK(Tareas!B52)," - ",Tareas!B52)</f>
        <v>47. Control de versiones y revisión final del código</v>
      </c>
      <c r="C56" s="19">
        <f>PV!C56</f>
        <v>1.9</v>
      </c>
      <c r="D56" s="32">
        <v>0.0</v>
      </c>
      <c r="E56" s="33">
        <f t="shared" si="10"/>
        <v>0</v>
      </c>
      <c r="F56" s="33">
        <f t="shared" si="20"/>
        <v>0</v>
      </c>
      <c r="G56" s="33">
        <f t="shared" si="25"/>
        <v>0</v>
      </c>
      <c r="H56" s="33">
        <f t="shared" si="34"/>
        <v>0</v>
      </c>
      <c r="I56" s="33">
        <f t="shared" si="42"/>
        <v>0</v>
      </c>
      <c r="J56" s="33">
        <f t="shared" si="43"/>
        <v>0</v>
      </c>
      <c r="K56" s="32">
        <v>1.0</v>
      </c>
    </row>
    <row r="57" ht="15.75" customHeight="1">
      <c r="B57" s="1" t="str">
        <f>IF(ISBLANK(Tareas!B53)," - ",Tareas!B53)</f>
        <v>48. Revisión de la configuración y los documentos entregables</v>
      </c>
      <c r="C57" s="19">
        <f>PV!C57</f>
        <v>0.8</v>
      </c>
      <c r="D57" s="32">
        <v>0.0</v>
      </c>
      <c r="E57" s="33">
        <f t="shared" si="10"/>
        <v>0</v>
      </c>
      <c r="F57" s="33">
        <f t="shared" si="20"/>
        <v>0</v>
      </c>
      <c r="G57" s="33">
        <f t="shared" si="25"/>
        <v>0</v>
      </c>
      <c r="H57" s="33">
        <f t="shared" si="34"/>
        <v>0</v>
      </c>
      <c r="I57" s="33">
        <f t="shared" si="42"/>
        <v>0</v>
      </c>
      <c r="J57" s="33">
        <f t="shared" si="43"/>
        <v>0</v>
      </c>
      <c r="K57" s="32">
        <v>1.0</v>
      </c>
    </row>
    <row r="58" ht="15.75" customHeight="1">
      <c r="B58" s="1" t="str">
        <f>IF(ISBLANK(Tareas!B54)," - ",Tareas!B54)</f>
        <v>49. Revisión de los resultados de las pruebas y corrección de errores</v>
      </c>
      <c r="C58" s="19">
        <f>PV!C58</f>
        <v>0.3</v>
      </c>
      <c r="D58" s="32">
        <v>0.0</v>
      </c>
      <c r="E58" s="33">
        <f t="shared" si="10"/>
        <v>0</v>
      </c>
      <c r="F58" s="33">
        <f t="shared" si="20"/>
        <v>0</v>
      </c>
      <c r="G58" s="33">
        <f t="shared" si="25"/>
        <v>0</v>
      </c>
      <c r="H58" s="33">
        <f t="shared" si="34"/>
        <v>0</v>
      </c>
      <c r="I58" s="33">
        <f t="shared" si="42"/>
        <v>0</v>
      </c>
      <c r="J58" s="33">
        <f t="shared" si="43"/>
        <v>0</v>
      </c>
      <c r="K58" s="32">
        <v>1.0</v>
      </c>
    </row>
    <row r="59" ht="15.75" customHeight="1">
      <c r="B59" s="1" t="str">
        <f>IF(ISBLANK(Tareas!B55)," - ",Tareas!B55)</f>
        <v>50. Corrección del código (post-revisión)</v>
      </c>
      <c r="C59" s="19">
        <f>PV!C59</f>
        <v>1.6</v>
      </c>
      <c r="D59" s="32">
        <v>0.0</v>
      </c>
      <c r="E59" s="33">
        <f t="shared" si="10"/>
        <v>0</v>
      </c>
      <c r="F59" s="33">
        <f t="shared" si="20"/>
        <v>0</v>
      </c>
      <c r="G59" s="33">
        <f t="shared" si="25"/>
        <v>0</v>
      </c>
      <c r="H59" s="33">
        <f t="shared" si="34"/>
        <v>0</v>
      </c>
      <c r="I59" s="33">
        <f t="shared" si="42"/>
        <v>0</v>
      </c>
      <c r="J59" s="33">
        <f t="shared" si="43"/>
        <v>0</v>
      </c>
      <c r="K59" s="32">
        <v>1.0</v>
      </c>
    </row>
    <row r="60" ht="15.75" customHeight="1">
      <c r="B60" s="1" t="str">
        <f>IF(ISBLANK(Tareas!B56)," - ",Tareas!B56)</f>
        <v>51. Documentación de los resultados y errores de las pruebas</v>
      </c>
      <c r="C60" s="19">
        <f>PV!C60</f>
        <v>0.3</v>
      </c>
      <c r="D60" s="32">
        <v>0.0</v>
      </c>
      <c r="E60" s="33">
        <f t="shared" si="10"/>
        <v>0</v>
      </c>
      <c r="F60" s="33">
        <f t="shared" si="20"/>
        <v>0</v>
      </c>
      <c r="G60" s="33">
        <f t="shared" si="25"/>
        <v>0</v>
      </c>
      <c r="H60" s="33">
        <f t="shared" si="34"/>
        <v>0</v>
      </c>
      <c r="I60" s="33">
        <f t="shared" si="42"/>
        <v>0</v>
      </c>
      <c r="J60" s="33">
        <f t="shared" si="43"/>
        <v>0</v>
      </c>
      <c r="K60" s="32">
        <v>1.0</v>
      </c>
    </row>
    <row r="61" ht="15.75" customHeight="1">
      <c r="B61" s="1" t="str">
        <f>IF(ISBLANK(Tareas!B57)," - ",Tareas!B57)</f>
        <v>52. Disposición del código en la línea base (GCS)</v>
      </c>
      <c r="C61" s="19">
        <f>PV!C61</f>
        <v>0.6</v>
      </c>
      <c r="D61" s="32">
        <v>0.0</v>
      </c>
      <c r="E61" s="33">
        <f t="shared" si="10"/>
        <v>0</v>
      </c>
      <c r="F61" s="33">
        <f t="shared" si="20"/>
        <v>0</v>
      </c>
      <c r="G61" s="33">
        <f t="shared" si="25"/>
        <v>0</v>
      </c>
      <c r="H61" s="33">
        <f t="shared" si="34"/>
        <v>0</v>
      </c>
      <c r="I61" s="33">
        <f t="shared" si="42"/>
        <v>0</v>
      </c>
      <c r="J61" s="33">
        <f t="shared" si="43"/>
        <v>0</v>
      </c>
      <c r="K61" s="32">
        <v>1.0</v>
      </c>
    </row>
    <row r="62" ht="15.75" customHeight="1">
      <c r="B62" s="1" t="str">
        <f>IF(ISBLANK(Tareas!B58)," - ",Tareas!B58)</f>
        <v>53. Entrega del ciclo de vida</v>
      </c>
      <c r="C62" s="19">
        <f>PV!C62</f>
        <v>0.8</v>
      </c>
      <c r="D62" s="32">
        <v>0.0</v>
      </c>
      <c r="E62" s="33">
        <f t="shared" si="10"/>
        <v>0</v>
      </c>
      <c r="F62" s="33">
        <f t="shared" si="20"/>
        <v>0</v>
      </c>
      <c r="G62" s="33">
        <f t="shared" si="25"/>
        <v>0</v>
      </c>
      <c r="H62" s="33">
        <f t="shared" si="34"/>
        <v>0</v>
      </c>
      <c r="I62" s="33">
        <f t="shared" si="42"/>
        <v>0</v>
      </c>
      <c r="J62" s="33">
        <f t="shared" si="43"/>
        <v>0</v>
      </c>
      <c r="K62" s="32">
        <v>1.0</v>
      </c>
    </row>
    <row r="63" ht="15.75" customHeight="1">
      <c r="B63" s="1" t="str">
        <f>IF(ISBLANK(Tareas!B59)," - ",Tareas!B59)</f>
        <v> - </v>
      </c>
      <c r="C63" s="19" t="str">
        <f>PV!C63</f>
        <v>-</v>
      </c>
      <c r="D63" s="33"/>
      <c r="E63" s="33" t="str">
        <f t="shared" si="10"/>
        <v/>
      </c>
      <c r="F63" s="33" t="str">
        <f t="shared" si="20"/>
        <v/>
      </c>
      <c r="G63" s="33" t="str">
        <f t="shared" si="25"/>
        <v/>
      </c>
      <c r="H63" s="33" t="str">
        <f t="shared" si="34"/>
        <v/>
      </c>
      <c r="I63" s="33" t="str">
        <f t="shared" si="42"/>
        <v/>
      </c>
      <c r="J63" s="33" t="str">
        <f t="shared" si="43"/>
        <v/>
      </c>
      <c r="K63" s="33" t="str">
        <f t="shared" ref="K63:K200" si="44">IF(J63="","",MAX($D63:J63))</f>
        <v/>
      </c>
    </row>
    <row r="64" ht="15.75" customHeight="1">
      <c r="B64" s="1" t="str">
        <f>IF(ISBLANK(Tareas!B60)," - ",Tareas!B60)</f>
        <v> - </v>
      </c>
      <c r="C64" s="19" t="str">
        <f>PV!C64</f>
        <v>-</v>
      </c>
      <c r="D64" s="33"/>
      <c r="E64" s="33" t="str">
        <f t="shared" si="10"/>
        <v/>
      </c>
      <c r="F64" s="33" t="str">
        <f t="shared" si="20"/>
        <v/>
      </c>
      <c r="G64" s="33" t="str">
        <f t="shared" si="25"/>
        <v/>
      </c>
      <c r="H64" s="33" t="str">
        <f t="shared" si="34"/>
        <v/>
      </c>
      <c r="I64" s="33" t="str">
        <f t="shared" si="42"/>
        <v/>
      </c>
      <c r="J64" s="33" t="str">
        <f t="shared" si="43"/>
        <v/>
      </c>
      <c r="K64" s="33" t="str">
        <f t="shared" si="44"/>
        <v/>
      </c>
    </row>
    <row r="65" ht="15.75" customHeight="1">
      <c r="B65" s="1" t="str">
        <f>IF(ISBLANK(Tareas!B61)," - ",Tareas!B61)</f>
        <v> - </v>
      </c>
      <c r="C65" s="19" t="str">
        <f>PV!C65</f>
        <v>-</v>
      </c>
      <c r="D65" s="33"/>
      <c r="E65" s="33" t="str">
        <f t="shared" si="10"/>
        <v/>
      </c>
      <c r="F65" s="33" t="str">
        <f t="shared" si="20"/>
        <v/>
      </c>
      <c r="G65" s="33" t="str">
        <f t="shared" si="25"/>
        <v/>
      </c>
      <c r="H65" s="33" t="str">
        <f t="shared" si="34"/>
        <v/>
      </c>
      <c r="I65" s="33" t="str">
        <f t="shared" si="42"/>
        <v/>
      </c>
      <c r="J65" s="33" t="str">
        <f t="shared" si="43"/>
        <v/>
      </c>
      <c r="K65" s="33" t="str">
        <f t="shared" si="44"/>
        <v/>
      </c>
    </row>
    <row r="66" ht="15.75" customHeight="1">
      <c r="B66" s="1" t="str">
        <f>IF(ISBLANK(Tareas!B62)," - ",Tareas!B62)</f>
        <v> - </v>
      </c>
      <c r="C66" s="19" t="str">
        <f>PV!C66</f>
        <v>-</v>
      </c>
      <c r="D66" s="33"/>
      <c r="E66" s="33" t="str">
        <f t="shared" si="10"/>
        <v/>
      </c>
      <c r="F66" s="33" t="str">
        <f t="shared" si="20"/>
        <v/>
      </c>
      <c r="G66" s="33" t="str">
        <f t="shared" si="25"/>
        <v/>
      </c>
      <c r="H66" s="33" t="str">
        <f t="shared" si="34"/>
        <v/>
      </c>
      <c r="I66" s="33" t="str">
        <f t="shared" si="42"/>
        <v/>
      </c>
      <c r="J66" s="33" t="str">
        <f t="shared" si="43"/>
        <v/>
      </c>
      <c r="K66" s="33" t="str">
        <f t="shared" si="44"/>
        <v/>
      </c>
    </row>
    <row r="67" ht="15.75" customHeight="1">
      <c r="B67" s="1" t="str">
        <f>IF(ISBLANK(Tareas!B63)," - ",Tareas!B63)</f>
        <v> - </v>
      </c>
      <c r="C67" s="19" t="str">
        <f>PV!C67</f>
        <v>-</v>
      </c>
      <c r="D67" s="33"/>
      <c r="E67" s="33" t="str">
        <f t="shared" si="10"/>
        <v/>
      </c>
      <c r="F67" s="33" t="str">
        <f t="shared" si="20"/>
        <v/>
      </c>
      <c r="G67" s="33" t="str">
        <f t="shared" si="25"/>
        <v/>
      </c>
      <c r="H67" s="33" t="str">
        <f t="shared" si="34"/>
        <v/>
      </c>
      <c r="I67" s="33" t="str">
        <f t="shared" si="42"/>
        <v/>
      </c>
      <c r="J67" s="33" t="str">
        <f t="shared" si="43"/>
        <v/>
      </c>
      <c r="K67" s="33" t="str">
        <f t="shared" si="44"/>
        <v/>
      </c>
    </row>
    <row r="68" ht="15.75" customHeight="1">
      <c r="B68" s="1" t="str">
        <f>IF(ISBLANK(Tareas!B64)," - ",Tareas!B64)</f>
        <v> - </v>
      </c>
      <c r="C68" s="19" t="str">
        <f>PV!C68</f>
        <v>-</v>
      </c>
      <c r="D68" s="33"/>
      <c r="E68" s="33" t="str">
        <f t="shared" si="10"/>
        <v/>
      </c>
      <c r="F68" s="33" t="str">
        <f t="shared" si="20"/>
        <v/>
      </c>
      <c r="G68" s="33" t="str">
        <f t="shared" si="25"/>
        <v/>
      </c>
      <c r="H68" s="33" t="str">
        <f t="shared" si="34"/>
        <v/>
      </c>
      <c r="I68" s="33" t="str">
        <f t="shared" si="42"/>
        <v/>
      </c>
      <c r="J68" s="33" t="str">
        <f t="shared" si="43"/>
        <v/>
      </c>
      <c r="K68" s="33" t="str">
        <f t="shared" si="44"/>
        <v/>
      </c>
    </row>
    <row r="69" ht="15.75" customHeight="1">
      <c r="B69" s="1" t="str">
        <f>IF(ISBLANK(Tareas!B65)," - ",Tareas!B65)</f>
        <v> - </v>
      </c>
      <c r="C69" s="19" t="str">
        <f>PV!C69</f>
        <v>-</v>
      </c>
      <c r="D69" s="33"/>
      <c r="E69" s="33" t="str">
        <f t="shared" si="10"/>
        <v/>
      </c>
      <c r="F69" s="33" t="str">
        <f t="shared" si="20"/>
        <v/>
      </c>
      <c r="G69" s="33" t="str">
        <f t="shared" si="25"/>
        <v/>
      </c>
      <c r="H69" s="33" t="str">
        <f t="shared" si="34"/>
        <v/>
      </c>
      <c r="I69" s="33" t="str">
        <f t="shared" si="42"/>
        <v/>
      </c>
      <c r="J69" s="33" t="str">
        <f t="shared" si="43"/>
        <v/>
      </c>
      <c r="K69" s="33" t="str">
        <f t="shared" si="44"/>
        <v/>
      </c>
    </row>
    <row r="70" ht="15.75" customHeight="1">
      <c r="B70" s="1" t="str">
        <f>IF(ISBLANK(Tareas!B66)," - ",Tareas!B66)</f>
        <v> - </v>
      </c>
      <c r="C70" s="19" t="str">
        <f>PV!C70</f>
        <v>-</v>
      </c>
      <c r="D70" s="33"/>
      <c r="E70" s="33" t="str">
        <f t="shared" si="10"/>
        <v/>
      </c>
      <c r="F70" s="33" t="str">
        <f t="shared" si="20"/>
        <v/>
      </c>
      <c r="G70" s="33" t="str">
        <f t="shared" si="25"/>
        <v/>
      </c>
      <c r="H70" s="33" t="str">
        <f t="shared" si="34"/>
        <v/>
      </c>
      <c r="I70" s="33" t="str">
        <f t="shared" si="42"/>
        <v/>
      </c>
      <c r="J70" s="33" t="str">
        <f t="shared" si="43"/>
        <v/>
      </c>
      <c r="K70" s="33" t="str">
        <f t="shared" si="44"/>
        <v/>
      </c>
    </row>
    <row r="71" ht="15.75" customHeight="1">
      <c r="B71" s="1" t="str">
        <f>IF(ISBLANK(Tareas!B67)," - ",Tareas!B67)</f>
        <v> - </v>
      </c>
      <c r="C71" s="19" t="str">
        <f>PV!C71</f>
        <v>-</v>
      </c>
      <c r="D71" s="33"/>
      <c r="E71" s="33" t="str">
        <f t="shared" si="10"/>
        <v/>
      </c>
      <c r="F71" s="33" t="str">
        <f t="shared" si="20"/>
        <v/>
      </c>
      <c r="G71" s="33" t="str">
        <f t="shared" si="25"/>
        <v/>
      </c>
      <c r="H71" s="33" t="str">
        <f t="shared" si="34"/>
        <v/>
      </c>
      <c r="I71" s="33" t="str">
        <f t="shared" si="42"/>
        <v/>
      </c>
      <c r="J71" s="33" t="str">
        <f t="shared" si="43"/>
        <v/>
      </c>
      <c r="K71" s="33" t="str">
        <f t="shared" si="44"/>
        <v/>
      </c>
    </row>
    <row r="72" ht="15.75" customHeight="1">
      <c r="B72" s="1" t="str">
        <f>IF(ISBLANK(Tareas!B68)," - ",Tareas!B68)</f>
        <v> - </v>
      </c>
      <c r="C72" s="19" t="str">
        <f>PV!C72</f>
        <v>-</v>
      </c>
      <c r="D72" s="33"/>
      <c r="E72" s="33" t="str">
        <f t="shared" si="10"/>
        <v/>
      </c>
      <c r="F72" s="33" t="str">
        <f t="shared" si="20"/>
        <v/>
      </c>
      <c r="G72" s="33" t="str">
        <f t="shared" si="25"/>
        <v/>
      </c>
      <c r="H72" s="33" t="str">
        <f t="shared" si="34"/>
        <v/>
      </c>
      <c r="I72" s="33" t="str">
        <f t="shared" si="42"/>
        <v/>
      </c>
      <c r="J72" s="33" t="str">
        <f t="shared" si="43"/>
        <v/>
      </c>
      <c r="K72" s="33" t="str">
        <f t="shared" si="44"/>
        <v/>
      </c>
    </row>
    <row r="73" ht="15.75" customHeight="1">
      <c r="B73" s="1" t="str">
        <f>IF(ISBLANK(Tareas!B69)," - ",Tareas!B69)</f>
        <v> - </v>
      </c>
      <c r="C73" s="19" t="str">
        <f>PV!C73</f>
        <v>-</v>
      </c>
      <c r="D73" s="33"/>
      <c r="E73" s="33" t="str">
        <f t="shared" si="10"/>
        <v/>
      </c>
      <c r="F73" s="33" t="str">
        <f t="shared" si="20"/>
        <v/>
      </c>
      <c r="G73" s="33" t="str">
        <f t="shared" si="25"/>
        <v/>
      </c>
      <c r="H73" s="33" t="str">
        <f t="shared" si="34"/>
        <v/>
      </c>
      <c r="I73" s="33" t="str">
        <f t="shared" si="42"/>
        <v/>
      </c>
      <c r="J73" s="33" t="str">
        <f t="shared" si="43"/>
        <v/>
      </c>
      <c r="K73" s="33" t="str">
        <f t="shared" si="44"/>
        <v/>
      </c>
    </row>
    <row r="74" ht="15.75" customHeight="1">
      <c r="B74" s="1" t="str">
        <f>IF(ISBLANK(Tareas!B70)," - ",Tareas!B70)</f>
        <v> - </v>
      </c>
      <c r="C74" s="19" t="str">
        <f>PV!C74</f>
        <v>-</v>
      </c>
      <c r="D74" s="33"/>
      <c r="E74" s="33" t="str">
        <f t="shared" si="10"/>
        <v/>
      </c>
      <c r="F74" s="33" t="str">
        <f t="shared" si="20"/>
        <v/>
      </c>
      <c r="G74" s="33" t="str">
        <f t="shared" si="25"/>
        <v/>
      </c>
      <c r="H74" s="33" t="str">
        <f t="shared" si="34"/>
        <v/>
      </c>
      <c r="I74" s="33" t="str">
        <f t="shared" si="42"/>
        <v/>
      </c>
      <c r="J74" s="33" t="str">
        <f t="shared" si="43"/>
        <v/>
      </c>
      <c r="K74" s="33" t="str">
        <f t="shared" si="44"/>
        <v/>
      </c>
    </row>
    <row r="75" ht="15.75" customHeight="1">
      <c r="B75" s="1" t="str">
        <f>IF(ISBLANK(Tareas!B71)," - ",Tareas!B71)</f>
        <v> - </v>
      </c>
      <c r="C75" s="19" t="str">
        <f>PV!C75</f>
        <v>-</v>
      </c>
      <c r="D75" s="33"/>
      <c r="E75" s="33" t="str">
        <f t="shared" si="10"/>
        <v/>
      </c>
      <c r="F75" s="33" t="str">
        <f t="shared" si="20"/>
        <v/>
      </c>
      <c r="G75" s="33" t="str">
        <f t="shared" si="25"/>
        <v/>
      </c>
      <c r="H75" s="33" t="str">
        <f t="shared" si="34"/>
        <v/>
      </c>
      <c r="I75" s="33" t="str">
        <f t="shared" si="42"/>
        <v/>
      </c>
      <c r="J75" s="33" t="str">
        <f t="shared" si="43"/>
        <v/>
      </c>
      <c r="K75" s="33" t="str">
        <f t="shared" si="44"/>
        <v/>
      </c>
    </row>
    <row r="76" ht="15.75" customHeight="1">
      <c r="B76" s="1" t="str">
        <f>IF(ISBLANK(Tareas!B72)," - ",Tareas!B72)</f>
        <v> - </v>
      </c>
      <c r="C76" s="19" t="str">
        <f>PV!C76</f>
        <v>-</v>
      </c>
      <c r="D76" s="33"/>
      <c r="E76" s="33" t="str">
        <f t="shared" si="10"/>
        <v/>
      </c>
      <c r="F76" s="33" t="str">
        <f t="shared" si="20"/>
        <v/>
      </c>
      <c r="G76" s="33" t="str">
        <f t="shared" si="25"/>
        <v/>
      </c>
      <c r="H76" s="33" t="str">
        <f t="shared" si="34"/>
        <v/>
      </c>
      <c r="I76" s="33" t="str">
        <f t="shared" si="42"/>
        <v/>
      </c>
      <c r="J76" s="33" t="str">
        <f t="shared" si="43"/>
        <v/>
      </c>
      <c r="K76" s="33" t="str">
        <f t="shared" si="44"/>
        <v/>
      </c>
    </row>
    <row r="77" ht="15.75" customHeight="1">
      <c r="B77" s="1" t="str">
        <f>IF(ISBLANK(Tareas!B73)," - ",Tareas!B73)</f>
        <v> - </v>
      </c>
      <c r="C77" s="19" t="str">
        <f>PV!C77</f>
        <v>-</v>
      </c>
      <c r="D77" s="33"/>
      <c r="E77" s="33" t="str">
        <f t="shared" si="10"/>
        <v/>
      </c>
      <c r="F77" s="33" t="str">
        <f t="shared" si="20"/>
        <v/>
      </c>
      <c r="G77" s="33" t="str">
        <f t="shared" si="25"/>
        <v/>
      </c>
      <c r="H77" s="33" t="str">
        <f t="shared" si="34"/>
        <v/>
      </c>
      <c r="I77" s="33" t="str">
        <f t="shared" si="42"/>
        <v/>
      </c>
      <c r="J77" s="33" t="str">
        <f t="shared" si="43"/>
        <v/>
      </c>
      <c r="K77" s="33" t="str">
        <f t="shared" si="44"/>
        <v/>
      </c>
    </row>
    <row r="78" ht="15.75" customHeight="1">
      <c r="B78" s="1" t="str">
        <f>IF(ISBLANK(Tareas!B74)," - ",Tareas!B74)</f>
        <v> - </v>
      </c>
      <c r="C78" s="19" t="str">
        <f>PV!C78</f>
        <v>-</v>
      </c>
      <c r="D78" s="33"/>
      <c r="E78" s="33" t="str">
        <f t="shared" si="10"/>
        <v/>
      </c>
      <c r="F78" s="33" t="str">
        <f t="shared" si="20"/>
        <v/>
      </c>
      <c r="G78" s="33" t="str">
        <f t="shared" si="25"/>
        <v/>
      </c>
      <c r="H78" s="33" t="str">
        <f t="shared" si="34"/>
        <v/>
      </c>
      <c r="I78" s="33" t="str">
        <f t="shared" si="42"/>
        <v/>
      </c>
      <c r="J78" s="33" t="str">
        <f t="shared" si="43"/>
        <v/>
      </c>
      <c r="K78" s="33" t="str">
        <f t="shared" si="44"/>
        <v/>
      </c>
    </row>
    <row r="79" ht="15.75" customHeight="1">
      <c r="B79" s="1" t="str">
        <f>IF(ISBLANK(Tareas!B75)," - ",Tareas!B75)</f>
        <v> - </v>
      </c>
      <c r="C79" s="19" t="str">
        <f>PV!C79</f>
        <v>-</v>
      </c>
      <c r="D79" s="33"/>
      <c r="E79" s="33" t="str">
        <f t="shared" si="10"/>
        <v/>
      </c>
      <c r="F79" s="33" t="str">
        <f t="shared" si="20"/>
        <v/>
      </c>
      <c r="G79" s="33" t="str">
        <f t="shared" si="25"/>
        <v/>
      </c>
      <c r="H79" s="33" t="str">
        <f t="shared" si="34"/>
        <v/>
      </c>
      <c r="I79" s="33" t="str">
        <f t="shared" si="42"/>
        <v/>
      </c>
      <c r="J79" s="33" t="str">
        <f t="shared" si="43"/>
        <v/>
      </c>
      <c r="K79" s="33" t="str">
        <f t="shared" si="44"/>
        <v/>
      </c>
    </row>
    <row r="80" ht="15.75" customHeight="1">
      <c r="B80" s="1" t="str">
        <f>IF(ISBLANK(Tareas!B76)," - ",Tareas!B76)</f>
        <v> - </v>
      </c>
      <c r="C80" s="19" t="str">
        <f>PV!C80</f>
        <v>-</v>
      </c>
      <c r="D80" s="33"/>
      <c r="E80" s="33" t="str">
        <f t="shared" si="10"/>
        <v/>
      </c>
      <c r="F80" s="33" t="str">
        <f t="shared" si="20"/>
        <v/>
      </c>
      <c r="G80" s="33" t="str">
        <f t="shared" si="25"/>
        <v/>
      </c>
      <c r="H80" s="33" t="str">
        <f t="shared" si="34"/>
        <v/>
      </c>
      <c r="I80" s="33" t="str">
        <f t="shared" si="42"/>
        <v/>
      </c>
      <c r="J80" s="33" t="str">
        <f t="shared" si="43"/>
        <v/>
      </c>
      <c r="K80" s="33" t="str">
        <f t="shared" si="44"/>
        <v/>
      </c>
    </row>
    <row r="81" ht="15.75" customHeight="1">
      <c r="B81" s="1" t="str">
        <f>IF(ISBLANK(Tareas!B77)," - ",Tareas!B77)</f>
        <v> - </v>
      </c>
      <c r="C81" s="19" t="str">
        <f>PV!C81</f>
        <v>-</v>
      </c>
      <c r="D81" s="33"/>
      <c r="E81" s="33" t="str">
        <f t="shared" si="10"/>
        <v/>
      </c>
      <c r="F81" s="33" t="str">
        <f t="shared" si="20"/>
        <v/>
      </c>
      <c r="G81" s="33" t="str">
        <f t="shared" si="25"/>
        <v/>
      </c>
      <c r="H81" s="33" t="str">
        <f t="shared" si="34"/>
        <v/>
      </c>
      <c r="I81" s="33" t="str">
        <f t="shared" si="42"/>
        <v/>
      </c>
      <c r="J81" s="33" t="str">
        <f t="shared" si="43"/>
        <v/>
      </c>
      <c r="K81" s="33" t="str">
        <f t="shared" si="44"/>
        <v/>
      </c>
    </row>
    <row r="82" ht="15.75" customHeight="1">
      <c r="B82" s="1" t="str">
        <f>IF(ISBLANK(Tareas!B78)," - ",Tareas!B78)</f>
        <v> - </v>
      </c>
      <c r="C82" s="19" t="str">
        <f>PV!C82</f>
        <v>-</v>
      </c>
      <c r="D82" s="33"/>
      <c r="E82" s="33" t="str">
        <f t="shared" si="10"/>
        <v/>
      </c>
      <c r="F82" s="33" t="str">
        <f t="shared" si="20"/>
        <v/>
      </c>
      <c r="G82" s="33" t="str">
        <f t="shared" si="25"/>
        <v/>
      </c>
      <c r="H82" s="33" t="str">
        <f t="shared" si="34"/>
        <v/>
      </c>
      <c r="I82" s="33" t="str">
        <f t="shared" si="42"/>
        <v/>
      </c>
      <c r="J82" s="33" t="str">
        <f t="shared" si="43"/>
        <v/>
      </c>
      <c r="K82" s="33" t="str">
        <f t="shared" si="44"/>
        <v/>
      </c>
    </row>
    <row r="83" ht="15.75" customHeight="1">
      <c r="B83" s="1" t="str">
        <f>IF(ISBLANK(Tareas!B79)," - ",Tareas!B79)</f>
        <v> - </v>
      </c>
      <c r="C83" s="19" t="str">
        <f>PV!C83</f>
        <v>-</v>
      </c>
      <c r="D83" s="33"/>
      <c r="E83" s="33" t="str">
        <f t="shared" si="10"/>
        <v/>
      </c>
      <c r="F83" s="33" t="str">
        <f t="shared" si="20"/>
        <v/>
      </c>
      <c r="G83" s="33" t="str">
        <f t="shared" si="25"/>
        <v/>
      </c>
      <c r="H83" s="33" t="str">
        <f t="shared" si="34"/>
        <v/>
      </c>
      <c r="I83" s="33" t="str">
        <f t="shared" si="42"/>
        <v/>
      </c>
      <c r="J83" s="33" t="str">
        <f t="shared" si="43"/>
        <v/>
      </c>
      <c r="K83" s="33" t="str">
        <f t="shared" si="44"/>
        <v/>
      </c>
    </row>
    <row r="84" ht="15.75" customHeight="1">
      <c r="B84" s="1" t="str">
        <f>IF(ISBLANK(Tareas!B80)," - ",Tareas!B80)</f>
        <v> - </v>
      </c>
      <c r="C84" s="19" t="str">
        <f>PV!C84</f>
        <v>-</v>
      </c>
      <c r="D84" s="33"/>
      <c r="E84" s="33" t="str">
        <f t="shared" si="10"/>
        <v/>
      </c>
      <c r="F84" s="33" t="str">
        <f t="shared" si="20"/>
        <v/>
      </c>
      <c r="G84" s="33" t="str">
        <f t="shared" si="25"/>
        <v/>
      </c>
      <c r="H84" s="33" t="str">
        <f t="shared" si="34"/>
        <v/>
      </c>
      <c r="I84" s="33" t="str">
        <f t="shared" si="42"/>
        <v/>
      </c>
      <c r="J84" s="33" t="str">
        <f t="shared" si="43"/>
        <v/>
      </c>
      <c r="K84" s="33" t="str">
        <f t="shared" si="44"/>
        <v/>
      </c>
    </row>
    <row r="85" ht="15.75" customHeight="1">
      <c r="B85" s="1" t="str">
        <f>IF(ISBLANK(Tareas!B81)," - ",Tareas!B81)</f>
        <v> - </v>
      </c>
      <c r="C85" s="19" t="str">
        <f>PV!C85</f>
        <v>-</v>
      </c>
      <c r="D85" s="33"/>
      <c r="E85" s="33" t="str">
        <f t="shared" si="10"/>
        <v/>
      </c>
      <c r="F85" s="33" t="str">
        <f t="shared" si="20"/>
        <v/>
      </c>
      <c r="G85" s="33" t="str">
        <f t="shared" si="25"/>
        <v/>
      </c>
      <c r="H85" s="33" t="str">
        <f t="shared" si="34"/>
        <v/>
      </c>
      <c r="I85" s="33" t="str">
        <f t="shared" si="42"/>
        <v/>
      </c>
      <c r="J85" s="33" t="str">
        <f t="shared" si="43"/>
        <v/>
      </c>
      <c r="K85" s="33" t="str">
        <f t="shared" si="44"/>
        <v/>
      </c>
    </row>
    <row r="86" ht="15.75" customHeight="1">
      <c r="B86" s="1" t="str">
        <f>IF(ISBLANK(Tareas!B82)," - ",Tareas!B82)</f>
        <v> - </v>
      </c>
      <c r="C86" s="19" t="str">
        <f>PV!C86</f>
        <v>-</v>
      </c>
      <c r="D86" s="33"/>
      <c r="E86" s="33" t="str">
        <f t="shared" si="10"/>
        <v/>
      </c>
      <c r="F86" s="33" t="str">
        <f t="shared" si="20"/>
        <v/>
      </c>
      <c r="G86" s="33" t="str">
        <f t="shared" si="25"/>
        <v/>
      </c>
      <c r="H86" s="33" t="str">
        <f t="shared" si="34"/>
        <v/>
      </c>
      <c r="I86" s="33" t="str">
        <f t="shared" si="42"/>
        <v/>
      </c>
      <c r="J86" s="33" t="str">
        <f t="shared" si="43"/>
        <v/>
      </c>
      <c r="K86" s="33" t="str">
        <f t="shared" si="44"/>
        <v/>
      </c>
    </row>
    <row r="87" ht="15.75" customHeight="1">
      <c r="B87" s="1" t="str">
        <f>IF(ISBLANK(Tareas!B83)," - ",Tareas!B83)</f>
        <v> - </v>
      </c>
      <c r="C87" s="19" t="str">
        <f>PV!C87</f>
        <v>-</v>
      </c>
      <c r="D87" s="33"/>
      <c r="E87" s="33" t="str">
        <f t="shared" si="10"/>
        <v/>
      </c>
      <c r="F87" s="33" t="str">
        <f t="shared" si="20"/>
        <v/>
      </c>
      <c r="G87" s="33" t="str">
        <f t="shared" si="25"/>
        <v/>
      </c>
      <c r="H87" s="33" t="str">
        <f t="shared" si="34"/>
        <v/>
      </c>
      <c r="I87" s="33" t="str">
        <f t="shared" si="42"/>
        <v/>
      </c>
      <c r="J87" s="33" t="str">
        <f t="shared" si="43"/>
        <v/>
      </c>
      <c r="K87" s="33" t="str">
        <f t="shared" si="44"/>
        <v/>
      </c>
    </row>
    <row r="88" ht="15.75" customHeight="1">
      <c r="B88" s="1" t="str">
        <f>IF(ISBLANK(Tareas!B84)," - ",Tareas!B84)</f>
        <v> - </v>
      </c>
      <c r="C88" s="19" t="str">
        <f>PV!C88</f>
        <v>-</v>
      </c>
      <c r="D88" s="33"/>
      <c r="E88" s="33" t="str">
        <f t="shared" si="10"/>
        <v/>
      </c>
      <c r="F88" s="33" t="str">
        <f t="shared" si="20"/>
        <v/>
      </c>
      <c r="G88" s="33" t="str">
        <f t="shared" si="25"/>
        <v/>
      </c>
      <c r="H88" s="33" t="str">
        <f t="shared" si="34"/>
        <v/>
      </c>
      <c r="I88" s="33" t="str">
        <f t="shared" si="42"/>
        <v/>
      </c>
      <c r="J88" s="33" t="str">
        <f t="shared" si="43"/>
        <v/>
      </c>
      <c r="K88" s="33" t="str">
        <f t="shared" si="44"/>
        <v/>
      </c>
    </row>
    <row r="89" ht="15.75" customHeight="1">
      <c r="B89" s="1" t="str">
        <f>IF(ISBLANK(Tareas!B85)," - ",Tareas!B85)</f>
        <v> - </v>
      </c>
      <c r="C89" s="19" t="str">
        <f>PV!C89</f>
        <v>-</v>
      </c>
      <c r="D89" s="33"/>
      <c r="E89" s="33" t="str">
        <f t="shared" si="10"/>
        <v/>
      </c>
      <c r="F89" s="33" t="str">
        <f t="shared" si="20"/>
        <v/>
      </c>
      <c r="G89" s="33" t="str">
        <f t="shared" si="25"/>
        <v/>
      </c>
      <c r="H89" s="33" t="str">
        <f t="shared" si="34"/>
        <v/>
      </c>
      <c r="I89" s="33" t="str">
        <f t="shared" si="42"/>
        <v/>
      </c>
      <c r="J89" s="33" t="str">
        <f t="shared" si="43"/>
        <v/>
      </c>
      <c r="K89" s="33" t="str">
        <f t="shared" si="44"/>
        <v/>
      </c>
    </row>
    <row r="90" ht="15.75" customHeight="1">
      <c r="B90" s="1" t="str">
        <f>IF(ISBLANK(Tareas!B86)," - ",Tareas!B86)</f>
        <v> - </v>
      </c>
      <c r="C90" s="19" t="str">
        <f>PV!C90</f>
        <v>-</v>
      </c>
      <c r="D90" s="33"/>
      <c r="E90" s="33" t="str">
        <f t="shared" si="10"/>
        <v/>
      </c>
      <c r="F90" s="33" t="str">
        <f t="shared" si="20"/>
        <v/>
      </c>
      <c r="G90" s="33" t="str">
        <f t="shared" si="25"/>
        <v/>
      </c>
      <c r="H90" s="33" t="str">
        <f t="shared" si="34"/>
        <v/>
      </c>
      <c r="I90" s="33" t="str">
        <f t="shared" si="42"/>
        <v/>
      </c>
      <c r="J90" s="33" t="str">
        <f t="shared" si="43"/>
        <v/>
      </c>
      <c r="K90" s="33" t="str">
        <f t="shared" si="44"/>
        <v/>
      </c>
    </row>
    <row r="91" ht="15.75" customHeight="1">
      <c r="B91" s="1" t="str">
        <f>IF(ISBLANK(Tareas!B87)," - ",Tareas!B87)</f>
        <v> - </v>
      </c>
      <c r="C91" s="19" t="str">
        <f>PV!C91</f>
        <v>-</v>
      </c>
      <c r="D91" s="33"/>
      <c r="E91" s="33" t="str">
        <f t="shared" si="10"/>
        <v/>
      </c>
      <c r="F91" s="33" t="str">
        <f t="shared" si="20"/>
        <v/>
      </c>
      <c r="G91" s="33" t="str">
        <f t="shared" si="25"/>
        <v/>
      </c>
      <c r="H91" s="33" t="str">
        <f t="shared" si="34"/>
        <v/>
      </c>
      <c r="I91" s="33" t="str">
        <f t="shared" si="42"/>
        <v/>
      </c>
      <c r="J91" s="33" t="str">
        <f t="shared" si="43"/>
        <v/>
      </c>
      <c r="K91" s="33" t="str">
        <f t="shared" si="44"/>
        <v/>
      </c>
    </row>
    <row r="92" ht="15.75" customHeight="1">
      <c r="B92" s="1" t="str">
        <f>IF(ISBLANK(Tareas!B88)," - ",Tareas!B88)</f>
        <v> - </v>
      </c>
      <c r="C92" s="19" t="str">
        <f>PV!C92</f>
        <v>-</v>
      </c>
      <c r="D92" s="33"/>
      <c r="E92" s="33" t="str">
        <f t="shared" si="10"/>
        <v/>
      </c>
      <c r="F92" s="33" t="str">
        <f t="shared" si="20"/>
        <v/>
      </c>
      <c r="G92" s="33" t="str">
        <f t="shared" si="25"/>
        <v/>
      </c>
      <c r="H92" s="33" t="str">
        <f t="shared" si="34"/>
        <v/>
      </c>
      <c r="I92" s="33" t="str">
        <f t="shared" si="42"/>
        <v/>
      </c>
      <c r="J92" s="33" t="str">
        <f t="shared" si="43"/>
        <v/>
      </c>
      <c r="K92" s="33" t="str">
        <f t="shared" si="44"/>
        <v/>
      </c>
    </row>
    <row r="93" ht="15.75" customHeight="1">
      <c r="B93" s="1" t="str">
        <f>IF(ISBLANK(Tareas!B89)," - ",Tareas!B89)</f>
        <v> - </v>
      </c>
      <c r="C93" s="19" t="str">
        <f>PV!C93</f>
        <v>-</v>
      </c>
      <c r="D93" s="33"/>
      <c r="E93" s="33" t="str">
        <f t="shared" si="10"/>
        <v/>
      </c>
      <c r="F93" s="33" t="str">
        <f t="shared" si="20"/>
        <v/>
      </c>
      <c r="G93" s="33" t="str">
        <f t="shared" si="25"/>
        <v/>
      </c>
      <c r="H93" s="33" t="str">
        <f t="shared" si="34"/>
        <v/>
      </c>
      <c r="I93" s="33" t="str">
        <f t="shared" si="42"/>
        <v/>
      </c>
      <c r="J93" s="33" t="str">
        <f t="shared" si="43"/>
        <v/>
      </c>
      <c r="K93" s="33" t="str">
        <f t="shared" si="44"/>
        <v/>
      </c>
    </row>
    <row r="94" ht="15.75" customHeight="1">
      <c r="B94" s="1" t="str">
        <f>IF(ISBLANK(Tareas!B90)," - ",Tareas!B90)</f>
        <v> - </v>
      </c>
      <c r="C94" s="19" t="str">
        <f>PV!C94</f>
        <v>-</v>
      </c>
      <c r="D94" s="33"/>
      <c r="E94" s="33" t="str">
        <f t="shared" si="10"/>
        <v/>
      </c>
      <c r="F94" s="33" t="str">
        <f t="shared" si="20"/>
        <v/>
      </c>
      <c r="G94" s="33" t="str">
        <f t="shared" si="25"/>
        <v/>
      </c>
      <c r="H94" s="33" t="str">
        <f t="shared" si="34"/>
        <v/>
      </c>
      <c r="I94" s="33" t="str">
        <f t="shared" si="42"/>
        <v/>
      </c>
      <c r="J94" s="33" t="str">
        <f t="shared" si="43"/>
        <v/>
      </c>
      <c r="K94" s="33" t="str">
        <f t="shared" si="44"/>
        <v/>
      </c>
    </row>
    <row r="95" ht="15.75" customHeight="1">
      <c r="B95" s="1" t="str">
        <f>IF(ISBLANK(Tareas!B91)," - ",Tareas!B91)</f>
        <v> - </v>
      </c>
      <c r="C95" s="19" t="str">
        <f>PV!C95</f>
        <v>-</v>
      </c>
      <c r="D95" s="33"/>
      <c r="E95" s="33" t="str">
        <f t="shared" si="10"/>
        <v/>
      </c>
      <c r="F95" s="33" t="str">
        <f t="shared" si="20"/>
        <v/>
      </c>
      <c r="G95" s="33" t="str">
        <f t="shared" si="25"/>
        <v/>
      </c>
      <c r="H95" s="33" t="str">
        <f t="shared" si="34"/>
        <v/>
      </c>
      <c r="I95" s="33" t="str">
        <f t="shared" si="42"/>
        <v/>
      </c>
      <c r="J95" s="33" t="str">
        <f t="shared" si="43"/>
        <v/>
      </c>
      <c r="K95" s="33" t="str">
        <f t="shared" si="44"/>
        <v/>
      </c>
    </row>
    <row r="96" ht="15.75" customHeight="1">
      <c r="B96" s="1" t="str">
        <f>IF(ISBLANK(Tareas!B92)," - ",Tareas!B92)</f>
        <v> - </v>
      </c>
      <c r="C96" s="19" t="str">
        <f>PV!C96</f>
        <v>-</v>
      </c>
      <c r="D96" s="33"/>
      <c r="E96" s="33" t="str">
        <f t="shared" si="10"/>
        <v/>
      </c>
      <c r="F96" s="33" t="str">
        <f t="shared" si="20"/>
        <v/>
      </c>
      <c r="G96" s="33" t="str">
        <f t="shared" si="25"/>
        <v/>
      </c>
      <c r="H96" s="33" t="str">
        <f t="shared" si="34"/>
        <v/>
      </c>
      <c r="I96" s="33" t="str">
        <f t="shared" si="42"/>
        <v/>
      </c>
      <c r="J96" s="33" t="str">
        <f t="shared" si="43"/>
        <v/>
      </c>
      <c r="K96" s="33" t="str">
        <f t="shared" si="44"/>
        <v/>
      </c>
    </row>
    <row r="97" ht="15.75" customHeight="1">
      <c r="B97" s="1" t="str">
        <f>IF(ISBLANK(Tareas!B93)," - ",Tareas!B93)</f>
        <v> - </v>
      </c>
      <c r="C97" s="19" t="str">
        <f>PV!C97</f>
        <v>-</v>
      </c>
      <c r="D97" s="33"/>
      <c r="E97" s="33" t="str">
        <f t="shared" si="10"/>
        <v/>
      </c>
      <c r="F97" s="33" t="str">
        <f t="shared" si="20"/>
        <v/>
      </c>
      <c r="G97" s="33" t="str">
        <f t="shared" si="25"/>
        <v/>
      </c>
      <c r="H97" s="33" t="str">
        <f t="shared" si="34"/>
        <v/>
      </c>
      <c r="I97" s="33" t="str">
        <f t="shared" si="42"/>
        <v/>
      </c>
      <c r="J97" s="33" t="str">
        <f t="shared" si="43"/>
        <v/>
      </c>
      <c r="K97" s="33" t="str">
        <f t="shared" si="44"/>
        <v/>
      </c>
    </row>
    <row r="98" ht="15.75" customHeight="1">
      <c r="B98" s="1" t="str">
        <f>IF(ISBLANK(Tareas!B94)," - ",Tareas!B94)</f>
        <v> - </v>
      </c>
      <c r="C98" s="19" t="str">
        <f>PV!C98</f>
        <v>-</v>
      </c>
      <c r="D98" s="33"/>
      <c r="E98" s="33" t="str">
        <f t="shared" si="10"/>
        <v/>
      </c>
      <c r="F98" s="33" t="str">
        <f t="shared" si="20"/>
        <v/>
      </c>
      <c r="G98" s="33" t="str">
        <f t="shared" si="25"/>
        <v/>
      </c>
      <c r="H98" s="33" t="str">
        <f t="shared" si="34"/>
        <v/>
      </c>
      <c r="I98" s="33" t="str">
        <f t="shared" si="42"/>
        <v/>
      </c>
      <c r="J98" s="33" t="str">
        <f t="shared" si="43"/>
        <v/>
      </c>
      <c r="K98" s="33" t="str">
        <f t="shared" si="44"/>
        <v/>
      </c>
    </row>
    <row r="99" ht="15.75" customHeight="1">
      <c r="B99" s="1" t="str">
        <f>IF(ISBLANK(Tareas!B95)," - ",Tareas!B95)</f>
        <v> - </v>
      </c>
      <c r="C99" s="19" t="str">
        <f>PV!C99</f>
        <v>-</v>
      </c>
      <c r="D99" s="33"/>
      <c r="E99" s="33" t="str">
        <f t="shared" si="10"/>
        <v/>
      </c>
      <c r="F99" s="33" t="str">
        <f t="shared" si="20"/>
        <v/>
      </c>
      <c r="G99" s="33" t="str">
        <f t="shared" si="25"/>
        <v/>
      </c>
      <c r="H99" s="33" t="str">
        <f t="shared" si="34"/>
        <v/>
      </c>
      <c r="I99" s="33" t="str">
        <f t="shared" si="42"/>
        <v/>
      </c>
      <c r="J99" s="33" t="str">
        <f t="shared" si="43"/>
        <v/>
      </c>
      <c r="K99" s="33" t="str">
        <f t="shared" si="44"/>
        <v/>
      </c>
    </row>
    <row r="100" ht="15.75" customHeight="1">
      <c r="B100" s="1" t="str">
        <f>IF(ISBLANK(Tareas!B96)," - ",Tareas!B96)</f>
        <v> - </v>
      </c>
      <c r="C100" s="19" t="str">
        <f>PV!C100</f>
        <v>-</v>
      </c>
      <c r="D100" s="33"/>
      <c r="E100" s="33" t="str">
        <f t="shared" si="10"/>
        <v/>
      </c>
      <c r="F100" s="33" t="str">
        <f t="shared" si="20"/>
        <v/>
      </c>
      <c r="G100" s="33" t="str">
        <f t="shared" si="25"/>
        <v/>
      </c>
      <c r="H100" s="33" t="str">
        <f t="shared" si="34"/>
        <v/>
      </c>
      <c r="I100" s="33" t="str">
        <f t="shared" si="42"/>
        <v/>
      </c>
      <c r="J100" s="33" t="str">
        <f t="shared" si="43"/>
        <v/>
      </c>
      <c r="K100" s="33" t="str">
        <f t="shared" si="44"/>
        <v/>
      </c>
    </row>
    <row r="101" ht="15.75" customHeight="1">
      <c r="B101" s="1" t="str">
        <f>IF(ISBLANK(Tareas!B97)," - ",Tareas!B97)</f>
        <v> - </v>
      </c>
      <c r="C101" s="19" t="str">
        <f>PV!C101</f>
        <v>-</v>
      </c>
      <c r="D101" s="33"/>
      <c r="E101" s="33" t="str">
        <f t="shared" si="10"/>
        <v/>
      </c>
      <c r="F101" s="33" t="str">
        <f t="shared" si="20"/>
        <v/>
      </c>
      <c r="G101" s="33" t="str">
        <f t="shared" si="25"/>
        <v/>
      </c>
      <c r="H101" s="33" t="str">
        <f t="shared" si="34"/>
        <v/>
      </c>
      <c r="I101" s="33" t="str">
        <f t="shared" si="42"/>
        <v/>
      </c>
      <c r="J101" s="33" t="str">
        <f t="shared" si="43"/>
        <v/>
      </c>
      <c r="K101" s="33" t="str">
        <f t="shared" si="44"/>
        <v/>
      </c>
    </row>
    <row r="102" ht="15.75" customHeight="1">
      <c r="B102" s="1" t="str">
        <f>IF(ISBLANK(Tareas!B98)," - ",Tareas!B98)</f>
        <v> - </v>
      </c>
      <c r="C102" s="19" t="str">
        <f>PV!C102</f>
        <v>-</v>
      </c>
      <c r="D102" s="33"/>
      <c r="E102" s="33" t="str">
        <f t="shared" si="10"/>
        <v/>
      </c>
      <c r="F102" s="33" t="str">
        <f t="shared" si="20"/>
        <v/>
      </c>
      <c r="G102" s="33" t="str">
        <f t="shared" si="25"/>
        <v/>
      </c>
      <c r="H102" s="33" t="str">
        <f t="shared" si="34"/>
        <v/>
      </c>
      <c r="I102" s="33" t="str">
        <f t="shared" si="42"/>
        <v/>
      </c>
      <c r="J102" s="33" t="str">
        <f t="shared" si="43"/>
        <v/>
      </c>
      <c r="K102" s="33" t="str">
        <f t="shared" si="44"/>
        <v/>
      </c>
    </row>
    <row r="103" ht="15.75" customHeight="1">
      <c r="B103" s="1" t="str">
        <f>IF(ISBLANK(Tareas!B99)," - ",Tareas!B99)</f>
        <v> - </v>
      </c>
      <c r="C103" s="19" t="str">
        <f>PV!C103</f>
        <v>-</v>
      </c>
      <c r="D103" s="33"/>
      <c r="E103" s="33" t="str">
        <f t="shared" si="10"/>
        <v/>
      </c>
      <c r="F103" s="33" t="str">
        <f t="shared" si="20"/>
        <v/>
      </c>
      <c r="G103" s="33" t="str">
        <f t="shared" si="25"/>
        <v/>
      </c>
      <c r="H103" s="33" t="str">
        <f t="shared" si="34"/>
        <v/>
      </c>
      <c r="I103" s="33" t="str">
        <f t="shared" si="42"/>
        <v/>
      </c>
      <c r="J103" s="33" t="str">
        <f t="shared" si="43"/>
        <v/>
      </c>
      <c r="K103" s="33" t="str">
        <f t="shared" si="44"/>
        <v/>
      </c>
    </row>
    <row r="104" ht="15.75" customHeight="1">
      <c r="B104" s="1" t="str">
        <f>IF(ISBLANK(Tareas!B100)," - ",Tareas!B100)</f>
        <v> - </v>
      </c>
      <c r="C104" s="19" t="str">
        <f>PV!C104</f>
        <v>-</v>
      </c>
      <c r="D104" s="33"/>
      <c r="E104" s="33" t="str">
        <f t="shared" si="10"/>
        <v/>
      </c>
      <c r="F104" s="33" t="str">
        <f t="shared" si="20"/>
        <v/>
      </c>
      <c r="G104" s="33" t="str">
        <f t="shared" si="25"/>
        <v/>
      </c>
      <c r="H104" s="33" t="str">
        <f t="shared" si="34"/>
        <v/>
      </c>
      <c r="I104" s="33" t="str">
        <f t="shared" si="42"/>
        <v/>
      </c>
      <c r="J104" s="33" t="str">
        <f t="shared" si="43"/>
        <v/>
      </c>
      <c r="K104" s="33" t="str">
        <f t="shared" si="44"/>
        <v/>
      </c>
    </row>
    <row r="105" ht="15.75" customHeight="1">
      <c r="B105" s="1" t="str">
        <f>IF(ISBLANK(Tareas!B101)," - ",Tareas!B101)</f>
        <v> - </v>
      </c>
      <c r="C105" s="19" t="str">
        <f>PV!C105</f>
        <v>-</v>
      </c>
      <c r="D105" s="33"/>
      <c r="E105" s="33" t="str">
        <f t="shared" si="10"/>
        <v/>
      </c>
      <c r="F105" s="33" t="str">
        <f t="shared" si="20"/>
        <v/>
      </c>
      <c r="G105" s="33" t="str">
        <f t="shared" si="25"/>
        <v/>
      </c>
      <c r="H105" s="33" t="str">
        <f t="shared" si="34"/>
        <v/>
      </c>
      <c r="I105" s="33" t="str">
        <f t="shared" si="42"/>
        <v/>
      </c>
      <c r="J105" s="33" t="str">
        <f t="shared" si="43"/>
        <v/>
      </c>
      <c r="K105" s="33" t="str">
        <f t="shared" si="44"/>
        <v/>
      </c>
    </row>
    <row r="106" ht="15.75" customHeight="1">
      <c r="B106" s="1" t="str">
        <f>IF(ISBLANK(Tareas!B102)," - ",Tareas!B102)</f>
        <v> - </v>
      </c>
      <c r="C106" s="19" t="str">
        <f>PV!C106</f>
        <v>-</v>
      </c>
      <c r="D106" s="33"/>
      <c r="E106" s="33" t="str">
        <f t="shared" si="10"/>
        <v/>
      </c>
      <c r="F106" s="33" t="str">
        <f t="shared" si="20"/>
        <v/>
      </c>
      <c r="G106" s="33" t="str">
        <f t="shared" si="25"/>
        <v/>
      </c>
      <c r="H106" s="33" t="str">
        <f t="shared" si="34"/>
        <v/>
      </c>
      <c r="I106" s="33" t="str">
        <f t="shared" si="42"/>
        <v/>
      </c>
      <c r="J106" s="33" t="str">
        <f t="shared" si="43"/>
        <v/>
      </c>
      <c r="K106" s="33" t="str">
        <f t="shared" si="44"/>
        <v/>
      </c>
    </row>
    <row r="107" ht="15.75" customHeight="1">
      <c r="B107" s="1" t="str">
        <f>IF(ISBLANK(Tareas!B103)," - ",Tareas!B103)</f>
        <v> - </v>
      </c>
      <c r="C107" s="19" t="str">
        <f>PV!C107</f>
        <v>-</v>
      </c>
      <c r="D107" s="33"/>
      <c r="E107" s="33" t="str">
        <f t="shared" si="10"/>
        <v/>
      </c>
      <c r="F107" s="33" t="str">
        <f t="shared" si="20"/>
        <v/>
      </c>
      <c r="G107" s="33" t="str">
        <f t="shared" si="25"/>
        <v/>
      </c>
      <c r="H107" s="33" t="str">
        <f t="shared" si="34"/>
        <v/>
      </c>
      <c r="I107" s="33" t="str">
        <f t="shared" si="42"/>
        <v/>
      </c>
      <c r="J107" s="33" t="str">
        <f t="shared" si="43"/>
        <v/>
      </c>
      <c r="K107" s="33" t="str">
        <f t="shared" si="44"/>
        <v/>
      </c>
    </row>
    <row r="108" ht="15.75" customHeight="1">
      <c r="B108" s="1" t="str">
        <f>IF(ISBLANK(Tareas!B104)," - ",Tareas!B104)</f>
        <v> - </v>
      </c>
      <c r="C108" s="19" t="str">
        <f>PV!C108</f>
        <v>-</v>
      </c>
      <c r="D108" s="33"/>
      <c r="E108" s="33" t="str">
        <f t="shared" si="10"/>
        <v/>
      </c>
      <c r="F108" s="33" t="str">
        <f t="shared" si="20"/>
        <v/>
      </c>
      <c r="G108" s="33" t="str">
        <f t="shared" si="25"/>
        <v/>
      </c>
      <c r="H108" s="33" t="str">
        <f t="shared" si="34"/>
        <v/>
      </c>
      <c r="I108" s="33" t="str">
        <f t="shared" si="42"/>
        <v/>
      </c>
      <c r="J108" s="33" t="str">
        <f t="shared" si="43"/>
        <v/>
      </c>
      <c r="K108" s="33" t="str">
        <f t="shared" si="44"/>
        <v/>
      </c>
    </row>
    <row r="109" ht="15.75" customHeight="1">
      <c r="C109" s="19" t="str">
        <f>PV!C109</f>
        <v>-</v>
      </c>
      <c r="D109" s="33"/>
      <c r="E109" s="33" t="str">
        <f t="shared" si="10"/>
        <v/>
      </c>
      <c r="F109" s="33" t="str">
        <f t="shared" si="20"/>
        <v/>
      </c>
      <c r="G109" s="33" t="str">
        <f t="shared" si="25"/>
        <v/>
      </c>
      <c r="H109" s="33" t="str">
        <f t="shared" si="34"/>
        <v/>
      </c>
      <c r="I109" s="33" t="str">
        <f t="shared" si="42"/>
        <v/>
      </c>
      <c r="J109" s="33" t="str">
        <f t="shared" si="43"/>
        <v/>
      </c>
      <c r="K109" s="33" t="str">
        <f t="shared" si="44"/>
        <v/>
      </c>
    </row>
    <row r="110" ht="15.75" customHeight="1">
      <c r="C110" s="19" t="str">
        <f>PV!C110</f>
        <v>-</v>
      </c>
      <c r="D110" s="33"/>
      <c r="E110" s="33" t="str">
        <f t="shared" si="10"/>
        <v/>
      </c>
      <c r="F110" s="33" t="str">
        <f t="shared" si="20"/>
        <v/>
      </c>
      <c r="G110" s="33" t="str">
        <f t="shared" si="25"/>
        <v/>
      </c>
      <c r="H110" s="33" t="str">
        <f t="shared" si="34"/>
        <v/>
      </c>
      <c r="I110" s="33" t="str">
        <f t="shared" si="42"/>
        <v/>
      </c>
      <c r="J110" s="33" t="str">
        <f t="shared" si="43"/>
        <v/>
      </c>
      <c r="K110" s="33" t="str">
        <f t="shared" si="44"/>
        <v/>
      </c>
    </row>
    <row r="111" ht="15.75" customHeight="1">
      <c r="C111" s="19" t="str">
        <f>PV!C111</f>
        <v>-</v>
      </c>
      <c r="D111" s="33"/>
      <c r="E111" s="33" t="str">
        <f t="shared" si="10"/>
        <v/>
      </c>
      <c r="F111" s="33" t="str">
        <f t="shared" si="20"/>
        <v/>
      </c>
      <c r="G111" s="33" t="str">
        <f t="shared" si="25"/>
        <v/>
      </c>
      <c r="H111" s="33" t="str">
        <f t="shared" si="34"/>
        <v/>
      </c>
      <c r="I111" s="33" t="str">
        <f t="shared" si="42"/>
        <v/>
      </c>
      <c r="J111" s="33" t="str">
        <f t="shared" si="43"/>
        <v/>
      </c>
      <c r="K111" s="33" t="str">
        <f t="shared" si="44"/>
        <v/>
      </c>
    </row>
    <row r="112" ht="15.75" customHeight="1">
      <c r="C112" s="19" t="str">
        <f>PV!C112</f>
        <v>-</v>
      </c>
      <c r="D112" s="33"/>
      <c r="E112" s="33" t="str">
        <f t="shared" si="10"/>
        <v/>
      </c>
      <c r="F112" s="33" t="str">
        <f t="shared" si="20"/>
        <v/>
      </c>
      <c r="G112" s="33" t="str">
        <f t="shared" si="25"/>
        <v/>
      </c>
      <c r="H112" s="33" t="str">
        <f t="shared" si="34"/>
        <v/>
      </c>
      <c r="I112" s="33" t="str">
        <f t="shared" si="42"/>
        <v/>
      </c>
      <c r="J112" s="33" t="str">
        <f t="shared" si="43"/>
        <v/>
      </c>
      <c r="K112" s="33" t="str">
        <f t="shared" si="44"/>
        <v/>
      </c>
    </row>
    <row r="113" ht="15.75" customHeight="1">
      <c r="C113" s="19" t="str">
        <f>PV!C113</f>
        <v>-</v>
      </c>
      <c r="D113" s="33"/>
      <c r="E113" s="33" t="str">
        <f t="shared" si="10"/>
        <v/>
      </c>
      <c r="F113" s="33" t="str">
        <f t="shared" si="20"/>
        <v/>
      </c>
      <c r="G113" s="33" t="str">
        <f t="shared" si="25"/>
        <v/>
      </c>
      <c r="H113" s="33" t="str">
        <f t="shared" si="34"/>
        <v/>
      </c>
      <c r="I113" s="33" t="str">
        <f t="shared" si="42"/>
        <v/>
      </c>
      <c r="J113" s="33" t="str">
        <f t="shared" si="43"/>
        <v/>
      </c>
      <c r="K113" s="33" t="str">
        <f t="shared" si="44"/>
        <v/>
      </c>
    </row>
    <row r="114" ht="15.75" customHeight="1">
      <c r="C114" s="19" t="str">
        <f>PV!C114</f>
        <v>-</v>
      </c>
      <c r="D114" s="33"/>
      <c r="E114" s="33" t="str">
        <f t="shared" si="10"/>
        <v/>
      </c>
      <c r="F114" s="33" t="str">
        <f t="shared" si="20"/>
        <v/>
      </c>
      <c r="G114" s="33" t="str">
        <f t="shared" si="25"/>
        <v/>
      </c>
      <c r="H114" s="33" t="str">
        <f t="shared" si="34"/>
        <v/>
      </c>
      <c r="I114" s="33" t="str">
        <f t="shared" si="42"/>
        <v/>
      </c>
      <c r="J114" s="33" t="str">
        <f t="shared" si="43"/>
        <v/>
      </c>
      <c r="K114" s="33" t="str">
        <f t="shared" si="44"/>
        <v/>
      </c>
    </row>
    <row r="115" ht="15.75" customHeight="1">
      <c r="C115" s="19" t="str">
        <f>PV!C115</f>
        <v>-</v>
      </c>
      <c r="D115" s="33"/>
      <c r="E115" s="33" t="str">
        <f t="shared" si="10"/>
        <v/>
      </c>
      <c r="F115" s="33" t="str">
        <f t="shared" si="20"/>
        <v/>
      </c>
      <c r="G115" s="33" t="str">
        <f t="shared" si="25"/>
        <v/>
      </c>
      <c r="H115" s="33" t="str">
        <f t="shared" si="34"/>
        <v/>
      </c>
      <c r="I115" s="33" t="str">
        <f t="shared" si="42"/>
        <v/>
      </c>
      <c r="J115" s="33" t="str">
        <f t="shared" si="43"/>
        <v/>
      </c>
      <c r="K115" s="33" t="str">
        <f t="shared" si="44"/>
        <v/>
      </c>
    </row>
    <row r="116" ht="15.75" customHeight="1">
      <c r="C116" s="19" t="str">
        <f>PV!C116</f>
        <v>-</v>
      </c>
      <c r="D116" s="33"/>
      <c r="E116" s="33" t="str">
        <f t="shared" si="10"/>
        <v/>
      </c>
      <c r="F116" s="33" t="str">
        <f t="shared" si="20"/>
        <v/>
      </c>
      <c r="G116" s="33" t="str">
        <f t="shared" si="25"/>
        <v/>
      </c>
      <c r="H116" s="33" t="str">
        <f t="shared" si="34"/>
        <v/>
      </c>
      <c r="I116" s="33" t="str">
        <f t="shared" si="42"/>
        <v/>
      </c>
      <c r="J116" s="33" t="str">
        <f t="shared" si="43"/>
        <v/>
      </c>
      <c r="K116" s="33" t="str">
        <f t="shared" si="44"/>
        <v/>
      </c>
    </row>
    <row r="117" ht="15.75" customHeight="1">
      <c r="C117" s="19" t="str">
        <f>PV!C117</f>
        <v>-</v>
      </c>
      <c r="D117" s="33"/>
      <c r="E117" s="33" t="str">
        <f t="shared" si="10"/>
        <v/>
      </c>
      <c r="F117" s="33" t="str">
        <f t="shared" si="20"/>
        <v/>
      </c>
      <c r="G117" s="33" t="str">
        <f t="shared" si="25"/>
        <v/>
      </c>
      <c r="H117" s="33" t="str">
        <f t="shared" si="34"/>
        <v/>
      </c>
      <c r="I117" s="33" t="str">
        <f t="shared" si="42"/>
        <v/>
      </c>
      <c r="J117" s="33" t="str">
        <f t="shared" si="43"/>
        <v/>
      </c>
      <c r="K117" s="33" t="str">
        <f t="shared" si="44"/>
        <v/>
      </c>
    </row>
    <row r="118" ht="15.75" customHeight="1">
      <c r="C118" s="19" t="str">
        <f>PV!C118</f>
        <v>-</v>
      </c>
      <c r="D118" s="33"/>
      <c r="E118" s="33" t="str">
        <f t="shared" si="10"/>
        <v/>
      </c>
      <c r="F118" s="33" t="str">
        <f t="shared" si="20"/>
        <v/>
      </c>
      <c r="G118" s="33" t="str">
        <f t="shared" si="25"/>
        <v/>
      </c>
      <c r="H118" s="33" t="str">
        <f t="shared" si="34"/>
        <v/>
      </c>
      <c r="I118" s="33" t="str">
        <f t="shared" si="42"/>
        <v/>
      </c>
      <c r="J118" s="33" t="str">
        <f t="shared" si="43"/>
        <v/>
      </c>
      <c r="K118" s="33" t="str">
        <f t="shared" si="44"/>
        <v/>
      </c>
    </row>
    <row r="119" ht="15.75" customHeight="1">
      <c r="C119" s="19" t="str">
        <f>PV!C119</f>
        <v>-</v>
      </c>
      <c r="D119" s="33"/>
      <c r="E119" s="33" t="str">
        <f t="shared" si="10"/>
        <v/>
      </c>
      <c r="F119" s="33" t="str">
        <f t="shared" si="20"/>
        <v/>
      </c>
      <c r="G119" s="33" t="str">
        <f t="shared" si="25"/>
        <v/>
      </c>
      <c r="H119" s="33" t="str">
        <f t="shared" si="34"/>
        <v/>
      </c>
      <c r="I119" s="33" t="str">
        <f t="shared" si="42"/>
        <v/>
      </c>
      <c r="J119" s="33" t="str">
        <f t="shared" si="43"/>
        <v/>
      </c>
      <c r="K119" s="33" t="str">
        <f t="shared" si="44"/>
        <v/>
      </c>
    </row>
    <row r="120" ht="15.75" customHeight="1">
      <c r="C120" s="19" t="str">
        <f>PV!C120</f>
        <v>-</v>
      </c>
      <c r="D120" s="33"/>
      <c r="E120" s="33" t="str">
        <f t="shared" si="10"/>
        <v/>
      </c>
      <c r="F120" s="33" t="str">
        <f t="shared" si="20"/>
        <v/>
      </c>
      <c r="G120" s="33" t="str">
        <f t="shared" si="25"/>
        <v/>
      </c>
      <c r="H120" s="33" t="str">
        <f t="shared" si="34"/>
        <v/>
      </c>
      <c r="I120" s="33" t="str">
        <f t="shared" si="42"/>
        <v/>
      </c>
      <c r="J120" s="33" t="str">
        <f t="shared" si="43"/>
        <v/>
      </c>
      <c r="K120" s="33" t="str">
        <f t="shared" si="44"/>
        <v/>
      </c>
    </row>
    <row r="121" ht="15.75" customHeight="1">
      <c r="C121" s="19" t="str">
        <f>PV!C121</f>
        <v>-</v>
      </c>
      <c r="D121" s="33"/>
      <c r="E121" s="33" t="str">
        <f t="shared" si="10"/>
        <v/>
      </c>
      <c r="F121" s="33" t="str">
        <f t="shared" si="20"/>
        <v/>
      </c>
      <c r="G121" s="33" t="str">
        <f t="shared" si="25"/>
        <v/>
      </c>
      <c r="H121" s="33" t="str">
        <f t="shared" si="34"/>
        <v/>
      </c>
      <c r="I121" s="33" t="str">
        <f t="shared" si="42"/>
        <v/>
      </c>
      <c r="J121" s="33" t="str">
        <f t="shared" si="43"/>
        <v/>
      </c>
      <c r="K121" s="33" t="str">
        <f t="shared" si="44"/>
        <v/>
      </c>
    </row>
    <row r="122" ht="15.75" customHeight="1">
      <c r="C122" s="19" t="str">
        <f>PV!C122</f>
        <v>-</v>
      </c>
      <c r="D122" s="33"/>
      <c r="E122" s="33" t="str">
        <f t="shared" si="10"/>
        <v/>
      </c>
      <c r="F122" s="33" t="str">
        <f t="shared" si="20"/>
        <v/>
      </c>
      <c r="G122" s="33" t="str">
        <f t="shared" si="25"/>
        <v/>
      </c>
      <c r="H122" s="33" t="str">
        <f t="shared" si="34"/>
        <v/>
      </c>
      <c r="I122" s="33" t="str">
        <f t="shared" si="42"/>
        <v/>
      </c>
      <c r="J122" s="33" t="str">
        <f t="shared" si="43"/>
        <v/>
      </c>
      <c r="K122" s="33" t="str">
        <f t="shared" si="44"/>
        <v/>
      </c>
    </row>
    <row r="123" ht="15.75" customHeight="1">
      <c r="C123" s="19" t="str">
        <f>PV!C123</f>
        <v>-</v>
      </c>
      <c r="D123" s="33"/>
      <c r="E123" s="33" t="str">
        <f t="shared" si="10"/>
        <v/>
      </c>
      <c r="F123" s="33" t="str">
        <f t="shared" si="20"/>
        <v/>
      </c>
      <c r="G123" s="33" t="str">
        <f t="shared" si="25"/>
        <v/>
      </c>
      <c r="H123" s="33" t="str">
        <f t="shared" si="34"/>
        <v/>
      </c>
      <c r="I123" s="33" t="str">
        <f t="shared" si="42"/>
        <v/>
      </c>
      <c r="J123" s="33" t="str">
        <f t="shared" si="43"/>
        <v/>
      </c>
      <c r="K123" s="33" t="str">
        <f t="shared" si="44"/>
        <v/>
      </c>
    </row>
    <row r="124" ht="15.75" customHeight="1">
      <c r="C124" s="19" t="str">
        <f>PV!C124</f>
        <v>-</v>
      </c>
      <c r="D124" s="33"/>
      <c r="E124" s="33" t="str">
        <f t="shared" si="10"/>
        <v/>
      </c>
      <c r="F124" s="33" t="str">
        <f t="shared" si="20"/>
        <v/>
      </c>
      <c r="G124" s="33" t="str">
        <f t="shared" si="25"/>
        <v/>
      </c>
      <c r="H124" s="33" t="str">
        <f t="shared" si="34"/>
        <v/>
      </c>
      <c r="I124" s="33" t="str">
        <f t="shared" si="42"/>
        <v/>
      </c>
      <c r="J124" s="33" t="str">
        <f t="shared" si="43"/>
        <v/>
      </c>
      <c r="K124" s="33" t="str">
        <f t="shared" si="44"/>
        <v/>
      </c>
    </row>
    <row r="125" ht="15.75" customHeight="1">
      <c r="C125" s="19" t="str">
        <f>PV!C125</f>
        <v>-</v>
      </c>
      <c r="D125" s="33"/>
      <c r="E125" s="33" t="str">
        <f t="shared" si="10"/>
        <v/>
      </c>
      <c r="F125" s="33" t="str">
        <f t="shared" si="20"/>
        <v/>
      </c>
      <c r="G125" s="33" t="str">
        <f t="shared" si="25"/>
        <v/>
      </c>
      <c r="H125" s="33" t="str">
        <f t="shared" si="34"/>
        <v/>
      </c>
      <c r="I125" s="33" t="str">
        <f t="shared" si="42"/>
        <v/>
      </c>
      <c r="J125" s="33" t="str">
        <f t="shared" si="43"/>
        <v/>
      </c>
      <c r="K125" s="33" t="str">
        <f t="shared" si="44"/>
        <v/>
      </c>
    </row>
    <row r="126" ht="15.75" customHeight="1">
      <c r="C126" s="19" t="str">
        <f>PV!C126</f>
        <v>-</v>
      </c>
      <c r="D126" s="33"/>
      <c r="E126" s="33" t="str">
        <f t="shared" si="10"/>
        <v/>
      </c>
      <c r="F126" s="33" t="str">
        <f t="shared" si="20"/>
        <v/>
      </c>
      <c r="G126" s="33" t="str">
        <f t="shared" si="25"/>
        <v/>
      </c>
      <c r="H126" s="33" t="str">
        <f t="shared" si="34"/>
        <v/>
      </c>
      <c r="I126" s="33" t="str">
        <f t="shared" si="42"/>
        <v/>
      </c>
      <c r="J126" s="33" t="str">
        <f t="shared" si="43"/>
        <v/>
      </c>
      <c r="K126" s="33" t="str">
        <f t="shared" si="44"/>
        <v/>
      </c>
    </row>
    <row r="127" ht="15.75" customHeight="1">
      <c r="C127" s="19" t="str">
        <f>PV!C127</f>
        <v>-</v>
      </c>
      <c r="D127" s="33"/>
      <c r="E127" s="33" t="str">
        <f t="shared" si="10"/>
        <v/>
      </c>
      <c r="F127" s="33" t="str">
        <f t="shared" si="20"/>
        <v/>
      </c>
      <c r="G127" s="33" t="str">
        <f t="shared" si="25"/>
        <v/>
      </c>
      <c r="H127" s="33" t="str">
        <f t="shared" si="34"/>
        <v/>
      </c>
      <c r="I127" s="33" t="str">
        <f t="shared" si="42"/>
        <v/>
      </c>
      <c r="J127" s="33" t="str">
        <f t="shared" si="43"/>
        <v/>
      </c>
      <c r="K127" s="33" t="str">
        <f t="shared" si="44"/>
        <v/>
      </c>
    </row>
    <row r="128" ht="15.75" customHeight="1">
      <c r="C128" s="19" t="str">
        <f>PV!C128</f>
        <v>-</v>
      </c>
      <c r="D128" s="33"/>
      <c r="E128" s="33" t="str">
        <f t="shared" si="10"/>
        <v/>
      </c>
      <c r="F128" s="33" t="str">
        <f t="shared" si="20"/>
        <v/>
      </c>
      <c r="G128" s="33" t="str">
        <f t="shared" si="25"/>
        <v/>
      </c>
      <c r="H128" s="33" t="str">
        <f t="shared" si="34"/>
        <v/>
      </c>
      <c r="I128" s="33" t="str">
        <f t="shared" si="42"/>
        <v/>
      </c>
      <c r="J128" s="33" t="str">
        <f t="shared" si="43"/>
        <v/>
      </c>
      <c r="K128" s="33" t="str">
        <f t="shared" si="44"/>
        <v/>
      </c>
    </row>
    <row r="129" ht="15.75" customHeight="1">
      <c r="C129" s="19" t="str">
        <f>PV!C129</f>
        <v>-</v>
      </c>
      <c r="D129" s="33"/>
      <c r="E129" s="33" t="str">
        <f t="shared" si="10"/>
        <v/>
      </c>
      <c r="F129" s="33" t="str">
        <f t="shared" si="20"/>
        <v/>
      </c>
      <c r="G129" s="33" t="str">
        <f t="shared" si="25"/>
        <v/>
      </c>
      <c r="H129" s="33" t="str">
        <f t="shared" si="34"/>
        <v/>
      </c>
      <c r="I129" s="33" t="str">
        <f t="shared" si="42"/>
        <v/>
      </c>
      <c r="J129" s="33" t="str">
        <f t="shared" si="43"/>
        <v/>
      </c>
      <c r="K129" s="33" t="str">
        <f t="shared" si="44"/>
        <v/>
      </c>
    </row>
    <row r="130" ht="15.75" customHeight="1">
      <c r="C130" s="19" t="str">
        <f>PV!C130</f>
        <v>-</v>
      </c>
      <c r="D130" s="33"/>
      <c r="E130" s="33" t="str">
        <f t="shared" si="10"/>
        <v/>
      </c>
      <c r="F130" s="33" t="str">
        <f t="shared" si="20"/>
        <v/>
      </c>
      <c r="G130" s="33" t="str">
        <f t="shared" si="25"/>
        <v/>
      </c>
      <c r="H130" s="33" t="str">
        <f t="shared" si="34"/>
        <v/>
      </c>
      <c r="I130" s="33" t="str">
        <f t="shared" si="42"/>
        <v/>
      </c>
      <c r="J130" s="33" t="str">
        <f t="shared" si="43"/>
        <v/>
      </c>
      <c r="K130" s="33" t="str">
        <f t="shared" si="44"/>
        <v/>
      </c>
    </row>
    <row r="131" ht="15.75" customHeight="1">
      <c r="C131" s="19" t="str">
        <f>PV!C131</f>
        <v>-</v>
      </c>
      <c r="D131" s="33"/>
      <c r="E131" s="33" t="str">
        <f t="shared" si="10"/>
        <v/>
      </c>
      <c r="F131" s="33" t="str">
        <f t="shared" si="20"/>
        <v/>
      </c>
      <c r="G131" s="33" t="str">
        <f t="shared" si="25"/>
        <v/>
      </c>
      <c r="H131" s="33" t="str">
        <f t="shared" si="34"/>
        <v/>
      </c>
      <c r="I131" s="33" t="str">
        <f t="shared" si="42"/>
        <v/>
      </c>
      <c r="J131" s="33" t="str">
        <f t="shared" si="43"/>
        <v/>
      </c>
      <c r="K131" s="33" t="str">
        <f t="shared" si="44"/>
        <v/>
      </c>
    </row>
    <row r="132" ht="15.75" customHeight="1">
      <c r="C132" s="19" t="str">
        <f>PV!C132</f>
        <v>-</v>
      </c>
      <c r="D132" s="33"/>
      <c r="E132" s="33" t="str">
        <f t="shared" si="10"/>
        <v/>
      </c>
      <c r="F132" s="33" t="str">
        <f t="shared" si="20"/>
        <v/>
      </c>
      <c r="G132" s="33" t="str">
        <f t="shared" si="25"/>
        <v/>
      </c>
      <c r="H132" s="33" t="str">
        <f t="shared" si="34"/>
        <v/>
      </c>
      <c r="I132" s="33" t="str">
        <f t="shared" si="42"/>
        <v/>
      </c>
      <c r="J132" s="33" t="str">
        <f t="shared" si="43"/>
        <v/>
      </c>
      <c r="K132" s="33" t="str">
        <f t="shared" si="44"/>
        <v/>
      </c>
    </row>
    <row r="133" ht="15.75" customHeight="1">
      <c r="C133" s="19" t="str">
        <f>PV!C133</f>
        <v>-</v>
      </c>
      <c r="D133" s="33"/>
      <c r="E133" s="33" t="str">
        <f t="shared" si="10"/>
        <v/>
      </c>
      <c r="F133" s="33" t="str">
        <f t="shared" si="20"/>
        <v/>
      </c>
      <c r="G133" s="33" t="str">
        <f t="shared" si="25"/>
        <v/>
      </c>
      <c r="H133" s="33" t="str">
        <f t="shared" si="34"/>
        <v/>
      </c>
      <c r="I133" s="33" t="str">
        <f t="shared" si="42"/>
        <v/>
      </c>
      <c r="J133" s="33" t="str">
        <f t="shared" si="43"/>
        <v/>
      </c>
      <c r="K133" s="33" t="str">
        <f t="shared" si="44"/>
        <v/>
      </c>
    </row>
    <row r="134" ht="15.75" customHeight="1">
      <c r="C134" s="19" t="str">
        <f>PV!C134</f>
        <v>-</v>
      </c>
      <c r="D134" s="33"/>
      <c r="E134" s="33" t="str">
        <f t="shared" si="10"/>
        <v/>
      </c>
      <c r="F134" s="33" t="str">
        <f t="shared" si="20"/>
        <v/>
      </c>
      <c r="G134" s="33" t="str">
        <f t="shared" si="25"/>
        <v/>
      </c>
      <c r="H134" s="33" t="str">
        <f t="shared" si="34"/>
        <v/>
      </c>
      <c r="I134" s="33" t="str">
        <f t="shared" si="42"/>
        <v/>
      </c>
      <c r="J134" s="33" t="str">
        <f t="shared" si="43"/>
        <v/>
      </c>
      <c r="K134" s="33" t="str">
        <f t="shared" si="44"/>
        <v/>
      </c>
    </row>
    <row r="135" ht="15.75" customHeight="1">
      <c r="C135" s="19" t="str">
        <f>PV!C135</f>
        <v>-</v>
      </c>
      <c r="D135" s="33"/>
      <c r="E135" s="33" t="str">
        <f t="shared" si="10"/>
        <v/>
      </c>
      <c r="F135" s="33" t="str">
        <f t="shared" si="20"/>
        <v/>
      </c>
      <c r="G135" s="33" t="str">
        <f t="shared" si="25"/>
        <v/>
      </c>
      <c r="H135" s="33" t="str">
        <f t="shared" si="34"/>
        <v/>
      </c>
      <c r="I135" s="33" t="str">
        <f t="shared" si="42"/>
        <v/>
      </c>
      <c r="J135" s="33" t="str">
        <f t="shared" si="43"/>
        <v/>
      </c>
      <c r="K135" s="33" t="str">
        <f t="shared" si="44"/>
        <v/>
      </c>
    </row>
    <row r="136" ht="15.75" customHeight="1">
      <c r="C136" s="19" t="str">
        <f>PV!C136</f>
        <v>-</v>
      </c>
      <c r="D136" s="33"/>
      <c r="E136" s="33" t="str">
        <f t="shared" si="10"/>
        <v/>
      </c>
      <c r="F136" s="33" t="str">
        <f t="shared" si="20"/>
        <v/>
      </c>
      <c r="G136" s="33" t="str">
        <f t="shared" si="25"/>
        <v/>
      </c>
      <c r="H136" s="33" t="str">
        <f t="shared" si="34"/>
        <v/>
      </c>
      <c r="I136" s="33" t="str">
        <f t="shared" si="42"/>
        <v/>
      </c>
      <c r="J136" s="33" t="str">
        <f t="shared" si="43"/>
        <v/>
      </c>
      <c r="K136" s="33" t="str">
        <f t="shared" si="44"/>
        <v/>
      </c>
    </row>
    <row r="137" ht="15.75" customHeight="1">
      <c r="C137" s="19" t="str">
        <f>PV!C137</f>
        <v>-</v>
      </c>
      <c r="D137" s="33"/>
      <c r="E137" s="33" t="str">
        <f t="shared" si="10"/>
        <v/>
      </c>
      <c r="F137" s="33" t="str">
        <f t="shared" si="20"/>
        <v/>
      </c>
      <c r="G137" s="33" t="str">
        <f t="shared" si="25"/>
        <v/>
      </c>
      <c r="H137" s="33" t="str">
        <f t="shared" si="34"/>
        <v/>
      </c>
      <c r="I137" s="33" t="str">
        <f t="shared" si="42"/>
        <v/>
      </c>
      <c r="J137" s="33" t="str">
        <f t="shared" si="43"/>
        <v/>
      </c>
      <c r="K137" s="33" t="str">
        <f t="shared" si="44"/>
        <v/>
      </c>
    </row>
    <row r="138" ht="15.75" customHeight="1">
      <c r="C138" s="19" t="str">
        <f>PV!C138</f>
        <v>-</v>
      </c>
      <c r="D138" s="33"/>
      <c r="E138" s="33" t="str">
        <f t="shared" si="10"/>
        <v/>
      </c>
      <c r="F138" s="33" t="str">
        <f t="shared" si="20"/>
        <v/>
      </c>
      <c r="G138" s="33" t="str">
        <f t="shared" si="25"/>
        <v/>
      </c>
      <c r="H138" s="33" t="str">
        <f t="shared" si="34"/>
        <v/>
      </c>
      <c r="I138" s="33" t="str">
        <f t="shared" si="42"/>
        <v/>
      </c>
      <c r="J138" s="33" t="str">
        <f t="shared" si="43"/>
        <v/>
      </c>
      <c r="K138" s="33" t="str">
        <f t="shared" si="44"/>
        <v/>
      </c>
    </row>
    <row r="139" ht="15.75" customHeight="1">
      <c r="C139" s="19" t="str">
        <f>PV!C139</f>
        <v>-</v>
      </c>
      <c r="D139" s="33"/>
      <c r="E139" s="33" t="str">
        <f t="shared" si="10"/>
        <v/>
      </c>
      <c r="F139" s="33" t="str">
        <f t="shared" si="20"/>
        <v/>
      </c>
      <c r="G139" s="33" t="str">
        <f t="shared" si="25"/>
        <v/>
      </c>
      <c r="H139" s="33" t="str">
        <f t="shared" si="34"/>
        <v/>
      </c>
      <c r="I139" s="33" t="str">
        <f t="shared" si="42"/>
        <v/>
      </c>
      <c r="J139" s="33" t="str">
        <f t="shared" si="43"/>
        <v/>
      </c>
      <c r="K139" s="33" t="str">
        <f t="shared" si="44"/>
        <v/>
      </c>
    </row>
    <row r="140" ht="15.75" customHeight="1">
      <c r="C140" s="19" t="str">
        <f>PV!C140</f>
        <v>-</v>
      </c>
      <c r="D140" s="33"/>
      <c r="E140" s="33" t="str">
        <f t="shared" si="10"/>
        <v/>
      </c>
      <c r="F140" s="33" t="str">
        <f t="shared" si="20"/>
        <v/>
      </c>
      <c r="G140" s="33" t="str">
        <f t="shared" si="25"/>
        <v/>
      </c>
      <c r="H140" s="33" t="str">
        <f t="shared" si="34"/>
        <v/>
      </c>
      <c r="I140" s="33" t="str">
        <f t="shared" si="42"/>
        <v/>
      </c>
      <c r="J140" s="33" t="str">
        <f t="shared" si="43"/>
        <v/>
      </c>
      <c r="K140" s="33" t="str">
        <f t="shared" si="44"/>
        <v/>
      </c>
    </row>
    <row r="141" ht="15.75" customHeight="1">
      <c r="C141" s="19" t="str">
        <f>PV!C141</f>
        <v>-</v>
      </c>
      <c r="D141" s="33"/>
      <c r="E141" s="33" t="str">
        <f t="shared" si="10"/>
        <v/>
      </c>
      <c r="F141" s="33" t="str">
        <f t="shared" si="20"/>
        <v/>
      </c>
      <c r="G141" s="33" t="str">
        <f t="shared" si="25"/>
        <v/>
      </c>
      <c r="H141" s="33" t="str">
        <f t="shared" si="34"/>
        <v/>
      </c>
      <c r="I141" s="33" t="str">
        <f t="shared" si="42"/>
        <v/>
      </c>
      <c r="J141" s="33" t="str">
        <f t="shared" si="43"/>
        <v/>
      </c>
      <c r="K141" s="33" t="str">
        <f t="shared" si="44"/>
        <v/>
      </c>
    </row>
    <row r="142" ht="15.75" customHeight="1">
      <c r="C142" s="19" t="str">
        <f>PV!C142</f>
        <v>-</v>
      </c>
      <c r="D142" s="33"/>
      <c r="E142" s="33" t="str">
        <f t="shared" si="10"/>
        <v/>
      </c>
      <c r="F142" s="33" t="str">
        <f t="shared" si="20"/>
        <v/>
      </c>
      <c r="G142" s="33" t="str">
        <f t="shared" si="25"/>
        <v/>
      </c>
      <c r="H142" s="33" t="str">
        <f t="shared" si="34"/>
        <v/>
      </c>
      <c r="I142" s="33" t="str">
        <f t="shared" si="42"/>
        <v/>
      </c>
      <c r="J142" s="33" t="str">
        <f t="shared" si="43"/>
        <v/>
      </c>
      <c r="K142" s="33" t="str">
        <f t="shared" si="44"/>
        <v/>
      </c>
    </row>
    <row r="143" ht="15.75" customHeight="1">
      <c r="C143" s="19" t="str">
        <f>PV!C143</f>
        <v>-</v>
      </c>
      <c r="D143" s="33"/>
      <c r="E143" s="33" t="str">
        <f t="shared" si="10"/>
        <v/>
      </c>
      <c r="F143" s="33" t="str">
        <f t="shared" si="20"/>
        <v/>
      </c>
      <c r="G143" s="33" t="str">
        <f t="shared" si="25"/>
        <v/>
      </c>
      <c r="H143" s="33" t="str">
        <f t="shared" si="34"/>
        <v/>
      </c>
      <c r="I143" s="33" t="str">
        <f t="shared" si="42"/>
        <v/>
      </c>
      <c r="J143" s="33" t="str">
        <f t="shared" si="43"/>
        <v/>
      </c>
      <c r="K143" s="33" t="str">
        <f t="shared" si="44"/>
        <v/>
      </c>
    </row>
    <row r="144" ht="15.75" customHeight="1">
      <c r="C144" s="19" t="str">
        <f>PV!C144</f>
        <v>-</v>
      </c>
      <c r="D144" s="33"/>
      <c r="E144" s="33" t="str">
        <f t="shared" si="10"/>
        <v/>
      </c>
      <c r="F144" s="33" t="str">
        <f t="shared" si="20"/>
        <v/>
      </c>
      <c r="G144" s="33" t="str">
        <f t="shared" si="25"/>
        <v/>
      </c>
      <c r="H144" s="33" t="str">
        <f t="shared" si="34"/>
        <v/>
      </c>
      <c r="I144" s="33" t="str">
        <f t="shared" si="42"/>
        <v/>
      </c>
      <c r="J144" s="33" t="str">
        <f t="shared" si="43"/>
        <v/>
      </c>
      <c r="K144" s="33" t="str">
        <f t="shared" si="44"/>
        <v/>
      </c>
    </row>
    <row r="145" ht="15.75" customHeight="1">
      <c r="C145" s="19" t="str">
        <f>PV!C145</f>
        <v>-</v>
      </c>
      <c r="D145" s="33"/>
      <c r="E145" s="33" t="str">
        <f t="shared" si="10"/>
        <v/>
      </c>
      <c r="F145" s="33" t="str">
        <f t="shared" si="20"/>
        <v/>
      </c>
      <c r="G145" s="33" t="str">
        <f t="shared" si="25"/>
        <v/>
      </c>
      <c r="H145" s="33" t="str">
        <f t="shared" si="34"/>
        <v/>
      </c>
      <c r="I145" s="33" t="str">
        <f t="shared" si="42"/>
        <v/>
      </c>
      <c r="J145" s="33" t="str">
        <f t="shared" si="43"/>
        <v/>
      </c>
      <c r="K145" s="33" t="str">
        <f t="shared" si="44"/>
        <v/>
      </c>
    </row>
    <row r="146" ht="15.75" customHeight="1">
      <c r="C146" s="19" t="str">
        <f>PV!C146</f>
        <v>-</v>
      </c>
      <c r="D146" s="33"/>
      <c r="E146" s="33" t="str">
        <f t="shared" si="10"/>
        <v/>
      </c>
      <c r="F146" s="33" t="str">
        <f t="shared" si="20"/>
        <v/>
      </c>
      <c r="G146" s="33" t="str">
        <f t="shared" si="25"/>
        <v/>
      </c>
      <c r="H146" s="33" t="str">
        <f t="shared" si="34"/>
        <v/>
      </c>
      <c r="I146" s="33" t="str">
        <f t="shared" si="42"/>
        <v/>
      </c>
      <c r="J146" s="33" t="str">
        <f t="shared" si="43"/>
        <v/>
      </c>
      <c r="K146" s="33" t="str">
        <f t="shared" si="44"/>
        <v/>
      </c>
    </row>
    <row r="147" ht="15.75" customHeight="1">
      <c r="C147" s="19" t="str">
        <f>PV!C147</f>
        <v>-</v>
      </c>
      <c r="D147" s="33"/>
      <c r="E147" s="33" t="str">
        <f t="shared" si="10"/>
        <v/>
      </c>
      <c r="F147" s="33" t="str">
        <f t="shared" si="20"/>
        <v/>
      </c>
      <c r="G147" s="33" t="str">
        <f t="shared" si="25"/>
        <v/>
      </c>
      <c r="H147" s="33" t="str">
        <f t="shared" si="34"/>
        <v/>
      </c>
      <c r="I147" s="33" t="str">
        <f t="shared" si="42"/>
        <v/>
      </c>
      <c r="J147" s="33" t="str">
        <f t="shared" si="43"/>
        <v/>
      </c>
      <c r="K147" s="33" t="str">
        <f t="shared" si="44"/>
        <v/>
      </c>
    </row>
    <row r="148" ht="15.75" customHeight="1">
      <c r="C148" s="19" t="str">
        <f>PV!C148</f>
        <v>-</v>
      </c>
      <c r="D148" s="33"/>
      <c r="E148" s="33" t="str">
        <f t="shared" si="10"/>
        <v/>
      </c>
      <c r="F148" s="33" t="str">
        <f t="shared" si="20"/>
        <v/>
      </c>
      <c r="G148" s="33" t="str">
        <f t="shared" si="25"/>
        <v/>
      </c>
      <c r="H148" s="33" t="str">
        <f t="shared" si="34"/>
        <v/>
      </c>
      <c r="I148" s="33" t="str">
        <f t="shared" si="42"/>
        <v/>
      </c>
      <c r="J148" s="33" t="str">
        <f t="shared" si="43"/>
        <v/>
      </c>
      <c r="K148" s="33" t="str">
        <f t="shared" si="44"/>
        <v/>
      </c>
    </row>
    <row r="149" ht="15.75" customHeight="1">
      <c r="C149" s="19" t="str">
        <f>PV!C149</f>
        <v>-</v>
      </c>
      <c r="D149" s="33"/>
      <c r="E149" s="33" t="str">
        <f t="shared" si="10"/>
        <v/>
      </c>
      <c r="F149" s="33" t="str">
        <f t="shared" si="20"/>
        <v/>
      </c>
      <c r="G149" s="33" t="str">
        <f t="shared" si="25"/>
        <v/>
      </c>
      <c r="H149" s="33" t="str">
        <f t="shared" si="34"/>
        <v/>
      </c>
      <c r="I149" s="33" t="str">
        <f t="shared" si="42"/>
        <v/>
      </c>
      <c r="J149" s="33" t="str">
        <f t="shared" si="43"/>
        <v/>
      </c>
      <c r="K149" s="33" t="str">
        <f t="shared" si="44"/>
        <v/>
      </c>
    </row>
    <row r="150" ht="15.75" customHeight="1">
      <c r="C150" s="19" t="str">
        <f>PV!C150</f>
        <v>-</v>
      </c>
      <c r="D150" s="33"/>
      <c r="E150" s="33" t="str">
        <f t="shared" si="10"/>
        <v/>
      </c>
      <c r="F150" s="33" t="str">
        <f t="shared" si="20"/>
        <v/>
      </c>
      <c r="G150" s="33" t="str">
        <f t="shared" si="25"/>
        <v/>
      </c>
      <c r="H150" s="33" t="str">
        <f t="shared" si="34"/>
        <v/>
      </c>
      <c r="I150" s="33" t="str">
        <f t="shared" si="42"/>
        <v/>
      </c>
      <c r="J150" s="33" t="str">
        <f t="shared" si="43"/>
        <v/>
      </c>
      <c r="K150" s="33" t="str">
        <f t="shared" si="44"/>
        <v/>
      </c>
    </row>
    <row r="151" ht="15.75" customHeight="1">
      <c r="C151" s="19" t="str">
        <f>PV!C151</f>
        <v>-</v>
      </c>
      <c r="D151" s="33"/>
      <c r="E151" s="33" t="str">
        <f t="shared" si="10"/>
        <v/>
      </c>
      <c r="F151" s="33" t="str">
        <f t="shared" si="20"/>
        <v/>
      </c>
      <c r="G151" s="33" t="str">
        <f t="shared" si="25"/>
        <v/>
      </c>
      <c r="H151" s="33" t="str">
        <f t="shared" si="34"/>
        <v/>
      </c>
      <c r="I151" s="33" t="str">
        <f t="shared" si="42"/>
        <v/>
      </c>
      <c r="J151" s="33" t="str">
        <f t="shared" si="43"/>
        <v/>
      </c>
      <c r="K151" s="33" t="str">
        <f t="shared" si="44"/>
        <v/>
      </c>
    </row>
    <row r="152" ht="15.75" customHeight="1">
      <c r="C152" s="19" t="str">
        <f>PV!C152</f>
        <v>-</v>
      </c>
      <c r="D152" s="33"/>
      <c r="E152" s="33" t="str">
        <f t="shared" si="10"/>
        <v/>
      </c>
      <c r="F152" s="33" t="str">
        <f t="shared" si="20"/>
        <v/>
      </c>
      <c r="G152" s="33" t="str">
        <f t="shared" si="25"/>
        <v/>
      </c>
      <c r="H152" s="33" t="str">
        <f t="shared" si="34"/>
        <v/>
      </c>
      <c r="I152" s="33" t="str">
        <f t="shared" si="42"/>
        <v/>
      </c>
      <c r="J152" s="33" t="str">
        <f t="shared" si="43"/>
        <v/>
      </c>
      <c r="K152" s="33" t="str">
        <f t="shared" si="44"/>
        <v/>
      </c>
    </row>
    <row r="153" ht="15.75" customHeight="1">
      <c r="C153" s="19" t="str">
        <f>PV!C153</f>
        <v>-</v>
      </c>
      <c r="D153" s="33"/>
      <c r="E153" s="33" t="str">
        <f t="shared" si="10"/>
        <v/>
      </c>
      <c r="F153" s="33" t="str">
        <f t="shared" si="20"/>
        <v/>
      </c>
      <c r="G153" s="33" t="str">
        <f t="shared" si="25"/>
        <v/>
      </c>
      <c r="H153" s="33" t="str">
        <f t="shared" si="34"/>
        <v/>
      </c>
      <c r="I153" s="33" t="str">
        <f t="shared" si="42"/>
        <v/>
      </c>
      <c r="J153" s="33" t="str">
        <f t="shared" si="43"/>
        <v/>
      </c>
      <c r="K153" s="33" t="str">
        <f t="shared" si="44"/>
        <v/>
      </c>
    </row>
    <row r="154" ht="15.75" customHeight="1">
      <c r="C154" s="19" t="str">
        <f>PV!C154</f>
        <v>-</v>
      </c>
      <c r="D154" s="33"/>
      <c r="E154" s="33" t="str">
        <f t="shared" si="10"/>
        <v/>
      </c>
      <c r="F154" s="33" t="str">
        <f t="shared" si="20"/>
        <v/>
      </c>
      <c r="G154" s="33" t="str">
        <f t="shared" si="25"/>
        <v/>
      </c>
      <c r="H154" s="33" t="str">
        <f t="shared" si="34"/>
        <v/>
      </c>
      <c r="I154" s="33" t="str">
        <f t="shared" si="42"/>
        <v/>
      </c>
      <c r="J154" s="33" t="str">
        <f t="shared" si="43"/>
        <v/>
      </c>
      <c r="K154" s="33" t="str">
        <f t="shared" si="44"/>
        <v/>
      </c>
    </row>
    <row r="155" ht="15.75" customHeight="1">
      <c r="C155" s="19" t="str">
        <f>PV!C155</f>
        <v>-</v>
      </c>
      <c r="D155" s="33"/>
      <c r="E155" s="33" t="str">
        <f t="shared" si="10"/>
        <v/>
      </c>
      <c r="F155" s="33" t="str">
        <f t="shared" si="20"/>
        <v/>
      </c>
      <c r="G155" s="33" t="str">
        <f t="shared" si="25"/>
        <v/>
      </c>
      <c r="H155" s="33" t="str">
        <f t="shared" si="34"/>
        <v/>
      </c>
      <c r="I155" s="33" t="str">
        <f t="shared" si="42"/>
        <v/>
      </c>
      <c r="J155" s="33" t="str">
        <f t="shared" si="43"/>
        <v/>
      </c>
      <c r="K155" s="33" t="str">
        <f t="shared" si="44"/>
        <v/>
      </c>
    </row>
    <row r="156" ht="15.75" customHeight="1">
      <c r="C156" s="19" t="str">
        <f>PV!C156</f>
        <v>-</v>
      </c>
      <c r="D156" s="33"/>
      <c r="E156" s="33" t="str">
        <f t="shared" si="10"/>
        <v/>
      </c>
      <c r="F156" s="33" t="str">
        <f t="shared" si="20"/>
        <v/>
      </c>
      <c r="G156" s="33" t="str">
        <f t="shared" si="25"/>
        <v/>
      </c>
      <c r="H156" s="33" t="str">
        <f t="shared" si="34"/>
        <v/>
      </c>
      <c r="I156" s="33" t="str">
        <f t="shared" si="42"/>
        <v/>
      </c>
      <c r="J156" s="33" t="str">
        <f t="shared" si="43"/>
        <v/>
      </c>
      <c r="K156" s="33" t="str">
        <f t="shared" si="44"/>
        <v/>
      </c>
    </row>
    <row r="157" ht="15.75" customHeight="1">
      <c r="C157" s="19" t="str">
        <f>PV!C157</f>
        <v>-</v>
      </c>
      <c r="D157" s="33"/>
      <c r="E157" s="33" t="str">
        <f t="shared" si="10"/>
        <v/>
      </c>
      <c r="F157" s="33" t="str">
        <f t="shared" si="20"/>
        <v/>
      </c>
      <c r="G157" s="33" t="str">
        <f t="shared" si="25"/>
        <v/>
      </c>
      <c r="H157" s="33" t="str">
        <f t="shared" si="34"/>
        <v/>
      </c>
      <c r="I157" s="33" t="str">
        <f t="shared" si="42"/>
        <v/>
      </c>
      <c r="J157" s="33" t="str">
        <f t="shared" si="43"/>
        <v/>
      </c>
      <c r="K157" s="33" t="str">
        <f t="shared" si="44"/>
        <v/>
      </c>
    </row>
    <row r="158" ht="15.75" customHeight="1">
      <c r="C158" s="19" t="str">
        <f>PV!C158</f>
        <v>-</v>
      </c>
      <c r="D158" s="33"/>
      <c r="E158" s="33" t="str">
        <f t="shared" si="10"/>
        <v/>
      </c>
      <c r="F158" s="33" t="str">
        <f t="shared" si="20"/>
        <v/>
      </c>
      <c r="G158" s="33" t="str">
        <f t="shared" si="25"/>
        <v/>
      </c>
      <c r="H158" s="33" t="str">
        <f t="shared" si="34"/>
        <v/>
      </c>
      <c r="I158" s="33" t="str">
        <f t="shared" si="42"/>
        <v/>
      </c>
      <c r="J158" s="33" t="str">
        <f t="shared" si="43"/>
        <v/>
      </c>
      <c r="K158" s="33" t="str">
        <f t="shared" si="44"/>
        <v/>
      </c>
    </row>
    <row r="159" ht="15.75" customHeight="1">
      <c r="C159" s="19" t="str">
        <f>PV!C159</f>
        <v>-</v>
      </c>
      <c r="D159" s="33"/>
      <c r="E159" s="33" t="str">
        <f t="shared" si="10"/>
        <v/>
      </c>
      <c r="F159" s="33" t="str">
        <f t="shared" si="20"/>
        <v/>
      </c>
      <c r="G159" s="33" t="str">
        <f t="shared" si="25"/>
        <v/>
      </c>
      <c r="H159" s="33" t="str">
        <f t="shared" si="34"/>
        <v/>
      </c>
      <c r="I159" s="33" t="str">
        <f t="shared" si="42"/>
        <v/>
      </c>
      <c r="J159" s="33" t="str">
        <f t="shared" si="43"/>
        <v/>
      </c>
      <c r="K159" s="33" t="str">
        <f t="shared" si="44"/>
        <v/>
      </c>
    </row>
    <row r="160" ht="15.75" customHeight="1">
      <c r="C160" s="19" t="str">
        <f>PV!C160</f>
        <v>-</v>
      </c>
      <c r="D160" s="33"/>
      <c r="E160" s="33" t="str">
        <f t="shared" si="10"/>
        <v/>
      </c>
      <c r="F160" s="33" t="str">
        <f t="shared" si="20"/>
        <v/>
      </c>
      <c r="G160" s="33" t="str">
        <f t="shared" si="25"/>
        <v/>
      </c>
      <c r="H160" s="33" t="str">
        <f t="shared" si="34"/>
        <v/>
      </c>
      <c r="I160" s="33" t="str">
        <f t="shared" si="42"/>
        <v/>
      </c>
      <c r="J160" s="33" t="str">
        <f t="shared" si="43"/>
        <v/>
      </c>
      <c r="K160" s="33" t="str">
        <f t="shared" si="44"/>
        <v/>
      </c>
    </row>
    <row r="161" ht="15.75" customHeight="1">
      <c r="C161" s="19" t="str">
        <f>PV!C161</f>
        <v>-</v>
      </c>
      <c r="D161" s="33"/>
      <c r="E161" s="33" t="str">
        <f t="shared" si="10"/>
        <v/>
      </c>
      <c r="F161" s="33" t="str">
        <f t="shared" si="20"/>
        <v/>
      </c>
      <c r="G161" s="33" t="str">
        <f t="shared" si="25"/>
        <v/>
      </c>
      <c r="H161" s="33" t="str">
        <f t="shared" si="34"/>
        <v/>
      </c>
      <c r="I161" s="33" t="str">
        <f t="shared" si="42"/>
        <v/>
      </c>
      <c r="J161" s="33" t="str">
        <f t="shared" si="43"/>
        <v/>
      </c>
      <c r="K161" s="33" t="str">
        <f t="shared" si="44"/>
        <v/>
      </c>
    </row>
    <row r="162" ht="15.75" customHeight="1">
      <c r="C162" s="19" t="str">
        <f>PV!C162</f>
        <v>-</v>
      </c>
      <c r="D162" s="33"/>
      <c r="E162" s="33" t="str">
        <f t="shared" si="10"/>
        <v/>
      </c>
      <c r="F162" s="33" t="str">
        <f t="shared" si="20"/>
        <v/>
      </c>
      <c r="G162" s="33" t="str">
        <f t="shared" si="25"/>
        <v/>
      </c>
      <c r="H162" s="33" t="str">
        <f t="shared" si="34"/>
        <v/>
      </c>
      <c r="I162" s="33" t="str">
        <f t="shared" si="42"/>
        <v/>
      </c>
      <c r="J162" s="33" t="str">
        <f t="shared" si="43"/>
        <v/>
      </c>
      <c r="K162" s="33" t="str">
        <f t="shared" si="44"/>
        <v/>
      </c>
    </row>
    <row r="163" ht="15.75" customHeight="1">
      <c r="C163" s="19" t="str">
        <f>PV!C163</f>
        <v>-</v>
      </c>
      <c r="D163" s="33"/>
      <c r="E163" s="33" t="str">
        <f t="shared" si="10"/>
        <v/>
      </c>
      <c r="F163" s="33" t="str">
        <f t="shared" si="20"/>
        <v/>
      </c>
      <c r="G163" s="33" t="str">
        <f t="shared" si="25"/>
        <v/>
      </c>
      <c r="H163" s="33" t="str">
        <f t="shared" si="34"/>
        <v/>
      </c>
      <c r="I163" s="33" t="str">
        <f t="shared" si="42"/>
        <v/>
      </c>
      <c r="J163" s="33" t="str">
        <f t="shared" si="43"/>
        <v/>
      </c>
      <c r="K163" s="33" t="str">
        <f t="shared" si="44"/>
        <v/>
      </c>
    </row>
    <row r="164" ht="15.75" customHeight="1">
      <c r="C164" s="19" t="str">
        <f>PV!C164</f>
        <v>-</v>
      </c>
      <c r="D164" s="33"/>
      <c r="E164" s="33" t="str">
        <f t="shared" si="10"/>
        <v/>
      </c>
      <c r="F164" s="33" t="str">
        <f t="shared" si="20"/>
        <v/>
      </c>
      <c r="G164" s="33" t="str">
        <f t="shared" si="25"/>
        <v/>
      </c>
      <c r="H164" s="33" t="str">
        <f t="shared" si="34"/>
        <v/>
      </c>
      <c r="I164" s="33" t="str">
        <f t="shared" si="42"/>
        <v/>
      </c>
      <c r="J164" s="33" t="str">
        <f t="shared" si="43"/>
        <v/>
      </c>
      <c r="K164" s="33" t="str">
        <f t="shared" si="44"/>
        <v/>
      </c>
    </row>
    <row r="165" ht="15.75" customHeight="1">
      <c r="C165" s="19" t="str">
        <f>PV!C165</f>
        <v>-</v>
      </c>
      <c r="D165" s="33"/>
      <c r="E165" s="33" t="str">
        <f t="shared" si="10"/>
        <v/>
      </c>
      <c r="F165" s="33" t="str">
        <f t="shared" si="20"/>
        <v/>
      </c>
      <c r="G165" s="33" t="str">
        <f t="shared" si="25"/>
        <v/>
      </c>
      <c r="H165" s="33" t="str">
        <f t="shared" si="34"/>
        <v/>
      </c>
      <c r="I165" s="33" t="str">
        <f t="shared" si="42"/>
        <v/>
      </c>
      <c r="J165" s="33" t="str">
        <f t="shared" si="43"/>
        <v/>
      </c>
      <c r="K165" s="33" t="str">
        <f t="shared" si="44"/>
        <v/>
      </c>
    </row>
    <row r="166" ht="15.75" customHeight="1">
      <c r="C166" s="19" t="str">
        <f>PV!C166</f>
        <v>-</v>
      </c>
      <c r="D166" s="33"/>
      <c r="E166" s="33" t="str">
        <f t="shared" si="10"/>
        <v/>
      </c>
      <c r="F166" s="33" t="str">
        <f t="shared" si="20"/>
        <v/>
      </c>
      <c r="G166" s="33" t="str">
        <f t="shared" si="25"/>
        <v/>
      </c>
      <c r="H166" s="33" t="str">
        <f t="shared" si="34"/>
        <v/>
      </c>
      <c r="I166" s="33" t="str">
        <f t="shared" si="42"/>
        <v/>
      </c>
      <c r="J166" s="33" t="str">
        <f t="shared" si="43"/>
        <v/>
      </c>
      <c r="K166" s="33" t="str">
        <f t="shared" si="44"/>
        <v/>
      </c>
    </row>
    <row r="167" ht="15.75" customHeight="1">
      <c r="C167" s="19" t="str">
        <f>PV!C167</f>
        <v>-</v>
      </c>
      <c r="D167" s="33"/>
      <c r="E167" s="33" t="str">
        <f t="shared" si="10"/>
        <v/>
      </c>
      <c r="F167" s="33" t="str">
        <f t="shared" si="20"/>
        <v/>
      </c>
      <c r="G167" s="33" t="str">
        <f t="shared" si="25"/>
        <v/>
      </c>
      <c r="H167" s="33" t="str">
        <f t="shared" si="34"/>
        <v/>
      </c>
      <c r="I167" s="33" t="str">
        <f t="shared" si="42"/>
        <v/>
      </c>
      <c r="J167" s="33" t="str">
        <f t="shared" si="43"/>
        <v/>
      </c>
      <c r="K167" s="33" t="str">
        <f t="shared" si="44"/>
        <v/>
      </c>
    </row>
    <row r="168" ht="15.75" customHeight="1">
      <c r="C168" s="19" t="str">
        <f>PV!C168</f>
        <v>-</v>
      </c>
      <c r="D168" s="33"/>
      <c r="E168" s="33" t="str">
        <f t="shared" si="10"/>
        <v/>
      </c>
      <c r="F168" s="33" t="str">
        <f t="shared" si="20"/>
        <v/>
      </c>
      <c r="G168" s="33" t="str">
        <f t="shared" si="25"/>
        <v/>
      </c>
      <c r="H168" s="33" t="str">
        <f t="shared" si="34"/>
        <v/>
      </c>
      <c r="I168" s="33" t="str">
        <f t="shared" si="42"/>
        <v/>
      </c>
      <c r="J168" s="33" t="str">
        <f t="shared" si="43"/>
        <v/>
      </c>
      <c r="K168" s="33" t="str">
        <f t="shared" si="44"/>
        <v/>
      </c>
    </row>
    <row r="169" ht="15.75" customHeight="1">
      <c r="C169" s="19" t="str">
        <f>PV!C169</f>
        <v>-</v>
      </c>
      <c r="D169" s="33"/>
      <c r="E169" s="33" t="str">
        <f t="shared" si="10"/>
        <v/>
      </c>
      <c r="F169" s="33" t="str">
        <f t="shared" si="20"/>
        <v/>
      </c>
      <c r="G169" s="33" t="str">
        <f t="shared" si="25"/>
        <v/>
      </c>
      <c r="H169" s="33" t="str">
        <f t="shared" si="34"/>
        <v/>
      </c>
      <c r="I169" s="33" t="str">
        <f t="shared" si="42"/>
        <v/>
      </c>
      <c r="J169" s="33" t="str">
        <f t="shared" si="43"/>
        <v/>
      </c>
      <c r="K169" s="33" t="str">
        <f t="shared" si="44"/>
        <v/>
      </c>
    </row>
    <row r="170" ht="15.75" customHeight="1">
      <c r="C170" s="19" t="str">
        <f>PV!C170</f>
        <v>-</v>
      </c>
      <c r="D170" s="33"/>
      <c r="E170" s="33" t="str">
        <f t="shared" si="10"/>
        <v/>
      </c>
      <c r="F170" s="33" t="str">
        <f t="shared" si="20"/>
        <v/>
      </c>
      <c r="G170" s="33" t="str">
        <f t="shared" si="25"/>
        <v/>
      </c>
      <c r="H170" s="33" t="str">
        <f t="shared" si="34"/>
        <v/>
      </c>
      <c r="I170" s="33" t="str">
        <f t="shared" si="42"/>
        <v/>
      </c>
      <c r="J170" s="33" t="str">
        <f t="shared" si="43"/>
        <v/>
      </c>
      <c r="K170" s="33" t="str">
        <f t="shared" si="44"/>
        <v/>
      </c>
    </row>
    <row r="171" ht="15.75" customHeight="1">
      <c r="C171" s="19" t="str">
        <f>PV!C171</f>
        <v>-</v>
      </c>
      <c r="D171" s="33"/>
      <c r="E171" s="33" t="str">
        <f t="shared" si="10"/>
        <v/>
      </c>
      <c r="F171" s="33" t="str">
        <f t="shared" si="20"/>
        <v/>
      </c>
      <c r="G171" s="33" t="str">
        <f t="shared" si="25"/>
        <v/>
      </c>
      <c r="H171" s="33" t="str">
        <f t="shared" si="34"/>
        <v/>
      </c>
      <c r="I171" s="33" t="str">
        <f t="shared" si="42"/>
        <v/>
      </c>
      <c r="J171" s="33" t="str">
        <f t="shared" si="43"/>
        <v/>
      </c>
      <c r="K171" s="33" t="str">
        <f t="shared" si="44"/>
        <v/>
      </c>
    </row>
    <row r="172" ht="15.75" customHeight="1">
      <c r="C172" s="19" t="str">
        <f>PV!C172</f>
        <v>-</v>
      </c>
      <c r="D172" s="33"/>
      <c r="E172" s="33" t="str">
        <f t="shared" si="10"/>
        <v/>
      </c>
      <c r="F172" s="33" t="str">
        <f t="shared" si="20"/>
        <v/>
      </c>
      <c r="G172" s="33" t="str">
        <f t="shared" si="25"/>
        <v/>
      </c>
      <c r="H172" s="33" t="str">
        <f t="shared" si="34"/>
        <v/>
      </c>
      <c r="I172" s="33" t="str">
        <f t="shared" si="42"/>
        <v/>
      </c>
      <c r="J172" s="33" t="str">
        <f t="shared" si="43"/>
        <v/>
      </c>
      <c r="K172" s="33" t="str">
        <f t="shared" si="44"/>
        <v/>
      </c>
    </row>
    <row r="173" ht="15.75" customHeight="1">
      <c r="C173" s="19" t="str">
        <f>PV!C173</f>
        <v>-</v>
      </c>
      <c r="D173" s="33"/>
      <c r="E173" s="33" t="str">
        <f t="shared" si="10"/>
        <v/>
      </c>
      <c r="F173" s="33" t="str">
        <f t="shared" si="20"/>
        <v/>
      </c>
      <c r="G173" s="33" t="str">
        <f t="shared" si="25"/>
        <v/>
      </c>
      <c r="H173" s="33" t="str">
        <f t="shared" si="34"/>
        <v/>
      </c>
      <c r="I173" s="33" t="str">
        <f t="shared" si="42"/>
        <v/>
      </c>
      <c r="J173" s="33" t="str">
        <f t="shared" si="43"/>
        <v/>
      </c>
      <c r="K173" s="33" t="str">
        <f t="shared" si="44"/>
        <v/>
      </c>
    </row>
    <row r="174" ht="15.75" customHeight="1">
      <c r="C174" s="19" t="str">
        <f>PV!C174</f>
        <v>-</v>
      </c>
      <c r="D174" s="33"/>
      <c r="E174" s="33" t="str">
        <f t="shared" si="10"/>
        <v/>
      </c>
      <c r="F174" s="33" t="str">
        <f t="shared" si="20"/>
        <v/>
      </c>
      <c r="G174" s="33" t="str">
        <f t="shared" si="25"/>
        <v/>
      </c>
      <c r="H174" s="33" t="str">
        <f t="shared" si="34"/>
        <v/>
      </c>
      <c r="I174" s="33" t="str">
        <f t="shared" si="42"/>
        <v/>
      </c>
      <c r="J174" s="33" t="str">
        <f t="shared" si="43"/>
        <v/>
      </c>
      <c r="K174" s="33" t="str">
        <f t="shared" si="44"/>
        <v/>
      </c>
    </row>
    <row r="175" ht="15.75" customHeight="1">
      <c r="C175" s="19" t="str">
        <f>PV!C175</f>
        <v>-</v>
      </c>
      <c r="D175" s="33"/>
      <c r="E175" s="33" t="str">
        <f t="shared" si="10"/>
        <v/>
      </c>
      <c r="F175" s="33" t="str">
        <f t="shared" si="20"/>
        <v/>
      </c>
      <c r="G175" s="33" t="str">
        <f t="shared" si="25"/>
        <v/>
      </c>
      <c r="H175" s="33" t="str">
        <f t="shared" si="34"/>
        <v/>
      </c>
      <c r="I175" s="33" t="str">
        <f t="shared" si="42"/>
        <v/>
      </c>
      <c r="J175" s="33" t="str">
        <f t="shared" si="43"/>
        <v/>
      </c>
      <c r="K175" s="33" t="str">
        <f t="shared" si="44"/>
        <v/>
      </c>
    </row>
    <row r="176" ht="15.75" customHeight="1">
      <c r="C176" s="19" t="str">
        <f>PV!C176</f>
        <v>-</v>
      </c>
      <c r="D176" s="33"/>
      <c r="E176" s="33" t="str">
        <f t="shared" si="10"/>
        <v/>
      </c>
      <c r="F176" s="33" t="str">
        <f t="shared" si="20"/>
        <v/>
      </c>
      <c r="G176" s="33" t="str">
        <f t="shared" si="25"/>
        <v/>
      </c>
      <c r="H176" s="33" t="str">
        <f t="shared" si="34"/>
        <v/>
      </c>
      <c r="I176" s="33" t="str">
        <f t="shared" si="42"/>
        <v/>
      </c>
      <c r="J176" s="33" t="str">
        <f t="shared" si="43"/>
        <v/>
      </c>
      <c r="K176" s="33" t="str">
        <f t="shared" si="44"/>
        <v/>
      </c>
    </row>
    <row r="177" ht="15.75" customHeight="1">
      <c r="C177" s="19" t="str">
        <f>PV!C177</f>
        <v>-</v>
      </c>
      <c r="D177" s="33"/>
      <c r="E177" s="33" t="str">
        <f t="shared" si="10"/>
        <v/>
      </c>
      <c r="F177" s="33" t="str">
        <f t="shared" si="20"/>
        <v/>
      </c>
      <c r="G177" s="33" t="str">
        <f t="shared" si="25"/>
        <v/>
      </c>
      <c r="H177" s="33" t="str">
        <f t="shared" si="34"/>
        <v/>
      </c>
      <c r="I177" s="33" t="str">
        <f t="shared" si="42"/>
        <v/>
      </c>
      <c r="J177" s="33" t="str">
        <f t="shared" si="43"/>
        <v/>
      </c>
      <c r="K177" s="33" t="str">
        <f t="shared" si="44"/>
        <v/>
      </c>
    </row>
    <row r="178" ht="15.75" customHeight="1">
      <c r="C178" s="19" t="str">
        <f>PV!C178</f>
        <v>-</v>
      </c>
      <c r="D178" s="33"/>
      <c r="E178" s="33" t="str">
        <f t="shared" si="10"/>
        <v/>
      </c>
      <c r="F178" s="33" t="str">
        <f t="shared" si="20"/>
        <v/>
      </c>
      <c r="G178" s="33" t="str">
        <f t="shared" si="25"/>
        <v/>
      </c>
      <c r="H178" s="33" t="str">
        <f t="shared" si="34"/>
        <v/>
      </c>
      <c r="I178" s="33" t="str">
        <f t="shared" si="42"/>
        <v/>
      </c>
      <c r="J178" s="33" t="str">
        <f t="shared" si="43"/>
        <v/>
      </c>
      <c r="K178" s="33" t="str">
        <f t="shared" si="44"/>
        <v/>
      </c>
    </row>
    <row r="179" ht="15.75" customHeight="1">
      <c r="C179" s="19" t="str">
        <f>PV!C179</f>
        <v>-</v>
      </c>
      <c r="D179" s="33"/>
      <c r="E179" s="33" t="str">
        <f t="shared" si="10"/>
        <v/>
      </c>
      <c r="F179" s="33" t="str">
        <f t="shared" si="20"/>
        <v/>
      </c>
      <c r="G179" s="33" t="str">
        <f t="shared" si="25"/>
        <v/>
      </c>
      <c r="H179" s="33" t="str">
        <f t="shared" si="34"/>
        <v/>
      </c>
      <c r="I179" s="33" t="str">
        <f t="shared" si="42"/>
        <v/>
      </c>
      <c r="J179" s="33" t="str">
        <f t="shared" si="43"/>
        <v/>
      </c>
      <c r="K179" s="33" t="str">
        <f t="shared" si="44"/>
        <v/>
      </c>
    </row>
    <row r="180" ht="15.75" customHeight="1">
      <c r="C180" s="19" t="str">
        <f>PV!C180</f>
        <v>-</v>
      </c>
      <c r="D180" s="33"/>
      <c r="E180" s="33" t="str">
        <f t="shared" si="10"/>
        <v/>
      </c>
      <c r="F180" s="33" t="str">
        <f t="shared" si="20"/>
        <v/>
      </c>
      <c r="G180" s="33" t="str">
        <f t="shared" si="25"/>
        <v/>
      </c>
      <c r="H180" s="33" t="str">
        <f t="shared" si="34"/>
        <v/>
      </c>
      <c r="I180" s="33" t="str">
        <f t="shared" si="42"/>
        <v/>
      </c>
      <c r="J180" s="33" t="str">
        <f t="shared" si="43"/>
        <v/>
      </c>
      <c r="K180" s="33" t="str">
        <f t="shared" si="44"/>
        <v/>
      </c>
    </row>
    <row r="181" ht="15.75" customHeight="1">
      <c r="C181" s="19" t="str">
        <f>PV!C181</f>
        <v>-</v>
      </c>
      <c r="D181" s="33"/>
      <c r="E181" s="33" t="str">
        <f t="shared" si="10"/>
        <v/>
      </c>
      <c r="F181" s="33" t="str">
        <f t="shared" si="20"/>
        <v/>
      </c>
      <c r="G181" s="33" t="str">
        <f t="shared" si="25"/>
        <v/>
      </c>
      <c r="H181" s="33" t="str">
        <f t="shared" si="34"/>
        <v/>
      </c>
      <c r="I181" s="33" t="str">
        <f t="shared" si="42"/>
        <v/>
      </c>
      <c r="J181" s="33" t="str">
        <f t="shared" si="43"/>
        <v/>
      </c>
      <c r="K181" s="33" t="str">
        <f t="shared" si="44"/>
        <v/>
      </c>
    </row>
    <row r="182" ht="15.75" customHeight="1">
      <c r="C182" s="19" t="str">
        <f>PV!C182</f>
        <v>-</v>
      </c>
      <c r="D182" s="33"/>
      <c r="E182" s="33" t="str">
        <f t="shared" si="10"/>
        <v/>
      </c>
      <c r="F182" s="33" t="str">
        <f t="shared" si="20"/>
        <v/>
      </c>
      <c r="G182" s="33" t="str">
        <f t="shared" si="25"/>
        <v/>
      </c>
      <c r="H182" s="33" t="str">
        <f t="shared" si="34"/>
        <v/>
      </c>
      <c r="I182" s="33" t="str">
        <f t="shared" si="42"/>
        <v/>
      </c>
      <c r="J182" s="33" t="str">
        <f t="shared" si="43"/>
        <v/>
      </c>
      <c r="K182" s="33" t="str">
        <f t="shared" si="44"/>
        <v/>
      </c>
    </row>
    <row r="183" ht="15.75" customHeight="1">
      <c r="C183" s="19" t="str">
        <f>PV!C183</f>
        <v>-</v>
      </c>
      <c r="D183" s="33"/>
      <c r="E183" s="33" t="str">
        <f t="shared" si="10"/>
        <v/>
      </c>
      <c r="F183" s="33" t="str">
        <f t="shared" si="20"/>
        <v/>
      </c>
      <c r="G183" s="33" t="str">
        <f t="shared" si="25"/>
        <v/>
      </c>
      <c r="H183" s="33" t="str">
        <f t="shared" si="34"/>
        <v/>
      </c>
      <c r="I183" s="33" t="str">
        <f t="shared" si="42"/>
        <v/>
      </c>
      <c r="J183" s="33" t="str">
        <f t="shared" si="43"/>
        <v/>
      </c>
      <c r="K183" s="33" t="str">
        <f t="shared" si="44"/>
        <v/>
      </c>
    </row>
    <row r="184" ht="15.75" customHeight="1">
      <c r="C184" s="19" t="str">
        <f>PV!C184</f>
        <v>-</v>
      </c>
      <c r="D184" s="33"/>
      <c r="E184" s="33" t="str">
        <f t="shared" si="10"/>
        <v/>
      </c>
      <c r="F184" s="33" t="str">
        <f t="shared" si="20"/>
        <v/>
      </c>
      <c r="G184" s="33" t="str">
        <f t="shared" si="25"/>
        <v/>
      </c>
      <c r="H184" s="33" t="str">
        <f t="shared" si="34"/>
        <v/>
      </c>
      <c r="I184" s="33" t="str">
        <f t="shared" si="42"/>
        <v/>
      </c>
      <c r="J184" s="33" t="str">
        <f t="shared" si="43"/>
        <v/>
      </c>
      <c r="K184" s="33" t="str">
        <f t="shared" si="44"/>
        <v/>
      </c>
    </row>
    <row r="185" ht="15.75" customHeight="1">
      <c r="C185" s="19" t="str">
        <f>PV!C185</f>
        <v>-</v>
      </c>
      <c r="D185" s="33"/>
      <c r="E185" s="33" t="str">
        <f t="shared" si="10"/>
        <v/>
      </c>
      <c r="F185" s="33" t="str">
        <f t="shared" si="20"/>
        <v/>
      </c>
      <c r="G185" s="33" t="str">
        <f t="shared" si="25"/>
        <v/>
      </c>
      <c r="H185" s="33" t="str">
        <f t="shared" si="34"/>
        <v/>
      </c>
      <c r="I185" s="33" t="str">
        <f t="shared" si="42"/>
        <v/>
      </c>
      <c r="J185" s="33" t="str">
        <f t="shared" si="43"/>
        <v/>
      </c>
      <c r="K185" s="33" t="str">
        <f t="shared" si="44"/>
        <v/>
      </c>
    </row>
    <row r="186" ht="15.75" customHeight="1">
      <c r="C186" s="19" t="str">
        <f>PV!C186</f>
        <v>-</v>
      </c>
      <c r="D186" s="33"/>
      <c r="E186" s="33" t="str">
        <f t="shared" si="10"/>
        <v/>
      </c>
      <c r="F186" s="33" t="str">
        <f t="shared" si="20"/>
        <v/>
      </c>
      <c r="G186" s="33" t="str">
        <f t="shared" si="25"/>
        <v/>
      </c>
      <c r="H186" s="33" t="str">
        <f t="shared" si="34"/>
        <v/>
      </c>
      <c r="I186" s="33" t="str">
        <f t="shared" si="42"/>
        <v/>
      </c>
      <c r="J186" s="33" t="str">
        <f t="shared" si="43"/>
        <v/>
      </c>
      <c r="K186" s="33" t="str">
        <f t="shared" si="44"/>
        <v/>
      </c>
    </row>
    <row r="187" ht="15.75" customHeight="1">
      <c r="C187" s="19" t="str">
        <f>PV!C187</f>
        <v>-</v>
      </c>
      <c r="D187" s="33"/>
      <c r="E187" s="33" t="str">
        <f t="shared" si="10"/>
        <v/>
      </c>
      <c r="F187" s="33" t="str">
        <f t="shared" si="20"/>
        <v/>
      </c>
      <c r="G187" s="33" t="str">
        <f t="shared" si="25"/>
        <v/>
      </c>
      <c r="H187" s="33" t="str">
        <f t="shared" si="34"/>
        <v/>
      </c>
      <c r="I187" s="33" t="str">
        <f t="shared" si="42"/>
        <v/>
      </c>
      <c r="J187" s="33" t="str">
        <f t="shared" si="43"/>
        <v/>
      </c>
      <c r="K187" s="33" t="str">
        <f t="shared" si="44"/>
        <v/>
      </c>
    </row>
    <row r="188" ht="15.75" customHeight="1">
      <c r="C188" s="19" t="str">
        <f>PV!C188</f>
        <v>-</v>
      </c>
      <c r="D188" s="33"/>
      <c r="E188" s="33" t="str">
        <f t="shared" si="10"/>
        <v/>
      </c>
      <c r="F188" s="33" t="str">
        <f t="shared" si="20"/>
        <v/>
      </c>
      <c r="G188" s="33" t="str">
        <f t="shared" si="25"/>
        <v/>
      </c>
      <c r="H188" s="33" t="str">
        <f t="shared" si="34"/>
        <v/>
      </c>
      <c r="I188" s="33" t="str">
        <f t="shared" si="42"/>
        <v/>
      </c>
      <c r="J188" s="33" t="str">
        <f t="shared" si="43"/>
        <v/>
      </c>
      <c r="K188" s="33" t="str">
        <f t="shared" si="44"/>
        <v/>
      </c>
    </row>
    <row r="189" ht="15.75" customHeight="1">
      <c r="C189" s="19" t="str">
        <f>PV!C189</f>
        <v>-</v>
      </c>
      <c r="D189" s="33"/>
      <c r="E189" s="33" t="str">
        <f t="shared" si="10"/>
        <v/>
      </c>
      <c r="F189" s="33" t="str">
        <f t="shared" si="20"/>
        <v/>
      </c>
      <c r="G189" s="33" t="str">
        <f t="shared" si="25"/>
        <v/>
      </c>
      <c r="H189" s="33" t="str">
        <f t="shared" si="34"/>
        <v/>
      </c>
      <c r="I189" s="33" t="str">
        <f t="shared" si="42"/>
        <v/>
      </c>
      <c r="J189" s="33" t="str">
        <f t="shared" si="43"/>
        <v/>
      </c>
      <c r="K189" s="33" t="str">
        <f t="shared" si="44"/>
        <v/>
      </c>
    </row>
    <row r="190" ht="15.75" customHeight="1">
      <c r="C190" s="19" t="str">
        <f>PV!C190</f>
        <v>-</v>
      </c>
      <c r="D190" s="33"/>
      <c r="E190" s="33" t="str">
        <f t="shared" si="10"/>
        <v/>
      </c>
      <c r="F190" s="33" t="str">
        <f t="shared" si="20"/>
        <v/>
      </c>
      <c r="G190" s="33" t="str">
        <f t="shared" si="25"/>
        <v/>
      </c>
      <c r="H190" s="33" t="str">
        <f t="shared" si="34"/>
        <v/>
      </c>
      <c r="I190" s="33" t="str">
        <f t="shared" si="42"/>
        <v/>
      </c>
      <c r="J190" s="33" t="str">
        <f t="shared" si="43"/>
        <v/>
      </c>
      <c r="K190" s="33" t="str">
        <f t="shared" si="44"/>
        <v/>
      </c>
    </row>
    <row r="191" ht="15.75" customHeight="1">
      <c r="C191" s="19" t="str">
        <f>PV!C191</f>
        <v>-</v>
      </c>
      <c r="D191" s="33"/>
      <c r="E191" s="33" t="str">
        <f t="shared" si="10"/>
        <v/>
      </c>
      <c r="F191" s="33" t="str">
        <f t="shared" si="20"/>
        <v/>
      </c>
      <c r="G191" s="33" t="str">
        <f t="shared" si="25"/>
        <v/>
      </c>
      <c r="H191" s="33" t="str">
        <f t="shared" si="34"/>
        <v/>
      </c>
      <c r="I191" s="33" t="str">
        <f t="shared" si="42"/>
        <v/>
      </c>
      <c r="J191" s="33" t="str">
        <f t="shared" si="43"/>
        <v/>
      </c>
      <c r="K191" s="33" t="str">
        <f t="shared" si="44"/>
        <v/>
      </c>
    </row>
    <row r="192" ht="15.75" customHeight="1">
      <c r="C192" s="19" t="str">
        <f>PV!C192</f>
        <v>-</v>
      </c>
      <c r="D192" s="33"/>
      <c r="E192" s="33" t="str">
        <f t="shared" si="10"/>
        <v/>
      </c>
      <c r="F192" s="33" t="str">
        <f t="shared" si="20"/>
        <v/>
      </c>
      <c r="G192" s="33" t="str">
        <f t="shared" si="25"/>
        <v/>
      </c>
      <c r="H192" s="33" t="str">
        <f t="shared" si="34"/>
        <v/>
      </c>
      <c r="I192" s="33" t="str">
        <f t="shared" si="42"/>
        <v/>
      </c>
      <c r="J192" s="33" t="str">
        <f t="shared" si="43"/>
        <v/>
      </c>
      <c r="K192" s="33" t="str">
        <f t="shared" si="44"/>
        <v/>
      </c>
    </row>
    <row r="193" ht="15.75" customHeight="1">
      <c r="C193" s="19" t="str">
        <f>PV!C193</f>
        <v>-</v>
      </c>
      <c r="D193" s="33"/>
      <c r="E193" s="33" t="str">
        <f t="shared" si="10"/>
        <v/>
      </c>
      <c r="F193" s="33" t="str">
        <f t="shared" si="20"/>
        <v/>
      </c>
      <c r="G193" s="33" t="str">
        <f t="shared" si="25"/>
        <v/>
      </c>
      <c r="H193" s="33" t="str">
        <f t="shared" si="34"/>
        <v/>
      </c>
      <c r="I193" s="33" t="str">
        <f t="shared" si="42"/>
        <v/>
      </c>
      <c r="J193" s="33" t="str">
        <f t="shared" si="43"/>
        <v/>
      </c>
      <c r="K193" s="33" t="str">
        <f t="shared" si="44"/>
        <v/>
      </c>
    </row>
    <row r="194" ht="15.75" customHeight="1">
      <c r="C194" s="19" t="str">
        <f>PV!C194</f>
        <v>-</v>
      </c>
      <c r="D194" s="33"/>
      <c r="E194" s="33" t="str">
        <f t="shared" si="10"/>
        <v/>
      </c>
      <c r="F194" s="33" t="str">
        <f t="shared" si="20"/>
        <v/>
      </c>
      <c r="G194" s="33" t="str">
        <f t="shared" si="25"/>
        <v/>
      </c>
      <c r="H194" s="33" t="str">
        <f t="shared" si="34"/>
        <v/>
      </c>
      <c r="I194" s="33" t="str">
        <f t="shared" si="42"/>
        <v/>
      </c>
      <c r="J194" s="33" t="str">
        <f t="shared" si="43"/>
        <v/>
      </c>
      <c r="K194" s="33" t="str">
        <f t="shared" si="44"/>
        <v/>
      </c>
    </row>
    <row r="195" ht="15.75" customHeight="1">
      <c r="C195" s="19" t="str">
        <f>PV!C195</f>
        <v>-</v>
      </c>
      <c r="D195" s="33"/>
      <c r="E195" s="33" t="str">
        <f t="shared" si="10"/>
        <v/>
      </c>
      <c r="F195" s="33" t="str">
        <f t="shared" si="20"/>
        <v/>
      </c>
      <c r="G195" s="33" t="str">
        <f t="shared" si="25"/>
        <v/>
      </c>
      <c r="H195" s="33" t="str">
        <f t="shared" si="34"/>
        <v/>
      </c>
      <c r="I195" s="33" t="str">
        <f t="shared" si="42"/>
        <v/>
      </c>
      <c r="J195" s="33" t="str">
        <f t="shared" si="43"/>
        <v/>
      </c>
      <c r="K195" s="33" t="str">
        <f t="shared" si="44"/>
        <v/>
      </c>
    </row>
    <row r="196" ht="15.75" customHeight="1">
      <c r="C196" s="19" t="str">
        <f>PV!C196</f>
        <v>-</v>
      </c>
      <c r="E196" s="33" t="str">
        <f t="shared" si="10"/>
        <v/>
      </c>
      <c r="F196" s="33" t="str">
        <f t="shared" si="20"/>
        <v/>
      </c>
      <c r="G196" s="33" t="str">
        <f t="shared" si="25"/>
        <v/>
      </c>
      <c r="H196" s="33" t="str">
        <f t="shared" si="34"/>
        <v/>
      </c>
      <c r="I196" s="33" t="str">
        <f t="shared" si="42"/>
        <v/>
      </c>
      <c r="J196" s="33" t="str">
        <f t="shared" si="43"/>
        <v/>
      </c>
      <c r="K196" s="33" t="str">
        <f t="shared" si="44"/>
        <v/>
      </c>
    </row>
    <row r="197" ht="15.75" customHeight="1">
      <c r="C197" s="19" t="str">
        <f>PV!C197</f>
        <v>-</v>
      </c>
      <c r="E197" s="33" t="str">
        <f t="shared" si="10"/>
        <v/>
      </c>
      <c r="F197" s="33" t="str">
        <f t="shared" si="20"/>
        <v/>
      </c>
      <c r="G197" s="33" t="str">
        <f t="shared" si="25"/>
        <v/>
      </c>
      <c r="H197" s="33" t="str">
        <f t="shared" si="34"/>
        <v/>
      </c>
      <c r="I197" s="33" t="str">
        <f t="shared" si="42"/>
        <v/>
      </c>
      <c r="J197" s="33" t="str">
        <f t="shared" si="43"/>
        <v/>
      </c>
      <c r="K197" s="33" t="str">
        <f t="shared" si="44"/>
        <v/>
      </c>
    </row>
    <row r="198" ht="15.75" customHeight="1">
      <c r="C198" s="19" t="str">
        <f>PV!C198</f>
        <v>-</v>
      </c>
      <c r="E198" s="33" t="str">
        <f t="shared" si="10"/>
        <v/>
      </c>
      <c r="F198" s="33" t="str">
        <f t="shared" si="20"/>
        <v/>
      </c>
      <c r="G198" s="33" t="str">
        <f t="shared" si="25"/>
        <v/>
      </c>
      <c r="H198" s="33" t="str">
        <f t="shared" si="34"/>
        <v/>
      </c>
      <c r="I198" s="33" t="str">
        <f t="shared" si="42"/>
        <v/>
      </c>
      <c r="J198" s="33" t="str">
        <f t="shared" si="43"/>
        <v/>
      </c>
      <c r="K198" s="33" t="str">
        <f t="shared" si="44"/>
        <v/>
      </c>
    </row>
    <row r="199" ht="15.75" customHeight="1">
      <c r="C199" s="19" t="str">
        <f>PV!C199</f>
        <v>-</v>
      </c>
      <c r="E199" s="33" t="str">
        <f t="shared" si="10"/>
        <v/>
      </c>
      <c r="F199" s="33" t="str">
        <f t="shared" si="20"/>
        <v/>
      </c>
      <c r="G199" s="33" t="str">
        <f t="shared" si="25"/>
        <v/>
      </c>
      <c r="H199" s="33" t="str">
        <f t="shared" si="34"/>
        <v/>
      </c>
      <c r="I199" s="33" t="str">
        <f t="shared" si="42"/>
        <v/>
      </c>
      <c r="J199" s="33" t="str">
        <f t="shared" si="43"/>
        <v/>
      </c>
      <c r="K199" s="33" t="str">
        <f t="shared" si="44"/>
        <v/>
      </c>
    </row>
    <row r="200" ht="15.75" customHeight="1">
      <c r="C200" s="19" t="str">
        <f>PV!C200</f>
        <v>-</v>
      </c>
      <c r="E200" s="33" t="str">
        <f t="shared" si="10"/>
        <v/>
      </c>
      <c r="F200" s="33" t="str">
        <f t="shared" si="20"/>
        <v/>
      </c>
      <c r="G200" s="33" t="str">
        <f t="shared" si="25"/>
        <v/>
      </c>
      <c r="H200" s="33" t="str">
        <f t="shared" si="34"/>
        <v/>
      </c>
      <c r="I200" s="33" t="str">
        <f t="shared" si="42"/>
        <v/>
      </c>
      <c r="J200" s="33" t="str">
        <f t="shared" si="43"/>
        <v/>
      </c>
      <c r="K200" s="33" t="str">
        <f t="shared" si="44"/>
        <v/>
      </c>
    </row>
    <row r="201" ht="15.75" customHeight="1">
      <c r="B201" s="1" t="s">
        <v>61</v>
      </c>
      <c r="C201" s="19"/>
    </row>
    <row r="202" ht="15.75" customHeight="1">
      <c r="C202" s="19"/>
    </row>
    <row r="203" ht="15.75" customHeight="1">
      <c r="C203" s="19"/>
    </row>
    <row r="204" ht="15.75" customHeight="1">
      <c r="C204" s="19"/>
    </row>
    <row r="205" ht="15.75" customHeight="1">
      <c r="C205" s="19"/>
    </row>
    <row r="206" ht="15.75" customHeight="1">
      <c r="C206" s="19"/>
    </row>
    <row r="207" ht="15.75" customHeight="1">
      <c r="C207" s="19"/>
    </row>
    <row r="208" ht="15.75" customHeight="1">
      <c r="C208" s="19"/>
    </row>
    <row r="209" ht="15.75" customHeight="1">
      <c r="C209" s="19"/>
    </row>
    <row r="210" ht="15.75" customHeight="1">
      <c r="C210" s="19"/>
    </row>
    <row r="211" ht="15.75" customHeight="1">
      <c r="C211" s="19"/>
    </row>
    <row r="212" ht="15.75" customHeight="1">
      <c r="C212" s="19"/>
    </row>
    <row r="213" ht="15.75" customHeight="1">
      <c r="C213" s="19"/>
    </row>
    <row r="214" ht="15.75" customHeight="1">
      <c r="C214" s="19"/>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19.0"/>
    <col customWidth="1" min="3" max="7" width="16.67"/>
    <col customWidth="1" min="8" max="26" width="11.0"/>
  </cols>
  <sheetData>
    <row r="1" ht="15.75" customHeight="1">
      <c r="A1" s="3" t="s">
        <v>62</v>
      </c>
    </row>
    <row r="2" ht="15.75" customHeight="1">
      <c r="A2" s="3"/>
    </row>
    <row r="3" ht="15.75" customHeight="1">
      <c r="B3" s="34" t="s">
        <v>63</v>
      </c>
      <c r="C3" s="35" t="s">
        <v>64</v>
      </c>
      <c r="D3" s="35" t="s">
        <v>65</v>
      </c>
      <c r="E3" s="35" t="s">
        <v>66</v>
      </c>
      <c r="F3" s="35" t="s">
        <v>67</v>
      </c>
      <c r="G3" s="35" t="s">
        <v>68</v>
      </c>
      <c r="H3" s="36"/>
      <c r="I3" s="37"/>
    </row>
    <row r="4" ht="15.75" customHeight="1">
      <c r="B4" s="34" t="s">
        <v>69</v>
      </c>
      <c r="C4" s="35" t="s">
        <v>70</v>
      </c>
      <c r="D4" s="35" t="s">
        <v>71</v>
      </c>
      <c r="E4" s="35" t="s">
        <v>72</v>
      </c>
      <c r="F4" s="35" t="s">
        <v>73</v>
      </c>
      <c r="G4" s="35" t="s">
        <v>74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0.5</v>
      </c>
      <c r="D11" s="38">
        <v>0.0</v>
      </c>
      <c r="E11" s="38">
        <v>0.0</v>
      </c>
      <c r="F11" s="38">
        <v>0.0</v>
      </c>
      <c r="G11" s="38">
        <v>0.0</v>
      </c>
      <c r="H11" s="38">
        <v>0.0</v>
      </c>
      <c r="I11" s="38">
        <v>0.0</v>
      </c>
      <c r="J11" s="38">
        <v>0.0</v>
      </c>
      <c r="K11" s="33"/>
      <c r="M11" s="1" t="str">
        <f>IF(ISBLANK(Tareas!B7)," - ",Tareas!B7)</f>
        <v>2. Asignación de roles</v>
      </c>
      <c r="N11" s="38">
        <v>0.3</v>
      </c>
      <c r="O11" s="38">
        <v>0.0</v>
      </c>
      <c r="P11" s="38">
        <v>0.0</v>
      </c>
      <c r="Q11" s="38">
        <v>0.0</v>
      </c>
      <c r="R11" s="38">
        <v>0.0</v>
      </c>
      <c r="S11" s="38">
        <v>0.0</v>
      </c>
      <c r="T11" s="38">
        <v>0.0</v>
      </c>
      <c r="U11" s="38">
        <v>0.0</v>
      </c>
    </row>
    <row r="12" ht="15.75" customHeight="1">
      <c r="B12" s="1" t="str">
        <f>IF(ISBLANK(Tareas!B8)," - ",Tareas!B8)</f>
        <v>3. Definición del estándar de documentación</v>
      </c>
      <c r="C12" s="38">
        <v>1.0</v>
      </c>
      <c r="D12" s="38">
        <v>0.0</v>
      </c>
      <c r="E12" s="38">
        <v>0.0</v>
      </c>
      <c r="F12" s="38">
        <v>0.0</v>
      </c>
      <c r="G12" s="38">
        <v>0.0</v>
      </c>
      <c r="H12" s="38">
        <v>0.0</v>
      </c>
      <c r="I12" s="38">
        <v>0.0</v>
      </c>
      <c r="J12" s="38">
        <v>0.0</v>
      </c>
      <c r="K12" s="33"/>
      <c r="M12" s="1" t="str">
        <f>IF(ISBLANK(Tareas!B8)," - ",Tareas!B8)</f>
        <v>3. Definición del estándar de documentación</v>
      </c>
      <c r="N12" s="38">
        <v>0.5</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0.3</v>
      </c>
      <c r="D14" s="38">
        <v>0.0</v>
      </c>
      <c r="E14" s="38">
        <v>0.0</v>
      </c>
      <c r="F14" s="38">
        <v>0.0</v>
      </c>
      <c r="G14" s="38">
        <v>0.0</v>
      </c>
      <c r="H14" s="38">
        <v>0.0</v>
      </c>
      <c r="I14" s="38">
        <v>0.0</v>
      </c>
      <c r="J14" s="38">
        <v>0.0</v>
      </c>
      <c r="K14" s="33"/>
      <c r="M14" s="1" t="str">
        <f>IF(ISBLANK(Tareas!B10)," - ",Tareas!B10)</f>
        <v>5. Definición del entorno de desarrollo</v>
      </c>
      <c r="N14" s="38">
        <v>0.3</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8">
        <v>0.0</v>
      </c>
      <c r="E16" s="38">
        <v>0.0</v>
      </c>
      <c r="F16" s="38">
        <v>0.0</v>
      </c>
      <c r="G16" s="38">
        <v>0.0</v>
      </c>
      <c r="H16" s="38">
        <v>0.0</v>
      </c>
      <c r="I16" s="38">
        <v>0.0</v>
      </c>
      <c r="J16" s="38">
        <v>0.0</v>
      </c>
      <c r="K16" s="33"/>
      <c r="M16" s="1" t="str">
        <f>IF(ISBLANK(Tareas!B12)," - ",Tareas!B12)</f>
        <v>7. Realización del análisis de requisitos (ERS)</v>
      </c>
      <c r="N16" s="38">
        <v>0.0</v>
      </c>
      <c r="O16" s="38">
        <v>0.0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K17" s="33"/>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1.0</v>
      </c>
      <c r="F18" s="38">
        <v>0.0</v>
      </c>
      <c r="G18" s="38">
        <v>0.0</v>
      </c>
      <c r="H18" s="38">
        <v>0.0</v>
      </c>
      <c r="I18" s="38">
        <v>0.0</v>
      </c>
      <c r="J18" s="38">
        <v>0.0</v>
      </c>
      <c r="K18" s="33"/>
      <c r="M18" s="1" t="str">
        <f>IF(ISBLANK(Tareas!B14)," - ",Tareas!B14)</f>
        <v>9. Revisión del análisis de requisitos</v>
      </c>
      <c r="N18" s="38">
        <v>0.0</v>
      </c>
      <c r="O18" s="38">
        <v>0.0</v>
      </c>
      <c r="P18" s="38">
        <v>0.3</v>
      </c>
      <c r="Q18" s="38">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K19" s="33"/>
      <c r="M19" s="1" t="str">
        <f>IF(ISBLANK(Tareas!B15)," - ",Tareas!B15)</f>
        <v>10. Disposición del ERS en la línea base (GCS)</v>
      </c>
      <c r="N19" s="38">
        <v>0.0</v>
      </c>
      <c r="O19" s="38">
        <v>0.0</v>
      </c>
      <c r="P19" s="38">
        <v>0.0</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K20" s="33"/>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0.0</v>
      </c>
      <c r="F21" s="38">
        <v>0.0</v>
      </c>
      <c r="G21" s="38">
        <v>0.0</v>
      </c>
      <c r="H21" s="38">
        <v>0.0</v>
      </c>
      <c r="I21" s="38">
        <v>0.0</v>
      </c>
      <c r="J21" s="38">
        <v>0.0</v>
      </c>
      <c r="K21" s="33"/>
      <c r="M21" s="1" t="str">
        <f>IF(ISBLANK(Tareas!B17)," - ",Tareas!B17)</f>
        <v>12. Definición de los casos de uso y el modelo E/R</v>
      </c>
      <c r="N21" s="38">
        <v>0.0</v>
      </c>
      <c r="O21" s="38">
        <v>0.0</v>
      </c>
      <c r="P21" s="38">
        <v>0.0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K22" s="33"/>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2.0</v>
      </c>
      <c r="F23" s="38">
        <v>0.5</v>
      </c>
      <c r="G23" s="38">
        <v>0.3</v>
      </c>
      <c r="H23" s="38">
        <v>0.0</v>
      </c>
      <c r="I23" s="38">
        <v>0.0</v>
      </c>
      <c r="J23" s="38">
        <v>0.0</v>
      </c>
      <c r="K23" s="33"/>
      <c r="M23" s="1" t="str">
        <f>IF(ISBLANK(Tareas!B19)," - ",Tareas!B19)</f>
        <v>14. Cálculo de los puntos de función</v>
      </c>
      <c r="N23" s="38">
        <v>0.0</v>
      </c>
      <c r="O23" s="38">
        <v>0.0</v>
      </c>
      <c r="P23" s="38">
        <v>1.0</v>
      </c>
      <c r="Q23" s="38">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K24" s="33"/>
      <c r="M24" s="1" t="str">
        <f>IF(ISBLANK(Tareas!B20)," - ",Tareas!B20)</f>
        <v>15. Realización del diagrama Gantt</v>
      </c>
      <c r="N24" s="38">
        <v>0.0</v>
      </c>
      <c r="O24" s="38">
        <v>0.0</v>
      </c>
      <c r="P24" s="38">
        <v>0.0</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K25" s="33"/>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38">
        <v>0.0</v>
      </c>
      <c r="G26" s="38">
        <v>0.0</v>
      </c>
      <c r="H26" s="38">
        <v>0.0</v>
      </c>
      <c r="I26" s="38">
        <v>0.0</v>
      </c>
      <c r="J26" s="38">
        <v>0.0</v>
      </c>
      <c r="K26" s="33"/>
      <c r="M26" s="1" t="str">
        <f>IF(ISBLANK(Tareas!B22)," - ",Tareas!B22)</f>
        <v>17. Definición del plan de gestión de configuración software (GCS)</v>
      </c>
      <c r="N26" s="38">
        <v>0.0</v>
      </c>
      <c r="O26" s="38">
        <v>0.0</v>
      </c>
      <c r="P26" s="38">
        <v>0.0</v>
      </c>
      <c r="Q26" s="38">
        <v>0.0</v>
      </c>
      <c r="R26" s="38">
        <v>0.0</v>
      </c>
      <c r="S26" s="38">
        <v>0.0</v>
      </c>
      <c r="T26" s="38">
        <v>0.0</v>
      </c>
      <c r="U26" s="38">
        <v>0.0</v>
      </c>
    </row>
    <row r="27" ht="15.75" customHeight="1">
      <c r="B27" s="1" t="str">
        <f>IF(ISBLANK(Tareas!B23)," - ",Tareas!B23)</f>
        <v>18. Inicialización de la hoja de valor ganado (EVM)</v>
      </c>
      <c r="C27" s="38">
        <v>0.0</v>
      </c>
      <c r="D27" s="38">
        <v>0.0</v>
      </c>
      <c r="E27" s="38">
        <v>0.0</v>
      </c>
      <c r="F27" s="38">
        <v>1.0</v>
      </c>
      <c r="G27" s="38">
        <v>0.0</v>
      </c>
      <c r="H27" s="38">
        <v>0.0</v>
      </c>
      <c r="I27" s="38">
        <v>0.0</v>
      </c>
      <c r="J27" s="38">
        <v>0.0</v>
      </c>
      <c r="K27" s="33"/>
      <c r="M27" s="1" t="str">
        <f>IF(ISBLANK(Tareas!B23)," - ",Tareas!B23)</f>
        <v>18. Inicialización de la hoja de valor ganado (EVM)</v>
      </c>
      <c r="N27" s="38">
        <v>0.0</v>
      </c>
      <c r="O27" s="38">
        <v>0.0</v>
      </c>
      <c r="P27" s="38">
        <v>0.0</v>
      </c>
      <c r="Q27" s="38">
        <v>0.5</v>
      </c>
      <c r="R27" s="38">
        <v>0.0</v>
      </c>
      <c r="S27" s="38">
        <v>0.0</v>
      </c>
      <c r="T27" s="38">
        <v>0.0</v>
      </c>
      <c r="U27" s="38">
        <v>0.0</v>
      </c>
    </row>
    <row r="28" ht="15.75" customHeight="1">
      <c r="B28" s="1" t="str">
        <f>IF(ISBLANK(Tareas!B24)," - ",Tareas!B24)</f>
        <v>19. Introducción de los datos en EVM</v>
      </c>
      <c r="C28" s="38">
        <v>0.0</v>
      </c>
      <c r="D28" s="38">
        <v>0.0</v>
      </c>
      <c r="E28" s="38">
        <v>0.0</v>
      </c>
      <c r="F28" s="38">
        <v>1.0</v>
      </c>
      <c r="G28" s="38">
        <v>0.0</v>
      </c>
      <c r="H28" s="38">
        <v>0.0</v>
      </c>
      <c r="I28" s="38">
        <v>0.0</v>
      </c>
      <c r="J28" s="38">
        <v>0.0</v>
      </c>
      <c r="K28" s="33"/>
      <c r="M28" s="1" t="str">
        <f>IF(ISBLANK(Tareas!B24)," - ",Tareas!B24)</f>
        <v>19. Introducción de los datos en EVM</v>
      </c>
      <c r="N28" s="38">
        <v>0.0</v>
      </c>
      <c r="O28" s="38">
        <v>0.0</v>
      </c>
      <c r="P28" s="38">
        <v>0.0</v>
      </c>
      <c r="Q28" s="38">
        <v>1.0</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K29" s="33"/>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0.5</v>
      </c>
      <c r="H30" s="38">
        <v>0.0</v>
      </c>
      <c r="I30" s="38">
        <v>0.0</v>
      </c>
      <c r="J30" s="38">
        <v>0.0</v>
      </c>
      <c r="K30" s="33"/>
      <c r="M30" s="1" t="str">
        <f>IF(ISBLANK(Tareas!B26)," - ",Tareas!B26)</f>
        <v>21. Reunión 5</v>
      </c>
      <c r="N30" s="38">
        <v>0.0</v>
      </c>
      <c r="O30" s="38">
        <v>0.0</v>
      </c>
      <c r="P30" s="38">
        <v>0.0</v>
      </c>
      <c r="Q30" s="38">
        <v>0.0</v>
      </c>
      <c r="R30" s="38">
        <v>0.5</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K31" s="33"/>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K32" s="33"/>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K33" s="33"/>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0.7</v>
      </c>
      <c r="H34" s="38">
        <v>0.0</v>
      </c>
      <c r="I34" s="38">
        <v>0.0</v>
      </c>
      <c r="J34" s="38">
        <v>0.0</v>
      </c>
      <c r="K34" s="33"/>
      <c r="M34" s="1" t="str">
        <f>IF(ISBLANK(Tareas!B30)," - ",Tareas!B30)</f>
        <v>25. Implementación de la gestión de usuarios</v>
      </c>
      <c r="N34" s="38">
        <v>0.0</v>
      </c>
      <c r="O34" s="38">
        <v>0.0</v>
      </c>
      <c r="P34" s="38">
        <v>0.0</v>
      </c>
      <c r="Q34" s="38">
        <v>0.0</v>
      </c>
      <c r="R34" s="38">
        <v>0.7</v>
      </c>
      <c r="S34" s="38">
        <v>0.0</v>
      </c>
      <c r="T34" s="38">
        <v>0.0</v>
      </c>
      <c r="U34" s="38">
        <v>0.0</v>
      </c>
    </row>
    <row r="35" ht="15.75" customHeight="1">
      <c r="B35" s="1" t="str">
        <f>IF(ISBLANK(Tareas!B31)," - ",Tareas!B31)</f>
        <v>26. Implementación de la gestión de perfiles</v>
      </c>
      <c r="C35" s="38">
        <v>0.0</v>
      </c>
      <c r="D35" s="38">
        <v>0.0</v>
      </c>
      <c r="E35" s="38">
        <v>0.0</v>
      </c>
      <c r="F35" s="38">
        <v>0.5</v>
      </c>
      <c r="G35" s="38">
        <v>0.0</v>
      </c>
      <c r="H35" s="38">
        <v>0.0</v>
      </c>
      <c r="I35" s="38">
        <v>0.0</v>
      </c>
      <c r="J35" s="38">
        <v>0.0</v>
      </c>
      <c r="K35" s="33"/>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K36" s="33"/>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0.3</v>
      </c>
      <c r="H37" s="38">
        <v>0.0</v>
      </c>
      <c r="I37" s="38">
        <v>0.0</v>
      </c>
      <c r="J37" s="38">
        <v>0.0</v>
      </c>
      <c r="K37" s="33"/>
      <c r="M37" s="1" t="str">
        <f>IF(ISBLANK(Tareas!B33)," - ",Tareas!B33)</f>
        <v>28. Revisión intermedia del código</v>
      </c>
      <c r="N37" s="38">
        <v>0.0</v>
      </c>
      <c r="O37" s="38">
        <v>0.0</v>
      </c>
      <c r="P37" s="38">
        <v>0.0</v>
      </c>
      <c r="Q37" s="38">
        <v>0.0</v>
      </c>
      <c r="R37" s="38">
        <v>0.3</v>
      </c>
      <c r="S37" s="38">
        <v>0.0</v>
      </c>
      <c r="T37" s="38">
        <v>0.0</v>
      </c>
      <c r="U37" s="38">
        <v>0.0</v>
      </c>
    </row>
    <row r="38" ht="15.75" customHeight="1">
      <c r="B38" s="1" t="str">
        <f>IF(ISBLANK(Tareas!B34)," - ",Tareas!B34)</f>
        <v>29. Reunión 6</v>
      </c>
      <c r="C38" s="38">
        <v>0.0</v>
      </c>
      <c r="D38" s="38">
        <v>0.0</v>
      </c>
      <c r="E38" s="38">
        <v>0.0</v>
      </c>
      <c r="F38" s="38">
        <v>0.0</v>
      </c>
      <c r="G38" s="38">
        <v>0.0</v>
      </c>
      <c r="H38" s="38">
        <v>0.5</v>
      </c>
      <c r="I38" s="38">
        <v>0.0</v>
      </c>
      <c r="J38" s="38">
        <v>0.0</v>
      </c>
      <c r="K38" s="33"/>
      <c r="M38" s="1" t="str">
        <f>IF(ISBLANK(Tareas!B34)," - ",Tareas!B34)</f>
        <v>29. Reunión 6</v>
      </c>
      <c r="N38" s="38">
        <v>0.0</v>
      </c>
      <c r="O38" s="38">
        <v>0.0</v>
      </c>
      <c r="P38" s="38">
        <v>0.0</v>
      </c>
      <c r="Q38" s="38">
        <v>0.0</v>
      </c>
      <c r="R38" s="38">
        <v>0.0</v>
      </c>
      <c r="S38" s="38">
        <v>0.5</v>
      </c>
      <c r="T38" s="38">
        <v>0.0</v>
      </c>
      <c r="U38" s="38">
        <v>0.0</v>
      </c>
    </row>
    <row r="39" ht="15.75" customHeight="1">
      <c r="B39" s="1" t="str">
        <f>IF(ISBLANK(Tareas!B35)," - ",Tareas!B35)</f>
        <v>30. Actualización de EVM</v>
      </c>
      <c r="C39" s="38">
        <v>0.0</v>
      </c>
      <c r="D39" s="38">
        <v>0.0</v>
      </c>
      <c r="E39" s="38">
        <v>0.0</v>
      </c>
      <c r="F39" s="38">
        <v>0.0</v>
      </c>
      <c r="G39" s="38">
        <v>0.0</v>
      </c>
      <c r="H39" s="38">
        <v>0.3</v>
      </c>
      <c r="I39" s="38">
        <v>0.0</v>
      </c>
      <c r="J39" s="38">
        <v>0.0</v>
      </c>
      <c r="K39" s="33"/>
      <c r="M39" s="1" t="str">
        <f>IF(ISBLANK(Tareas!B35)," - ",Tareas!B35)</f>
        <v>30. Actualización de EVM</v>
      </c>
      <c r="N39" s="38">
        <v>0.0</v>
      </c>
      <c r="O39" s="38">
        <v>0.0</v>
      </c>
      <c r="P39" s="38">
        <v>0.0</v>
      </c>
      <c r="Q39" s="38">
        <v>0.0</v>
      </c>
      <c r="R39" s="38">
        <v>0.0</v>
      </c>
      <c r="S39" s="38">
        <v>0.5</v>
      </c>
      <c r="T39" s="38">
        <v>0.0</v>
      </c>
      <c r="U39" s="38">
        <v>0.0</v>
      </c>
    </row>
    <row r="40" ht="15.75" customHeight="1">
      <c r="B40" s="1" t="str">
        <f>IF(ISBLANK(Tareas!B36)," - ",Tareas!B36)</f>
        <v>31. Implementación de la gestión de amistades</v>
      </c>
      <c r="C40" s="38">
        <v>0.0</v>
      </c>
      <c r="D40" s="38">
        <v>0.0</v>
      </c>
      <c r="E40" s="38">
        <v>0.0</v>
      </c>
      <c r="F40" s="38">
        <v>0.0</v>
      </c>
      <c r="G40" s="38">
        <v>0.0</v>
      </c>
      <c r="H40" s="38">
        <v>0.0</v>
      </c>
      <c r="I40" s="38">
        <v>0.0</v>
      </c>
      <c r="J40" s="38">
        <v>0.0</v>
      </c>
      <c r="K40" s="33"/>
      <c r="M40" s="1" t="str">
        <f>IF(ISBLANK(Tareas!B36)," - ",Tareas!B36)</f>
        <v>31. Implementación de la gestión de amistades</v>
      </c>
      <c r="N40" s="38">
        <v>0.0</v>
      </c>
      <c r="O40" s="38">
        <v>0.0</v>
      </c>
      <c r="P40" s="38">
        <v>0.0</v>
      </c>
      <c r="Q40" s="38">
        <v>0.0</v>
      </c>
      <c r="R40" s="38">
        <v>0.0</v>
      </c>
      <c r="S40" s="38">
        <v>0.0</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K41" s="33"/>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K42" s="33"/>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K43" s="33"/>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intermedia del código</v>
      </c>
      <c r="C44" s="38">
        <v>0.0</v>
      </c>
      <c r="D44" s="38">
        <v>0.0</v>
      </c>
      <c r="E44" s="38">
        <v>0.0</v>
      </c>
      <c r="F44" s="38">
        <v>0.0</v>
      </c>
      <c r="G44" s="38">
        <v>0.0</v>
      </c>
      <c r="H44" s="38">
        <v>0.3</v>
      </c>
      <c r="I44" s="38">
        <v>0.0</v>
      </c>
      <c r="J44" s="38">
        <v>0.0</v>
      </c>
      <c r="K44" s="33"/>
      <c r="M44" s="1" t="str">
        <f>IF(ISBLANK(Tareas!B40)," - ",Tareas!B40)</f>
        <v>35. Revisión intermedia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K45" s="33"/>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0.0</v>
      </c>
      <c r="J46" s="38">
        <v>0.0</v>
      </c>
      <c r="K46" s="33"/>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0.5</v>
      </c>
      <c r="J47" s="38">
        <v>0.0</v>
      </c>
      <c r="K47" s="33"/>
      <c r="M47" s="1" t="str">
        <f>IF(ISBLANK(Tareas!B43)," - ",Tareas!B43)</f>
        <v>38. Actualización de EVM</v>
      </c>
      <c r="N47" s="38">
        <v>0.0</v>
      </c>
      <c r="O47" s="38">
        <v>0.0</v>
      </c>
      <c r="P47" s="38">
        <v>0.0</v>
      </c>
      <c r="Q47" s="38">
        <v>0.0</v>
      </c>
      <c r="R47" s="38">
        <v>0.0</v>
      </c>
      <c r="S47" s="38">
        <v>0.0</v>
      </c>
      <c r="T47" s="38">
        <v>1.0</v>
      </c>
      <c r="U47" s="38">
        <v>0.0</v>
      </c>
    </row>
    <row r="48" ht="15.75" customHeight="1">
      <c r="B48" s="1" t="str">
        <f>IF(ISBLANK(Tareas!B44)," - ",Tareas!B44)</f>
        <v>39. Revisión de las incidencias detectadas</v>
      </c>
      <c r="C48" s="38">
        <v>0.0</v>
      </c>
      <c r="D48" s="38">
        <v>0.0</v>
      </c>
      <c r="E48" s="38">
        <v>0.0</v>
      </c>
      <c r="F48" s="38">
        <v>0.0</v>
      </c>
      <c r="G48" s="38">
        <v>0.0</v>
      </c>
      <c r="H48" s="38">
        <v>0.0</v>
      </c>
      <c r="I48" s="38">
        <v>0.0</v>
      </c>
      <c r="J48" s="38">
        <v>0.0</v>
      </c>
      <c r="K48" s="33"/>
      <c r="M48" s="1" t="str">
        <f>IF(ISBLANK(Tareas!B44)," - ",Tareas!B44)</f>
        <v>39. Revisión de las incidencias detectadas</v>
      </c>
      <c r="N48" s="38">
        <v>0.0</v>
      </c>
      <c r="O48" s="38">
        <v>0.0</v>
      </c>
      <c r="P48" s="38">
        <v>0.0</v>
      </c>
      <c r="Q48" s="38">
        <v>0.0</v>
      </c>
      <c r="R48" s="38">
        <v>0.0</v>
      </c>
      <c r="S48" s="38">
        <v>0.0</v>
      </c>
      <c r="T48" s="38">
        <v>0.0</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K49" s="33"/>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2.0</v>
      </c>
      <c r="J50" s="38">
        <v>0.0</v>
      </c>
      <c r="K50" s="33"/>
      <c r="M50" s="1" t="str">
        <f>IF(ISBLANK(Tareas!B46)," - ",Tareas!B46)</f>
        <v>41. Implementación de la pantalla principal (feed y menú)</v>
      </c>
      <c r="N50" s="38">
        <v>0.0</v>
      </c>
      <c r="O50" s="38">
        <v>0.0</v>
      </c>
      <c r="P50" s="38">
        <v>0.0</v>
      </c>
      <c r="Q50" s="38">
        <v>0.0</v>
      </c>
      <c r="R50" s="38">
        <v>0.0</v>
      </c>
      <c r="S50" s="38">
        <v>0.0</v>
      </c>
      <c r="T50" s="38">
        <v>4.0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K51" s="33"/>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K52" s="33"/>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0.5</v>
      </c>
      <c r="K53" s="33"/>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9">
        <v>1.5</v>
      </c>
      <c r="K54" s="33"/>
      <c r="M54" s="1" t="str">
        <f>IF(ISBLANK(Tareas!B50)," - ",Tareas!B50)</f>
        <v>45. Realización el informe de post-mortem</v>
      </c>
      <c r="N54" s="38">
        <v>0.0</v>
      </c>
      <c r="O54" s="38">
        <v>0.0</v>
      </c>
      <c r="P54" s="38">
        <v>0.0</v>
      </c>
      <c r="Q54" s="38">
        <v>0.0</v>
      </c>
      <c r="R54" s="38">
        <v>0.0</v>
      </c>
      <c r="S54" s="38">
        <v>0.0</v>
      </c>
      <c r="T54" s="38">
        <v>0.0</v>
      </c>
      <c r="U54" s="39">
        <v>1.5</v>
      </c>
    </row>
    <row r="55" ht="15.75" customHeight="1">
      <c r="B55" s="1" t="str">
        <f>IF(ISBLANK(Tareas!B51)," - ",Tareas!B51)</f>
        <v>46. Ejecución de las pruebas</v>
      </c>
      <c r="C55" s="38">
        <v>0.0</v>
      </c>
      <c r="D55" s="38">
        <v>0.0</v>
      </c>
      <c r="E55" s="38">
        <v>0.0</v>
      </c>
      <c r="F55" s="38">
        <v>0.0</v>
      </c>
      <c r="G55" s="38">
        <v>0.0</v>
      </c>
      <c r="H55" s="38">
        <v>0.0</v>
      </c>
      <c r="I55" s="38">
        <v>0.0</v>
      </c>
      <c r="J55" s="38">
        <v>0.0</v>
      </c>
      <c r="K55" s="33"/>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0.3</v>
      </c>
      <c r="K56" s="33"/>
      <c r="M56" s="1" t="str">
        <f>IF(ISBLANK(Tareas!B52)," - ",Tareas!B52)</f>
        <v>47. Control de versiones y revisión final del código</v>
      </c>
      <c r="N56" s="38">
        <v>0.0</v>
      </c>
      <c r="O56" s="38">
        <v>0.0</v>
      </c>
      <c r="P56" s="38">
        <v>0.0</v>
      </c>
      <c r="Q56" s="38">
        <v>0.0</v>
      </c>
      <c r="R56" s="38">
        <v>0.0</v>
      </c>
      <c r="S56" s="38">
        <v>0.0</v>
      </c>
      <c r="T56" s="38">
        <v>0.0</v>
      </c>
      <c r="U56" s="38">
        <v>0.3</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0.0</v>
      </c>
      <c r="K57" s="33"/>
      <c r="M57" s="1" t="str">
        <f>IF(ISBLANK(Tareas!B53)," - ",Tareas!B53)</f>
        <v>48. Revisión de la configuración y los documentos entregables</v>
      </c>
      <c r="N57" s="38">
        <v>0.0</v>
      </c>
      <c r="O57" s="38">
        <v>0.0</v>
      </c>
      <c r="P57" s="38">
        <v>0.0</v>
      </c>
      <c r="Q57" s="38">
        <v>0.0</v>
      </c>
      <c r="R57" s="38">
        <v>0.0</v>
      </c>
      <c r="S57" s="38">
        <v>0.0</v>
      </c>
      <c r="T57" s="38">
        <v>0.0</v>
      </c>
      <c r="U57" s="38">
        <v>0.0</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K58" s="33"/>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0.3</v>
      </c>
      <c r="K59" s="33"/>
      <c r="M59" s="1" t="str">
        <f>IF(ISBLANK(Tareas!B55)," - ",Tareas!B55)</f>
        <v>50. Corrección del código (post-revisión)</v>
      </c>
      <c r="N59" s="38">
        <v>0.0</v>
      </c>
      <c r="O59" s="38">
        <v>0.0</v>
      </c>
      <c r="P59" s="38">
        <v>0.0</v>
      </c>
      <c r="Q59" s="38">
        <v>0.0</v>
      </c>
      <c r="R59" s="38">
        <v>0.0</v>
      </c>
      <c r="S59" s="38">
        <v>0.0</v>
      </c>
      <c r="T59" s="38">
        <v>0.0</v>
      </c>
      <c r="U59" s="38">
        <v>0.3</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K60" s="33"/>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0.0</v>
      </c>
      <c r="K61" s="33"/>
      <c r="M61" s="1" t="str">
        <f>IF(ISBLANK(Tareas!B57)," - ",Tareas!B57)</f>
        <v>52. Disposición del código en la línea base (GCS)</v>
      </c>
      <c r="N61" s="38">
        <v>0.0</v>
      </c>
      <c r="O61" s="38">
        <v>0.0</v>
      </c>
      <c r="P61" s="38">
        <v>0.0</v>
      </c>
      <c r="Q61" s="38">
        <v>0.0</v>
      </c>
      <c r="R61" s="38">
        <v>0.0</v>
      </c>
      <c r="S61" s="38">
        <v>0.0</v>
      </c>
      <c r="T61" s="38">
        <v>0.0</v>
      </c>
      <c r="U61" s="38">
        <v>0.0</v>
      </c>
    </row>
    <row r="62" ht="15.75" customHeight="1">
      <c r="B62" s="1" t="str">
        <f>IF(ISBLANK(Tareas!B58)," - ",Tareas!B58)</f>
        <v>53. Entrega del ciclo de vida</v>
      </c>
      <c r="C62" s="38">
        <v>0.0</v>
      </c>
      <c r="D62" s="38">
        <v>0.0</v>
      </c>
      <c r="E62" s="38">
        <v>0.0</v>
      </c>
      <c r="F62" s="38">
        <v>0.0</v>
      </c>
      <c r="G62" s="38">
        <v>0.0</v>
      </c>
      <c r="H62" s="38">
        <v>0.0</v>
      </c>
      <c r="I62" s="38">
        <v>0.0</v>
      </c>
      <c r="J62" s="38">
        <v>0.5</v>
      </c>
      <c r="K62" s="33"/>
      <c r="M62" s="1" t="str">
        <f>IF(ISBLANK(Tareas!B58)," - ",Tareas!B58)</f>
        <v>53. Entrega del ciclo de vida</v>
      </c>
      <c r="N62" s="38">
        <v>0.0</v>
      </c>
      <c r="O62" s="38">
        <v>0.0</v>
      </c>
      <c r="P62" s="38">
        <v>0.0</v>
      </c>
      <c r="Q62" s="38">
        <v>0.0</v>
      </c>
      <c r="R62" s="38">
        <v>0.0</v>
      </c>
      <c r="S62" s="38">
        <v>0.0</v>
      </c>
      <c r="T62" s="38">
        <v>0.0</v>
      </c>
      <c r="U62" s="38">
        <v>0.5</v>
      </c>
    </row>
    <row r="63" ht="15.75" customHeight="1">
      <c r="B63" s="1" t="str">
        <f>IF(ISBLANK(Tareas!B59)," - ",Tareas!B59)</f>
        <v> - </v>
      </c>
      <c r="C63" s="18"/>
      <c r="D63" s="18"/>
      <c r="E63" s="18"/>
      <c r="F63" s="18"/>
      <c r="G63" s="18"/>
      <c r="H63" s="18"/>
      <c r="I63" s="18"/>
      <c r="J63" s="18"/>
      <c r="K63" s="33"/>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K64" s="33"/>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K65" s="33"/>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K66" s="33"/>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K67" s="33"/>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K68" s="33"/>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K69" s="33"/>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K70" s="33"/>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K71" s="33"/>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K72" s="33"/>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K73" s="33"/>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K74" s="33"/>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K75" s="33"/>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K76" s="33"/>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K77" s="33"/>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K78" s="33"/>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K79" s="33"/>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K80" s="33"/>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K81" s="33"/>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K82" s="33"/>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K83" s="33"/>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K84" s="33"/>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K85" s="33"/>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K86" s="33"/>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K87" s="33"/>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K88" s="33"/>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K89" s="33"/>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K90" s="33"/>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K91" s="33"/>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K92" s="33"/>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K93" s="33"/>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K94" s="33"/>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K95" s="33"/>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K96" s="33"/>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K97" s="33"/>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K98" s="33"/>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K99" s="33"/>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K100" s="33"/>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K101" s="33"/>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K102" s="33"/>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K103" s="33"/>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K104" s="33"/>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K105" s="33"/>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K106" s="33"/>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K107" s="33"/>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K108" s="33"/>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K109" s="33"/>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K110" s="33"/>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K111" s="33"/>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K112" s="33"/>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K113" s="33"/>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K114" s="33"/>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K115" s="33"/>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K116" s="33"/>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K117" s="33"/>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K118" s="33"/>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K119" s="33"/>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K120" s="33"/>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K121" s="33"/>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K122" s="33"/>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K123" s="33"/>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K124" s="33"/>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K125" s="33"/>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K126" s="33"/>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K127" s="33"/>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K128" s="33"/>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K129" s="33"/>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K130" s="33"/>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K131" s="33"/>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K132" s="33"/>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K133" s="33"/>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K134" s="33"/>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K135" s="33"/>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K136" s="33"/>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K137" s="33"/>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K138" s="33"/>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K139" s="33"/>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K140" s="33"/>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K141" s="33"/>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K142" s="33"/>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K143" s="33"/>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K144" s="33"/>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K145" s="33"/>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K146" s="33"/>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K147" s="33"/>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K148" s="33"/>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K149" s="33"/>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K150" s="33"/>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K151" s="33"/>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K152" s="33"/>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K153" s="33"/>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K154" s="33"/>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K155" s="33"/>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K156" s="33"/>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K157" s="33"/>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K158" s="33"/>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K159" s="33"/>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K160" s="33"/>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K161" s="33"/>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K162" s="33"/>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K163" s="33"/>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K164" s="33"/>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K165" s="33"/>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K166" s="33"/>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K167" s="33"/>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K168" s="33"/>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K169" s="33"/>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K170" s="33"/>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K171" s="33"/>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K172" s="33"/>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K173" s="33"/>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K174" s="33"/>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K175" s="33"/>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K176" s="33"/>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K177" s="33"/>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K178" s="33"/>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K179" s="33"/>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K180" s="33"/>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K181" s="33"/>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K182" s="33"/>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K183" s="33"/>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K184" s="33"/>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K185" s="33"/>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K186" s="33"/>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K187" s="33"/>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K188" s="33"/>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K189" s="33"/>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K190" s="33"/>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K191" s="33"/>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K192" s="33"/>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K193" s="33"/>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K194" s="33"/>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K195" s="33"/>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K196" s="33"/>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K197" s="33"/>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K198" s="33"/>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K199" s="33"/>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K200" s="33"/>
      <c r="M200" s="1" t="str">
        <f>IF(ISBLANK(Tareas!B196)," - ",Tareas!B196)</f>
        <v> - </v>
      </c>
      <c r="N200" s="19"/>
      <c r="O200" s="19"/>
      <c r="P200" s="19"/>
      <c r="Q200" s="19"/>
      <c r="R200" s="19"/>
      <c r="S200" s="19"/>
      <c r="T200" s="19"/>
      <c r="U200" s="19"/>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0.0</v>
      </c>
      <c r="D11" s="38">
        <v>0.0</v>
      </c>
      <c r="E11" s="38">
        <v>0.0</v>
      </c>
      <c r="F11" s="38">
        <v>0.0</v>
      </c>
      <c r="G11" s="38">
        <v>0.0</v>
      </c>
      <c r="H11" s="38">
        <v>0.0</v>
      </c>
      <c r="I11" s="38">
        <v>0.0</v>
      </c>
      <c r="J11" s="38">
        <v>0.0</v>
      </c>
      <c r="K11" s="33"/>
      <c r="M11" s="1" t="str">
        <f>IF(ISBLANK(Tareas!B7)," - ",Tareas!B7)</f>
        <v>2. Asignación de roles</v>
      </c>
      <c r="N11" s="38">
        <v>0.0</v>
      </c>
      <c r="O11" s="38">
        <v>0.0</v>
      </c>
      <c r="P11" s="38">
        <v>0.0</v>
      </c>
      <c r="Q11" s="38">
        <v>0.0</v>
      </c>
      <c r="R11" s="38">
        <v>0.0</v>
      </c>
      <c r="S11" s="38">
        <v>0.0</v>
      </c>
      <c r="T11" s="38">
        <v>0.0</v>
      </c>
      <c r="U11" s="38">
        <v>0.0</v>
      </c>
    </row>
    <row r="12" ht="15.75" customHeight="1">
      <c r="B12" s="1" t="str">
        <f>IF(ISBLANK(Tareas!B8)," - ",Tareas!B8)</f>
        <v>3. Definición del estándar de documentación</v>
      </c>
      <c r="C12" s="38">
        <v>0.0</v>
      </c>
      <c r="D12" s="38">
        <v>0.0</v>
      </c>
      <c r="E12" s="38">
        <v>0.0</v>
      </c>
      <c r="F12" s="38">
        <v>0.0</v>
      </c>
      <c r="G12" s="38">
        <v>0.0</v>
      </c>
      <c r="H12" s="38">
        <v>0.0</v>
      </c>
      <c r="I12" s="38">
        <v>0.0</v>
      </c>
      <c r="J12" s="38">
        <v>0.0</v>
      </c>
      <c r="K12" s="33"/>
      <c r="M12" s="1" t="str">
        <f>IF(ISBLANK(Tareas!B8)," - ",Tareas!B8)</f>
        <v>3. Definición del estándar de documentación</v>
      </c>
      <c r="N12" s="38">
        <v>0.0</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0.0</v>
      </c>
      <c r="D14" s="38">
        <v>0.0</v>
      </c>
      <c r="E14" s="38">
        <v>0.0</v>
      </c>
      <c r="F14" s="38">
        <v>0.0</v>
      </c>
      <c r="G14" s="38">
        <v>0.0</v>
      </c>
      <c r="H14" s="38">
        <v>0.0</v>
      </c>
      <c r="I14" s="38">
        <v>0.0</v>
      </c>
      <c r="J14" s="38">
        <v>0.0</v>
      </c>
      <c r="K14" s="33"/>
      <c r="M14" s="1" t="str">
        <f>IF(ISBLANK(Tareas!B10)," - ",Tareas!B10)</f>
        <v>5. Definición del entorno de desarrollo</v>
      </c>
      <c r="N14" s="38">
        <v>0.0</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8">
        <v>0.0</v>
      </c>
      <c r="E16" s="38">
        <v>0.0</v>
      </c>
      <c r="F16" s="38">
        <v>0.0</v>
      </c>
      <c r="G16" s="38">
        <v>0.0</v>
      </c>
      <c r="H16" s="38">
        <v>0.0</v>
      </c>
      <c r="I16" s="38">
        <v>0.0</v>
      </c>
      <c r="J16" s="38">
        <v>0.0</v>
      </c>
      <c r="M16" s="1" t="str">
        <f>IF(ISBLANK(Tareas!B12)," - ",Tareas!B12)</f>
        <v>7. Realización del análisis de requisitos (ERS)</v>
      </c>
      <c r="N16" s="38">
        <v>0.0</v>
      </c>
      <c r="O16" s="38">
        <v>0.0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0.3</v>
      </c>
      <c r="F18" s="38">
        <v>0.0</v>
      </c>
      <c r="G18" s="38">
        <v>0.0</v>
      </c>
      <c r="H18" s="38">
        <v>0.0</v>
      </c>
      <c r="I18" s="38">
        <v>0.0</v>
      </c>
      <c r="J18" s="38">
        <v>0.0</v>
      </c>
      <c r="M18" s="1" t="str">
        <f>IF(ISBLANK(Tareas!B14)," - ",Tareas!B14)</f>
        <v>9. Revisión del análisis de requisitos</v>
      </c>
      <c r="N18" s="38">
        <v>0.0</v>
      </c>
      <c r="O18" s="38">
        <v>0.0</v>
      </c>
      <c r="P18" s="38">
        <v>0.2</v>
      </c>
      <c r="Q18" s="38">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M19" s="1" t="str">
        <f>IF(ISBLANK(Tareas!B15)," - ",Tareas!B15)</f>
        <v>10. Disposición del ERS en la línea base (GCS)</v>
      </c>
      <c r="N19" s="38">
        <v>0.0</v>
      </c>
      <c r="O19" s="38">
        <v>0.0</v>
      </c>
      <c r="P19" s="38">
        <v>0.0</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0.0</v>
      </c>
      <c r="F21" s="38">
        <v>0.0</v>
      </c>
      <c r="G21" s="38">
        <v>0.0</v>
      </c>
      <c r="H21" s="38">
        <v>0.0</v>
      </c>
      <c r="I21" s="38">
        <v>0.0</v>
      </c>
      <c r="J21" s="38">
        <v>0.0</v>
      </c>
      <c r="M21" s="1" t="str">
        <f>IF(ISBLANK(Tareas!B17)," - ",Tareas!B17)</f>
        <v>12. Definición de los casos de uso y el modelo E/R</v>
      </c>
      <c r="N21" s="38">
        <v>0.0</v>
      </c>
      <c r="O21" s="38">
        <v>0.0</v>
      </c>
      <c r="P21" s="38">
        <v>0.0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0.0</v>
      </c>
      <c r="F23" s="38">
        <v>0.0</v>
      </c>
      <c r="G23" s="38">
        <v>0.0</v>
      </c>
      <c r="H23" s="38">
        <v>0.0</v>
      </c>
      <c r="I23" s="38">
        <v>0.0</v>
      </c>
      <c r="J23" s="38">
        <v>0.0</v>
      </c>
      <c r="M23" s="1" t="str">
        <f>IF(ISBLANK(Tareas!B19)," - ",Tareas!B19)</f>
        <v>14. Cálculo de los puntos de función</v>
      </c>
      <c r="N23" s="38">
        <v>0.0</v>
      </c>
      <c r="O23" s="38">
        <v>0.0</v>
      </c>
      <c r="P23" s="38">
        <v>0.0</v>
      </c>
      <c r="Q23" s="38">
        <v>0.0</v>
      </c>
      <c r="R23" s="38">
        <v>0.0</v>
      </c>
      <c r="S23" s="38">
        <v>0.0</v>
      </c>
      <c r="T23" s="38">
        <v>0.0</v>
      </c>
      <c r="U23" s="38">
        <v>0.0</v>
      </c>
    </row>
    <row r="24" ht="15.75" customHeight="1">
      <c r="B24" s="1" t="str">
        <f>IF(ISBLANK(Tareas!B20)," - ",Tareas!B20)</f>
        <v>15. Realización del diagrama Gantt</v>
      </c>
      <c r="C24" s="38">
        <v>0.0</v>
      </c>
      <c r="D24" s="38">
        <v>0.0</v>
      </c>
      <c r="E24" s="38">
        <v>2.5</v>
      </c>
      <c r="F24" s="38">
        <v>0.3</v>
      </c>
      <c r="G24" s="38">
        <v>0.3</v>
      </c>
      <c r="H24" s="38">
        <v>0.0</v>
      </c>
      <c r="I24" s="38">
        <v>0.0</v>
      </c>
      <c r="J24" s="38">
        <v>0.0</v>
      </c>
      <c r="M24" s="1" t="str">
        <f>IF(ISBLANK(Tareas!B20)," - ",Tareas!B20)</f>
        <v>15. Realización del diagrama Gantt</v>
      </c>
      <c r="N24" s="38">
        <v>0.0</v>
      </c>
      <c r="O24" s="38">
        <v>0.0</v>
      </c>
      <c r="P24" s="38">
        <v>1.5</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38">
        <v>0.0</v>
      </c>
      <c r="G26" s="38">
        <v>0.0</v>
      </c>
      <c r="H26" s="38">
        <v>0.0</v>
      </c>
      <c r="I26" s="38">
        <v>0.0</v>
      </c>
      <c r="J26" s="38">
        <v>0.0</v>
      </c>
      <c r="M26" s="1" t="str">
        <f>IF(ISBLANK(Tareas!B22)," - ",Tareas!B22)</f>
        <v>17. Definición del plan de gestión de configuración software (GCS)</v>
      </c>
      <c r="N26" s="38">
        <v>0.0</v>
      </c>
      <c r="O26" s="38">
        <v>0.0</v>
      </c>
      <c r="P26" s="38">
        <v>0.0</v>
      </c>
      <c r="Q26" s="38">
        <v>0.0</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38">
        <v>0.0</v>
      </c>
      <c r="O27" s="38">
        <v>0.0</v>
      </c>
      <c r="P27" s="38">
        <v>0.0</v>
      </c>
      <c r="Q27" s="38">
        <v>0.0</v>
      </c>
      <c r="R27" s="38">
        <v>0.0</v>
      </c>
      <c r="S27" s="38">
        <v>0.0</v>
      </c>
      <c r="T27" s="38">
        <v>0.0</v>
      </c>
      <c r="U27" s="38">
        <v>0.0</v>
      </c>
    </row>
    <row r="28" ht="15.75" customHeight="1">
      <c r="B28" s="1" t="str">
        <f>IF(ISBLANK(Tareas!B24)," - ",Tareas!B24)</f>
        <v>19. Introducción de los datos en EVM</v>
      </c>
      <c r="C28" s="38">
        <v>0.0</v>
      </c>
      <c r="D28" s="38">
        <v>0.0</v>
      </c>
      <c r="E28" s="38">
        <v>0.0</v>
      </c>
      <c r="F28" s="38">
        <v>1.0</v>
      </c>
      <c r="G28" s="38">
        <v>0.0</v>
      </c>
      <c r="H28" s="38">
        <v>0.0</v>
      </c>
      <c r="I28" s="38">
        <v>0.0</v>
      </c>
      <c r="J28" s="38">
        <v>0.0</v>
      </c>
      <c r="M28" s="1" t="str">
        <f>IF(ISBLANK(Tareas!B24)," - ",Tareas!B24)</f>
        <v>19. Introducción de los datos en EVM</v>
      </c>
      <c r="N28" s="38">
        <v>0.0</v>
      </c>
      <c r="O28" s="38">
        <v>0.0</v>
      </c>
      <c r="P28" s="38">
        <v>0.0</v>
      </c>
      <c r="Q28" s="38">
        <v>1.0</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0.5</v>
      </c>
      <c r="H30" s="38">
        <v>0.0</v>
      </c>
      <c r="I30" s="38">
        <v>0.0</v>
      </c>
      <c r="J30" s="38">
        <v>0.0</v>
      </c>
      <c r="M30" s="1" t="str">
        <f>IF(ISBLANK(Tareas!B26)," - ",Tareas!B26)</f>
        <v>21. Reunión 5</v>
      </c>
      <c r="N30" s="38">
        <v>0.0</v>
      </c>
      <c r="O30" s="38">
        <v>0.0</v>
      </c>
      <c r="P30" s="38">
        <v>0.0</v>
      </c>
      <c r="Q30" s="38">
        <v>0.0</v>
      </c>
      <c r="R30" s="38">
        <v>0.5</v>
      </c>
      <c r="S30" s="38">
        <v>0.0</v>
      </c>
      <c r="T30" s="38">
        <v>0.0</v>
      </c>
      <c r="U30" s="38">
        <v>0.0</v>
      </c>
    </row>
    <row r="31" ht="15.75" customHeight="1">
      <c r="B31" s="1" t="str">
        <f>IF(ISBLANK(Tareas!B27)," - ",Tareas!B27)</f>
        <v>22. Actualización de EVM</v>
      </c>
      <c r="C31" s="38">
        <v>0.0</v>
      </c>
      <c r="D31" s="38">
        <v>0.0</v>
      </c>
      <c r="E31" s="38">
        <v>0.0</v>
      </c>
      <c r="F31" s="38">
        <v>0.0</v>
      </c>
      <c r="G31" s="38">
        <v>0.5</v>
      </c>
      <c r="H31" s="38">
        <v>0.0</v>
      </c>
      <c r="I31" s="38">
        <v>0.0</v>
      </c>
      <c r="J31" s="38">
        <v>0.0</v>
      </c>
      <c r="M31" s="1" t="str">
        <f>IF(ISBLANK(Tareas!B27)," - ",Tareas!B27)</f>
        <v>22. Actualización de EVM</v>
      </c>
      <c r="N31" s="38">
        <v>0.0</v>
      </c>
      <c r="O31" s="38">
        <v>0.0</v>
      </c>
      <c r="P31" s="38">
        <v>0.0</v>
      </c>
      <c r="Q31" s="38">
        <v>0.0</v>
      </c>
      <c r="R31" s="38">
        <v>0.5</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0.0</v>
      </c>
      <c r="H34" s="38">
        <v>0.0</v>
      </c>
      <c r="I34" s="38">
        <v>0.0</v>
      </c>
      <c r="J34" s="38">
        <v>0.0</v>
      </c>
      <c r="M34" s="1" t="str">
        <f>IF(ISBLANK(Tareas!B30)," - ",Tareas!B30)</f>
        <v>25. Implementación de la gestión de usuarios</v>
      </c>
      <c r="N34" s="38">
        <v>0.0</v>
      </c>
      <c r="O34" s="38">
        <v>0.0</v>
      </c>
      <c r="P34" s="38">
        <v>0.0</v>
      </c>
      <c r="Q34" s="38">
        <v>0.0</v>
      </c>
      <c r="R34" s="38">
        <v>0.0</v>
      </c>
      <c r="S34" s="38">
        <v>0.0</v>
      </c>
      <c r="T34" s="38">
        <v>0.0</v>
      </c>
      <c r="U34" s="38">
        <v>0.0</v>
      </c>
    </row>
    <row r="35" ht="15.75" customHeight="1">
      <c r="B35" s="1" t="str">
        <f>IF(ISBLANK(Tareas!B31)," - ",Tareas!B31)</f>
        <v>26. Implementación de la gestión de perfiles</v>
      </c>
      <c r="C35" s="38">
        <v>0.0</v>
      </c>
      <c r="D35" s="38">
        <v>0.0</v>
      </c>
      <c r="E35" s="38">
        <v>0.0</v>
      </c>
      <c r="F35" s="38">
        <v>0.0</v>
      </c>
      <c r="G35" s="38">
        <v>0.0</v>
      </c>
      <c r="H35" s="38">
        <v>0.0</v>
      </c>
      <c r="I35" s="38">
        <v>0.0</v>
      </c>
      <c r="J35" s="38">
        <v>0.0</v>
      </c>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0.0</v>
      </c>
      <c r="H37" s="38">
        <v>0.0</v>
      </c>
      <c r="I37" s="38">
        <v>0.0</v>
      </c>
      <c r="J37" s="38">
        <v>0.0</v>
      </c>
      <c r="M37" s="1" t="str">
        <f>IF(ISBLANK(Tareas!B33)," - ",Tareas!B33)</f>
        <v>28. Revisión intermedia del código</v>
      </c>
      <c r="N37" s="38">
        <v>0.0</v>
      </c>
      <c r="O37" s="38">
        <v>0.0</v>
      </c>
      <c r="P37" s="38">
        <v>0.0</v>
      </c>
      <c r="Q37" s="38">
        <v>0.0</v>
      </c>
      <c r="R37" s="38">
        <v>0.0</v>
      </c>
      <c r="S37" s="38">
        <v>0.0</v>
      </c>
      <c r="T37" s="38">
        <v>0.0</v>
      </c>
      <c r="U37" s="38">
        <v>0.0</v>
      </c>
    </row>
    <row r="38" ht="15.75" customHeight="1">
      <c r="B38" s="1" t="str">
        <f>IF(ISBLANK(Tareas!B34)," - ",Tareas!B34)</f>
        <v>29. Reunión 6</v>
      </c>
      <c r="C38" s="38">
        <v>0.0</v>
      </c>
      <c r="D38" s="38">
        <v>0.0</v>
      </c>
      <c r="E38" s="38">
        <v>0.0</v>
      </c>
      <c r="F38" s="38">
        <v>0.0</v>
      </c>
      <c r="G38" s="38">
        <v>0.0</v>
      </c>
      <c r="H38" s="38">
        <v>0.5</v>
      </c>
      <c r="I38" s="38">
        <v>0.0</v>
      </c>
      <c r="J38" s="38">
        <v>0.0</v>
      </c>
      <c r="M38" s="1" t="str">
        <f>IF(ISBLANK(Tareas!B34)," - ",Tareas!B34)</f>
        <v>29. Reunión 6</v>
      </c>
      <c r="N38" s="38">
        <v>0.0</v>
      </c>
      <c r="O38" s="38">
        <v>0.0</v>
      </c>
      <c r="P38" s="38">
        <v>0.0</v>
      </c>
      <c r="Q38" s="38">
        <v>0.0</v>
      </c>
      <c r="R38" s="38">
        <v>0.0</v>
      </c>
      <c r="S38" s="38">
        <v>0.5</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0.0</v>
      </c>
      <c r="I40" s="38">
        <v>0.0</v>
      </c>
      <c r="J40" s="38">
        <v>0.0</v>
      </c>
      <c r="M40" s="1" t="str">
        <f>IF(ISBLANK(Tareas!B36)," - ",Tareas!B36)</f>
        <v>31. Implementación de la gestión de amistades</v>
      </c>
      <c r="N40" s="38">
        <v>0.0</v>
      </c>
      <c r="O40" s="38">
        <v>0.0</v>
      </c>
      <c r="P40" s="38">
        <v>0.0</v>
      </c>
      <c r="Q40" s="38">
        <v>0.0</v>
      </c>
      <c r="R40" s="38">
        <v>0.0</v>
      </c>
      <c r="S40" s="38">
        <v>0.0</v>
      </c>
      <c r="T40" s="38">
        <v>0.0</v>
      </c>
      <c r="U40" s="38">
        <v>0.0</v>
      </c>
    </row>
    <row r="41" ht="15.75" customHeight="1">
      <c r="B41" s="1" t="str">
        <f>IF(ISBLANK(Tareas!B37)," - ",Tareas!B37)</f>
        <v>32. Implementación de la gestión de cervezas</v>
      </c>
      <c r="C41" s="38">
        <v>0.0</v>
      </c>
      <c r="D41" s="38">
        <v>0.0</v>
      </c>
      <c r="E41" s="38">
        <v>0.0</v>
      </c>
      <c r="F41" s="38">
        <v>0.0</v>
      </c>
      <c r="G41" s="38">
        <v>0.0</v>
      </c>
      <c r="H41" s="38">
        <v>0.5</v>
      </c>
      <c r="I41" s="38">
        <v>0.0</v>
      </c>
      <c r="J41" s="38">
        <v>0.0</v>
      </c>
      <c r="M41" s="1" t="str">
        <f>IF(ISBLANK(Tareas!B37)," - ",Tareas!B37)</f>
        <v>32. Implementación de la gestión de cervezas</v>
      </c>
      <c r="N41" s="38">
        <v>0.0</v>
      </c>
      <c r="O41" s="38">
        <v>0.0</v>
      </c>
      <c r="P41" s="38">
        <v>0.0</v>
      </c>
      <c r="Q41" s="38">
        <v>0.0</v>
      </c>
      <c r="R41" s="38">
        <v>0.0</v>
      </c>
      <c r="S41" s="38">
        <v>1.0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intermedia del código</v>
      </c>
      <c r="C44" s="38">
        <v>0.0</v>
      </c>
      <c r="D44" s="38">
        <v>0.0</v>
      </c>
      <c r="E44" s="38">
        <v>0.0</v>
      </c>
      <c r="F44" s="38">
        <v>0.0</v>
      </c>
      <c r="G44" s="38">
        <v>0.0</v>
      </c>
      <c r="H44" s="38">
        <v>0.3</v>
      </c>
      <c r="I44" s="38">
        <v>0.0</v>
      </c>
      <c r="J44" s="38">
        <v>0.0</v>
      </c>
      <c r="M44" s="1" t="str">
        <f>IF(ISBLANK(Tareas!B40)," - ",Tareas!B40)</f>
        <v>35. Revisión intermedia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0.0</v>
      </c>
      <c r="J48" s="38">
        <v>0.0</v>
      </c>
      <c r="M48" s="1" t="str">
        <f>IF(ISBLANK(Tareas!B44)," - ",Tareas!B44)</f>
        <v>39. Revisión de las incidencias detectadas</v>
      </c>
      <c r="N48" s="38">
        <v>0.0</v>
      </c>
      <c r="O48" s="38">
        <v>0.0</v>
      </c>
      <c r="P48" s="38">
        <v>0.0</v>
      </c>
      <c r="Q48" s="38">
        <v>0.0</v>
      </c>
      <c r="R48" s="38">
        <v>0.0</v>
      </c>
      <c r="S48" s="38">
        <v>0.0</v>
      </c>
      <c r="T48" s="38">
        <v>0.0</v>
      </c>
      <c r="U48" s="38">
        <v>0.0</v>
      </c>
    </row>
    <row r="49" ht="15.75" customHeight="1">
      <c r="B49" s="1" t="str">
        <f>IF(ISBLANK(Tareas!B45)," - ",Tareas!B45)</f>
        <v>40. Implementación de la gestión de degustaciones</v>
      </c>
      <c r="C49" s="38">
        <v>0.0</v>
      </c>
      <c r="D49" s="38">
        <v>0.0</v>
      </c>
      <c r="E49" s="38">
        <v>0.0</v>
      </c>
      <c r="F49" s="38">
        <v>0.0</v>
      </c>
      <c r="G49" s="38">
        <v>0.0</v>
      </c>
      <c r="H49" s="38">
        <v>0.0</v>
      </c>
      <c r="I49" s="38">
        <v>2.0</v>
      </c>
      <c r="J49" s="38">
        <v>0.0</v>
      </c>
      <c r="M49" s="1" t="str">
        <f>IF(ISBLANK(Tareas!B45)," - ",Tareas!B45)</f>
        <v>40. Implementación de la gestión de degustaciones</v>
      </c>
      <c r="N49" s="38">
        <v>0.0</v>
      </c>
      <c r="O49" s="38">
        <v>0.0</v>
      </c>
      <c r="P49" s="38">
        <v>0.0</v>
      </c>
      <c r="Q49" s="38">
        <v>0.0</v>
      </c>
      <c r="R49" s="38">
        <v>0.0</v>
      </c>
      <c r="S49" s="38">
        <v>0.0</v>
      </c>
      <c r="T49" s="38">
        <v>3.0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0.0</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0.0</v>
      </c>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0.3</v>
      </c>
      <c r="M56" s="1" t="str">
        <f>IF(ISBLANK(Tareas!B52)," - ",Tareas!B52)</f>
        <v>47. Control de versiones y revisión final del código</v>
      </c>
      <c r="N56" s="38">
        <v>0.0</v>
      </c>
      <c r="O56" s="38">
        <v>0.0</v>
      </c>
      <c r="P56" s="38">
        <v>0.0</v>
      </c>
      <c r="Q56" s="38">
        <v>0.0</v>
      </c>
      <c r="R56" s="38">
        <v>0.0</v>
      </c>
      <c r="S56" s="38">
        <v>0.0</v>
      </c>
      <c r="T56" s="38">
        <v>0.0</v>
      </c>
      <c r="U56" s="38">
        <v>0.3</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0.0</v>
      </c>
      <c r="M57" s="1" t="str">
        <f>IF(ISBLANK(Tareas!B53)," - ",Tareas!B53)</f>
        <v>48. Revisión de la configuración y los documentos entregables</v>
      </c>
      <c r="N57" s="38">
        <v>0.0</v>
      </c>
      <c r="O57" s="38">
        <v>0.0</v>
      </c>
      <c r="P57" s="38">
        <v>0.0</v>
      </c>
      <c r="Q57" s="38">
        <v>0.0</v>
      </c>
      <c r="R57" s="38">
        <v>0.0</v>
      </c>
      <c r="S57" s="38">
        <v>0.0</v>
      </c>
      <c r="T57" s="38">
        <v>0.0</v>
      </c>
      <c r="U57" s="38">
        <v>0.0</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1.0</v>
      </c>
      <c r="M59" s="1" t="str">
        <f>IF(ISBLANK(Tareas!B55)," - ",Tareas!B55)</f>
        <v>50. Corrección del código (post-revisión)</v>
      </c>
      <c r="N59" s="38">
        <v>0.0</v>
      </c>
      <c r="O59" s="38">
        <v>0.0</v>
      </c>
      <c r="P59" s="38">
        <v>0.0</v>
      </c>
      <c r="Q59" s="38">
        <v>0.0</v>
      </c>
      <c r="R59" s="38">
        <v>0.0</v>
      </c>
      <c r="S59" s="38">
        <v>0.0</v>
      </c>
      <c r="T59" s="38">
        <v>0.0</v>
      </c>
      <c r="U59" s="38">
        <v>1.0</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0.0</v>
      </c>
      <c r="M61" s="1" t="str">
        <f>IF(ISBLANK(Tareas!B57)," - ",Tareas!B57)</f>
        <v>52. Disposición del código en la línea base (GCS)</v>
      </c>
      <c r="N61" s="38">
        <v>0.0</v>
      </c>
      <c r="O61" s="38">
        <v>0.0</v>
      </c>
      <c r="P61" s="38">
        <v>0.0</v>
      </c>
      <c r="Q61" s="38">
        <v>0.0</v>
      </c>
      <c r="R61" s="38">
        <v>0.0</v>
      </c>
      <c r="S61" s="38">
        <v>0.0</v>
      </c>
      <c r="T61" s="38">
        <v>0.0</v>
      </c>
      <c r="U61" s="38">
        <v>0.0</v>
      </c>
    </row>
    <row r="62" ht="15.75" customHeight="1">
      <c r="B62" s="1" t="str">
        <f>IF(ISBLANK(Tareas!B58)," - ",Tareas!B58)</f>
        <v>53. Entrega del ciclo de vida</v>
      </c>
      <c r="C62" s="38">
        <v>0.0</v>
      </c>
      <c r="D62" s="38">
        <v>0.0</v>
      </c>
      <c r="E62" s="38">
        <v>0.0</v>
      </c>
      <c r="F62" s="38">
        <v>0.0</v>
      </c>
      <c r="G62" s="38">
        <v>0.0</v>
      </c>
      <c r="H62" s="38">
        <v>0.0</v>
      </c>
      <c r="I62" s="38">
        <v>0.0</v>
      </c>
      <c r="J62" s="38">
        <v>0.0</v>
      </c>
      <c r="M62" s="1" t="str">
        <f>IF(ISBLANK(Tareas!B58)," - ",Tareas!B58)</f>
        <v>53. Entrega del ciclo de vida</v>
      </c>
      <c r="N62" s="38">
        <v>0.0</v>
      </c>
      <c r="O62" s="38">
        <v>0.0</v>
      </c>
      <c r="P62" s="38">
        <v>0.0</v>
      </c>
      <c r="Q62" s="38">
        <v>0.0</v>
      </c>
      <c r="R62" s="38">
        <v>0.0</v>
      </c>
      <c r="S62" s="38">
        <v>0.0</v>
      </c>
      <c r="T62" s="38">
        <v>0.0</v>
      </c>
      <c r="U62" s="38">
        <v>0.0</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0.5</v>
      </c>
      <c r="D11" s="38">
        <v>0.0</v>
      </c>
      <c r="E11" s="38">
        <v>0.0</v>
      </c>
      <c r="F11" s="38">
        <v>0.0</v>
      </c>
      <c r="G11" s="38">
        <v>0.0</v>
      </c>
      <c r="H11" s="38">
        <v>0.0</v>
      </c>
      <c r="I11" s="38">
        <v>0.0</v>
      </c>
      <c r="J11" s="38">
        <v>0.0</v>
      </c>
      <c r="K11" s="33"/>
      <c r="M11" s="1" t="str">
        <f>IF(ISBLANK(Tareas!B7)," - ",Tareas!B7)</f>
        <v>2. Asignación de roles</v>
      </c>
      <c r="N11" s="38">
        <v>0.3</v>
      </c>
      <c r="O11" s="38">
        <v>0.0</v>
      </c>
      <c r="P11" s="38">
        <v>0.0</v>
      </c>
      <c r="Q11" s="38">
        <v>0.0</v>
      </c>
      <c r="R11" s="38">
        <v>0.0</v>
      </c>
      <c r="S11" s="38">
        <v>0.0</v>
      </c>
      <c r="T11" s="38">
        <v>0.0</v>
      </c>
      <c r="U11" s="38">
        <v>0.0</v>
      </c>
    </row>
    <row r="12" ht="15.75" customHeight="1">
      <c r="B12" s="1" t="str">
        <f>IF(ISBLANK(Tareas!B8)," - ",Tareas!B8)</f>
        <v>3. Definición del estándar de documentación</v>
      </c>
      <c r="C12" s="38">
        <v>0.5</v>
      </c>
      <c r="D12" s="38">
        <v>0.0</v>
      </c>
      <c r="E12" s="38">
        <v>0.0</v>
      </c>
      <c r="F12" s="38">
        <v>0.0</v>
      </c>
      <c r="G12" s="38">
        <v>0.0</v>
      </c>
      <c r="H12" s="38">
        <v>0.0</v>
      </c>
      <c r="I12" s="38">
        <v>0.0</v>
      </c>
      <c r="J12" s="38">
        <v>0.0</v>
      </c>
      <c r="K12" s="33"/>
      <c r="M12" s="1" t="str">
        <f>IF(ISBLANK(Tareas!B8)," - ",Tareas!B8)</f>
        <v>3. Definición del estándar de documentación</v>
      </c>
      <c r="N12" s="38">
        <v>0.2</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0.3</v>
      </c>
      <c r="D14" s="38">
        <v>0.0</v>
      </c>
      <c r="E14" s="38">
        <v>0.0</v>
      </c>
      <c r="F14" s="38">
        <v>0.0</v>
      </c>
      <c r="G14" s="38">
        <v>0.0</v>
      </c>
      <c r="H14" s="38">
        <v>0.0</v>
      </c>
      <c r="I14" s="38">
        <v>0.0</v>
      </c>
      <c r="J14" s="38">
        <v>0.0</v>
      </c>
      <c r="K14" s="33"/>
      <c r="M14" s="1" t="str">
        <f>IF(ISBLANK(Tareas!B10)," - ",Tareas!B10)</f>
        <v>5. Definición del entorno de desarrollo</v>
      </c>
      <c r="N14" s="38">
        <v>0.3</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9">
        <v>1.5</v>
      </c>
      <c r="E16" s="38">
        <v>0.0</v>
      </c>
      <c r="F16" s="38">
        <v>0.0</v>
      </c>
      <c r="G16" s="38">
        <v>0.0</v>
      </c>
      <c r="H16" s="38">
        <v>0.0</v>
      </c>
      <c r="I16" s="38">
        <v>0.0</v>
      </c>
      <c r="J16" s="38">
        <v>0.0</v>
      </c>
      <c r="M16" s="1" t="str">
        <f>IF(ISBLANK(Tareas!B12)," - ",Tareas!B12)</f>
        <v>7. Realización del análisis de requisitos (ERS)</v>
      </c>
      <c r="N16" s="38">
        <v>0.0</v>
      </c>
      <c r="O16" s="39">
        <v>2.0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0.5</v>
      </c>
      <c r="F18" s="38">
        <v>0.0</v>
      </c>
      <c r="G18" s="38">
        <v>0.0</v>
      </c>
      <c r="H18" s="38">
        <v>0.0</v>
      </c>
      <c r="I18" s="38">
        <v>0.0</v>
      </c>
      <c r="J18" s="38">
        <v>0.0</v>
      </c>
      <c r="M18" s="1" t="str">
        <f>IF(ISBLANK(Tareas!B14)," - ",Tareas!B14)</f>
        <v>9. Revisión del análisis de requisitos</v>
      </c>
      <c r="N18" s="38">
        <v>0.0</v>
      </c>
      <c r="O18" s="38">
        <v>0.0</v>
      </c>
      <c r="P18" s="38">
        <v>0.2</v>
      </c>
      <c r="Q18" s="38">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M19" s="1" t="str">
        <f>IF(ISBLANK(Tareas!B15)," - ",Tareas!B15)</f>
        <v>10. Disposición del ERS en la línea base (GCS)</v>
      </c>
      <c r="N19" s="38">
        <v>0.0</v>
      </c>
      <c r="O19" s="38">
        <v>0.0</v>
      </c>
      <c r="P19" s="38">
        <v>0.0</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0.5</v>
      </c>
      <c r="F21" s="38">
        <v>0.0</v>
      </c>
      <c r="G21" s="38">
        <v>0.0</v>
      </c>
      <c r="H21" s="38">
        <v>0.0</v>
      </c>
      <c r="I21" s="38">
        <v>0.0</v>
      </c>
      <c r="J21" s="38">
        <v>0.0</v>
      </c>
      <c r="M21" s="1" t="str">
        <f>IF(ISBLANK(Tareas!B17)," - ",Tareas!B17)</f>
        <v>12. Definición de los casos de uso y el modelo E/R</v>
      </c>
      <c r="N21" s="38">
        <v>0.0</v>
      </c>
      <c r="O21" s="38">
        <v>0.0</v>
      </c>
      <c r="P21" s="38">
        <v>1.0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0.5</v>
      </c>
      <c r="F23" s="38">
        <v>0.0</v>
      </c>
      <c r="G23" s="38">
        <v>0.0</v>
      </c>
      <c r="H23" s="38">
        <v>0.0</v>
      </c>
      <c r="I23" s="38">
        <v>0.0</v>
      </c>
      <c r="J23" s="38">
        <v>0.0</v>
      </c>
      <c r="M23" s="1" t="str">
        <f>IF(ISBLANK(Tareas!B19)," - ",Tareas!B19)</f>
        <v>14. Cálculo de los puntos de función</v>
      </c>
      <c r="N23" s="38">
        <v>0.0</v>
      </c>
      <c r="O23" s="38">
        <v>0.0</v>
      </c>
      <c r="P23" s="38">
        <v>0.0</v>
      </c>
      <c r="Q23" s="38">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M24" s="1" t="str">
        <f>IF(ISBLANK(Tareas!B20)," - ",Tareas!B20)</f>
        <v>15. Realización del diagrama Gantt</v>
      </c>
      <c r="N24" s="38">
        <v>0.0</v>
      </c>
      <c r="O24" s="38">
        <v>0.0</v>
      </c>
      <c r="P24" s="38">
        <v>0.0</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40">
        <v>1.5</v>
      </c>
      <c r="G26" s="38">
        <v>0.3</v>
      </c>
      <c r="H26" s="38">
        <v>0.0</v>
      </c>
      <c r="I26" s="38">
        <v>0.0</v>
      </c>
      <c r="J26" s="38">
        <v>0.0</v>
      </c>
      <c r="M26" s="1" t="str">
        <f>IF(ISBLANK(Tareas!B22)," - ",Tareas!B22)</f>
        <v>17. Definición del plan de gestión de configuración software (GCS)</v>
      </c>
      <c r="N26" s="38">
        <v>0.0</v>
      </c>
      <c r="O26" s="38">
        <v>0.0</v>
      </c>
      <c r="P26" s="38">
        <v>0.0</v>
      </c>
      <c r="Q26" s="40">
        <v>1.5</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38">
        <v>0.0</v>
      </c>
      <c r="O27" s="38">
        <v>0.0</v>
      </c>
      <c r="P27" s="38">
        <v>0.0</v>
      </c>
      <c r="Q27" s="38">
        <v>0.0</v>
      </c>
      <c r="R27" s="38">
        <v>0.0</v>
      </c>
      <c r="S27" s="38">
        <v>0.0</v>
      </c>
      <c r="T27" s="38">
        <v>0.0</v>
      </c>
      <c r="U27" s="38">
        <v>0.0</v>
      </c>
    </row>
    <row r="28" ht="15.75" customHeight="1">
      <c r="B28" s="1" t="str">
        <f>IF(ISBLANK(Tareas!B24)," - ",Tareas!B24)</f>
        <v>19. Introducción de los datos en EVM</v>
      </c>
      <c r="C28" s="38">
        <v>0.0</v>
      </c>
      <c r="D28" s="38">
        <v>0.0</v>
      </c>
      <c r="E28" s="38">
        <v>0.0</v>
      </c>
      <c r="F28" s="38">
        <v>0.0</v>
      </c>
      <c r="G28" s="38">
        <v>0.0</v>
      </c>
      <c r="H28" s="38">
        <v>0.0</v>
      </c>
      <c r="I28" s="38">
        <v>0.0</v>
      </c>
      <c r="J28" s="38">
        <v>0.0</v>
      </c>
      <c r="M28" s="1" t="str">
        <f>IF(ISBLANK(Tareas!B24)," - ",Tareas!B24)</f>
        <v>19. Introducción de los datos en EVM</v>
      </c>
      <c r="N28" s="38">
        <v>0.0</v>
      </c>
      <c r="O28" s="38">
        <v>0.0</v>
      </c>
      <c r="P28" s="38">
        <v>0.0</v>
      </c>
      <c r="Q28" s="38">
        <v>0.0</v>
      </c>
      <c r="R28" s="38">
        <v>0.0</v>
      </c>
      <c r="S28" s="38">
        <v>0.0</v>
      </c>
      <c r="T28" s="38">
        <v>0.0</v>
      </c>
      <c r="U28" s="38">
        <v>0.0</v>
      </c>
    </row>
    <row r="29" ht="15.75" customHeight="1">
      <c r="B29" s="1" t="str">
        <f>IF(ISBLANK(Tareas!B25)," - ",Tareas!B25)</f>
        <v>20. Definición del prototipo UI</v>
      </c>
      <c r="C29" s="38">
        <v>0.0</v>
      </c>
      <c r="D29" s="38">
        <v>0.0</v>
      </c>
      <c r="E29" s="38">
        <v>0.0</v>
      </c>
      <c r="F29" s="38">
        <v>1.0</v>
      </c>
      <c r="G29" s="38">
        <v>0.3</v>
      </c>
      <c r="H29" s="38">
        <v>0.0</v>
      </c>
      <c r="I29" s="38">
        <v>0.0</v>
      </c>
      <c r="J29" s="38">
        <v>0.0</v>
      </c>
      <c r="M29" s="1" t="str">
        <f>IF(ISBLANK(Tareas!B25)," - ",Tareas!B25)</f>
        <v>20. Definición del prototipo UI</v>
      </c>
      <c r="N29" s="38">
        <v>0.0</v>
      </c>
      <c r="O29" s="38">
        <v>0.0</v>
      </c>
      <c r="P29" s="38">
        <v>0.0</v>
      </c>
      <c r="Q29" s="38">
        <v>1.0</v>
      </c>
      <c r="R29" s="38">
        <v>0.0</v>
      </c>
      <c r="S29" s="38">
        <v>0.0</v>
      </c>
      <c r="T29" s="38">
        <v>0.0</v>
      </c>
      <c r="U29" s="38">
        <v>0.0</v>
      </c>
    </row>
    <row r="30" ht="15.75" customHeight="1">
      <c r="B30" s="1" t="str">
        <f>IF(ISBLANK(Tareas!B26)," - ",Tareas!B26)</f>
        <v>21. Reunión 5</v>
      </c>
      <c r="C30" s="38">
        <v>0.0</v>
      </c>
      <c r="D30" s="38">
        <v>0.0</v>
      </c>
      <c r="E30" s="38">
        <v>0.0</v>
      </c>
      <c r="F30" s="38">
        <v>0.0</v>
      </c>
      <c r="G30" s="38">
        <v>1.0</v>
      </c>
      <c r="H30" s="38">
        <v>0.0</v>
      </c>
      <c r="I30" s="38">
        <v>0.0</v>
      </c>
      <c r="J30" s="38">
        <v>0.0</v>
      </c>
      <c r="M30" s="1" t="str">
        <f>IF(ISBLANK(Tareas!B26)," - ",Tareas!B26)</f>
        <v>21. Reunión 5</v>
      </c>
      <c r="N30" s="38">
        <v>0.0</v>
      </c>
      <c r="O30" s="38">
        <v>0.0</v>
      </c>
      <c r="P30" s="38">
        <v>0.0</v>
      </c>
      <c r="Q30" s="38">
        <v>0.0</v>
      </c>
      <c r="R30" s="38">
        <v>1.0</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0.5</v>
      </c>
      <c r="H32" s="38">
        <v>0.0</v>
      </c>
      <c r="I32" s="38">
        <v>0.0</v>
      </c>
      <c r="J32" s="38">
        <v>0.0</v>
      </c>
      <c r="M32" s="1" t="str">
        <f>IF(ISBLANK(Tareas!B28)," - ",Tareas!B28)</f>
        <v>23. Revisión intermedia del diseño</v>
      </c>
      <c r="N32" s="38">
        <v>0.0</v>
      </c>
      <c r="O32" s="38">
        <v>0.0</v>
      </c>
      <c r="P32" s="38">
        <v>0.0</v>
      </c>
      <c r="Q32" s="38">
        <v>0.0</v>
      </c>
      <c r="R32" s="38">
        <v>0.5</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0.0</v>
      </c>
      <c r="H34" s="38">
        <v>0.0</v>
      </c>
      <c r="I34" s="38">
        <v>0.0</v>
      </c>
      <c r="J34" s="38">
        <v>0.0</v>
      </c>
      <c r="M34" s="1" t="str">
        <f>IF(ISBLANK(Tareas!B30)," - ",Tareas!B30)</f>
        <v>25. Implementación de la gestión de usuarios</v>
      </c>
      <c r="N34" s="38">
        <v>0.0</v>
      </c>
      <c r="O34" s="38">
        <v>0.0</v>
      </c>
      <c r="P34" s="38">
        <v>0.0</v>
      </c>
      <c r="Q34" s="38">
        <v>0.0</v>
      </c>
      <c r="R34" s="38">
        <v>0.0</v>
      </c>
      <c r="S34" s="38">
        <v>0.0</v>
      </c>
      <c r="T34" s="38">
        <v>0.0</v>
      </c>
      <c r="U34" s="38">
        <v>0.0</v>
      </c>
    </row>
    <row r="35" ht="15.75" customHeight="1">
      <c r="B35" s="1" t="str">
        <f>IF(ISBLANK(Tareas!B31)," - ",Tareas!B31)</f>
        <v>26. Implementación de la gestión de perfiles</v>
      </c>
      <c r="C35" s="38">
        <v>0.0</v>
      </c>
      <c r="D35" s="38">
        <v>0.0</v>
      </c>
      <c r="E35" s="38">
        <v>0.0</v>
      </c>
      <c r="F35" s="38">
        <v>0.0</v>
      </c>
      <c r="G35" s="38">
        <v>0.2</v>
      </c>
      <c r="H35" s="38">
        <v>0.0</v>
      </c>
      <c r="I35" s="38">
        <v>0.0</v>
      </c>
      <c r="J35" s="38">
        <v>0.0</v>
      </c>
      <c r="M35" s="1" t="str">
        <f>IF(ISBLANK(Tareas!B31)," - ",Tareas!B31)</f>
        <v>26. Implementación de la gestión de perfiles</v>
      </c>
      <c r="N35" s="38">
        <v>0.0</v>
      </c>
      <c r="O35" s="38">
        <v>0.0</v>
      </c>
      <c r="P35" s="38">
        <v>0.0</v>
      </c>
      <c r="Q35" s="38">
        <v>0.0</v>
      </c>
      <c r="R35" s="38">
        <v>0.2</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0.5</v>
      </c>
      <c r="H36" s="38">
        <v>0.0</v>
      </c>
      <c r="I36" s="38">
        <v>0.0</v>
      </c>
      <c r="J36" s="38">
        <v>0.0</v>
      </c>
      <c r="M36" s="1" t="str">
        <f>IF(ISBLANK(Tareas!B32)," - ",Tareas!B32)</f>
        <v>27. Definición del diseño con objetos y pantallas finales</v>
      </c>
      <c r="N36" s="38">
        <v>0.0</v>
      </c>
      <c r="O36" s="38">
        <v>0.0</v>
      </c>
      <c r="P36" s="38">
        <v>0.0</v>
      </c>
      <c r="Q36" s="38">
        <v>0.0</v>
      </c>
      <c r="R36" s="38">
        <v>0.5</v>
      </c>
      <c r="S36" s="38">
        <v>0.0</v>
      </c>
      <c r="T36" s="38">
        <v>0.0</v>
      </c>
      <c r="U36" s="38">
        <v>0.0</v>
      </c>
    </row>
    <row r="37" ht="15.75" customHeight="1">
      <c r="B37" s="1" t="str">
        <f>IF(ISBLANK(Tareas!B33)," - ",Tareas!B33)</f>
        <v>28. Revisión intermedia del código</v>
      </c>
      <c r="C37" s="38">
        <v>0.0</v>
      </c>
      <c r="D37" s="38">
        <v>0.0</v>
      </c>
      <c r="E37" s="38">
        <v>0.0</v>
      </c>
      <c r="F37" s="38">
        <v>0.0</v>
      </c>
      <c r="G37" s="38">
        <v>0.3</v>
      </c>
      <c r="H37" s="38">
        <v>0.0</v>
      </c>
      <c r="I37" s="38">
        <v>0.0</v>
      </c>
      <c r="J37" s="38">
        <v>0.0</v>
      </c>
      <c r="M37" s="1" t="str">
        <f>IF(ISBLANK(Tareas!B33)," - ",Tareas!B33)</f>
        <v>28. Revisión intermedia del código</v>
      </c>
      <c r="N37" s="38">
        <v>0.0</v>
      </c>
      <c r="O37" s="38">
        <v>0.0</v>
      </c>
      <c r="P37" s="38">
        <v>0.0</v>
      </c>
      <c r="Q37" s="38">
        <v>0.0</v>
      </c>
      <c r="R37" s="38">
        <v>0.2</v>
      </c>
      <c r="S37" s="38">
        <v>0.0</v>
      </c>
      <c r="T37" s="38">
        <v>0.0</v>
      </c>
      <c r="U37" s="38">
        <v>0.0</v>
      </c>
    </row>
    <row r="38" ht="15.75" customHeight="1">
      <c r="B38" s="1" t="str">
        <f>IF(ISBLANK(Tareas!B34)," - ",Tareas!B34)</f>
        <v>29. Reunión 6</v>
      </c>
      <c r="C38" s="38">
        <v>0.0</v>
      </c>
      <c r="D38" s="38">
        <v>0.0</v>
      </c>
      <c r="E38" s="38">
        <v>0.0</v>
      </c>
      <c r="F38" s="38">
        <v>0.0</v>
      </c>
      <c r="G38" s="38">
        <v>0.0</v>
      </c>
      <c r="H38" s="38">
        <v>0.5</v>
      </c>
      <c r="I38" s="38">
        <v>0.0</v>
      </c>
      <c r="J38" s="38">
        <v>0.0</v>
      </c>
      <c r="M38" s="1" t="str">
        <f>IF(ISBLANK(Tareas!B34)," - ",Tareas!B34)</f>
        <v>29. Reunión 6</v>
      </c>
      <c r="N38" s="38">
        <v>0.0</v>
      </c>
      <c r="O38" s="38">
        <v>0.0</v>
      </c>
      <c r="P38" s="38">
        <v>0.0</v>
      </c>
      <c r="Q38" s="38">
        <v>0.0</v>
      </c>
      <c r="R38" s="38">
        <v>0.0</v>
      </c>
      <c r="S38" s="38">
        <v>0.5</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0.5</v>
      </c>
      <c r="I40" s="38">
        <v>0.0</v>
      </c>
      <c r="J40" s="38">
        <v>0.0</v>
      </c>
      <c r="M40" s="1" t="str">
        <f>IF(ISBLANK(Tareas!B36)," - ",Tareas!B36)</f>
        <v>31. Implementación de la gestión de amistades</v>
      </c>
      <c r="N40" s="38">
        <v>0.0</v>
      </c>
      <c r="O40" s="38">
        <v>0.0</v>
      </c>
      <c r="P40" s="38">
        <v>0.0</v>
      </c>
      <c r="Q40" s="38">
        <v>0.0</v>
      </c>
      <c r="R40" s="38">
        <v>0.0</v>
      </c>
      <c r="S40" s="38">
        <v>0.5</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intermedia del código</v>
      </c>
      <c r="C44" s="38">
        <v>0.0</v>
      </c>
      <c r="D44" s="38">
        <v>0.0</v>
      </c>
      <c r="E44" s="38">
        <v>0.0</v>
      </c>
      <c r="F44" s="38">
        <v>0.0</v>
      </c>
      <c r="G44" s="38">
        <v>0.0</v>
      </c>
      <c r="H44" s="38">
        <v>0.3</v>
      </c>
      <c r="I44" s="38">
        <v>0.0</v>
      </c>
      <c r="J44" s="38">
        <v>0.0</v>
      </c>
      <c r="M44" s="1" t="str">
        <f>IF(ISBLANK(Tareas!B40)," - ",Tareas!B40)</f>
        <v>35. Revisión intermedia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40">
        <v>0.3</v>
      </c>
      <c r="I45" s="38">
        <v>0.0</v>
      </c>
      <c r="J45" s="38">
        <v>0.0</v>
      </c>
      <c r="M45" s="1" t="str">
        <f>IF(ISBLANK(Tareas!B41)," - ",Tareas!B41)</f>
        <v>36. Disposición del diseño en la línea base (GCS)</v>
      </c>
      <c r="N45" s="38">
        <v>0.0</v>
      </c>
      <c r="O45" s="38">
        <v>0.0</v>
      </c>
      <c r="P45" s="38">
        <v>0.0</v>
      </c>
      <c r="Q45" s="38">
        <v>0.0</v>
      </c>
      <c r="R45" s="38">
        <v>0.0</v>
      </c>
      <c r="S45" s="40">
        <v>0.3</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0.5</v>
      </c>
      <c r="J48" s="38">
        <v>0.0</v>
      </c>
      <c r="M48" s="1" t="str">
        <f>IF(ISBLANK(Tareas!B44)," - ",Tareas!B44)</f>
        <v>39. Revisión de las incidencias detectadas</v>
      </c>
      <c r="N48" s="38">
        <v>0.0</v>
      </c>
      <c r="O48" s="38">
        <v>0.0</v>
      </c>
      <c r="P48" s="38">
        <v>0.0</v>
      </c>
      <c r="Q48" s="38">
        <v>0.0</v>
      </c>
      <c r="R48" s="38">
        <v>0.0</v>
      </c>
      <c r="S48" s="38">
        <v>0.0</v>
      </c>
      <c r="T48" s="38">
        <v>0.3</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2.0</v>
      </c>
      <c r="J51" s="38">
        <v>0.0</v>
      </c>
      <c r="M51" s="1" t="str">
        <f>IF(ISBLANK(Tareas!B47)," - ",Tareas!B47)</f>
        <v>42. Integración del prototipo UI</v>
      </c>
      <c r="N51" s="38">
        <v>0.0</v>
      </c>
      <c r="O51" s="38">
        <v>0.0</v>
      </c>
      <c r="P51" s="38">
        <v>0.0</v>
      </c>
      <c r="Q51" s="38">
        <v>0.0</v>
      </c>
      <c r="R51" s="38">
        <v>0.0</v>
      </c>
      <c r="S51" s="38">
        <v>0.0</v>
      </c>
      <c r="T51" s="38">
        <v>3.0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0.5</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0.0</v>
      </c>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0.5</v>
      </c>
      <c r="M56" s="1" t="str">
        <f>IF(ISBLANK(Tareas!B52)," - ",Tareas!B52)</f>
        <v>47. Control de versiones y revisión final del código</v>
      </c>
      <c r="N56" s="38">
        <v>0.0</v>
      </c>
      <c r="O56" s="38">
        <v>0.0</v>
      </c>
      <c r="P56" s="38">
        <v>0.0</v>
      </c>
      <c r="Q56" s="38">
        <v>0.0</v>
      </c>
      <c r="R56" s="38">
        <v>0.0</v>
      </c>
      <c r="S56" s="38">
        <v>0.0</v>
      </c>
      <c r="T56" s="38">
        <v>0.0</v>
      </c>
      <c r="U56" s="38">
        <v>1.0</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0.0</v>
      </c>
      <c r="M57" s="1" t="str">
        <f>IF(ISBLANK(Tareas!B53)," - ",Tareas!B53)</f>
        <v>48. Revisión de la configuración y los documentos entregables</v>
      </c>
      <c r="N57" s="38">
        <v>0.0</v>
      </c>
      <c r="O57" s="38">
        <v>0.0</v>
      </c>
      <c r="P57" s="38">
        <v>0.0</v>
      </c>
      <c r="Q57" s="38">
        <v>0.0</v>
      </c>
      <c r="R57" s="38">
        <v>0.0</v>
      </c>
      <c r="S57" s="38">
        <v>0.0</v>
      </c>
      <c r="T57" s="38">
        <v>0.0</v>
      </c>
      <c r="U57" s="38">
        <v>0.0</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0.5</v>
      </c>
      <c r="M59" s="1" t="str">
        <f>IF(ISBLANK(Tareas!B55)," - ",Tareas!B55)</f>
        <v>50. Corrección del código (post-revisión)</v>
      </c>
      <c r="N59" s="38">
        <v>0.0</v>
      </c>
      <c r="O59" s="38">
        <v>0.0</v>
      </c>
      <c r="P59" s="38">
        <v>0.0</v>
      </c>
      <c r="Q59" s="38">
        <v>0.0</v>
      </c>
      <c r="R59" s="38">
        <v>0.0</v>
      </c>
      <c r="S59" s="38">
        <v>0.0</v>
      </c>
      <c r="T59" s="38">
        <v>0.0</v>
      </c>
      <c r="U59" s="38">
        <v>0.3</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0.3</v>
      </c>
      <c r="M61" s="1" t="str">
        <f>IF(ISBLANK(Tareas!B57)," - ",Tareas!B57)</f>
        <v>52. Disposición del código en la línea base (GCS)</v>
      </c>
      <c r="N61" s="38">
        <v>0.0</v>
      </c>
      <c r="O61" s="38">
        <v>0.0</v>
      </c>
      <c r="P61" s="38">
        <v>0.0</v>
      </c>
      <c r="Q61" s="38">
        <v>0.0</v>
      </c>
      <c r="R61" s="38">
        <v>0.0</v>
      </c>
      <c r="S61" s="38">
        <v>0.0</v>
      </c>
      <c r="T61" s="38">
        <v>0.0</v>
      </c>
      <c r="U61" s="38">
        <v>0.3</v>
      </c>
    </row>
    <row r="62" ht="15.75" customHeight="1">
      <c r="B62" s="1" t="str">
        <f>IF(ISBLANK(Tareas!B58)," - ",Tareas!B58)</f>
        <v>53. Entrega del ciclo de vida</v>
      </c>
      <c r="C62" s="38">
        <v>0.0</v>
      </c>
      <c r="D62" s="38">
        <v>0.0</v>
      </c>
      <c r="E62" s="38">
        <v>0.0</v>
      </c>
      <c r="F62" s="38">
        <v>0.0</v>
      </c>
      <c r="G62" s="38">
        <v>0.0</v>
      </c>
      <c r="H62" s="38">
        <v>0.0</v>
      </c>
      <c r="I62" s="38">
        <v>0.0</v>
      </c>
      <c r="J62" s="38">
        <v>0.5</v>
      </c>
      <c r="M62" s="1" t="str">
        <f>IF(ISBLANK(Tareas!B58)," - ",Tareas!B58)</f>
        <v>53. Entrega del ciclo de vida</v>
      </c>
      <c r="N62" s="38">
        <v>0.0</v>
      </c>
      <c r="O62" s="38">
        <v>0.0</v>
      </c>
      <c r="P62" s="38">
        <v>0.0</v>
      </c>
      <c r="Q62" s="38">
        <v>0.0</v>
      </c>
      <c r="R62" s="38">
        <v>0.0</v>
      </c>
      <c r="S62" s="38">
        <v>0.0</v>
      </c>
      <c r="T62" s="38">
        <v>0.0</v>
      </c>
      <c r="U62" s="38">
        <v>0.3</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0.5</v>
      </c>
      <c r="D11" s="38">
        <v>0.0</v>
      </c>
      <c r="E11" s="38">
        <v>0.0</v>
      </c>
      <c r="F11" s="38">
        <v>0.0</v>
      </c>
      <c r="G11" s="38">
        <v>0.0</v>
      </c>
      <c r="H11" s="38">
        <v>0.0</v>
      </c>
      <c r="I11" s="38">
        <v>0.0</v>
      </c>
      <c r="J11" s="38">
        <v>0.0</v>
      </c>
      <c r="K11" s="33"/>
      <c r="M11" s="1" t="str">
        <f>IF(ISBLANK(Tareas!B7)," - ",Tareas!B7)</f>
        <v>2. Asignación de roles</v>
      </c>
      <c r="N11" s="38">
        <v>0.3</v>
      </c>
      <c r="O11" s="38">
        <v>0.0</v>
      </c>
      <c r="P11" s="38">
        <v>0.0</v>
      </c>
      <c r="Q11" s="38">
        <v>0.0</v>
      </c>
      <c r="R11" s="38">
        <v>0.0</v>
      </c>
      <c r="S11" s="38">
        <v>0.0</v>
      </c>
      <c r="T11" s="38">
        <v>0.0</v>
      </c>
      <c r="U11" s="38">
        <v>0.0</v>
      </c>
    </row>
    <row r="12" ht="15.75" customHeight="1">
      <c r="B12" s="1" t="str">
        <f>IF(ISBLANK(Tareas!B8)," - ",Tareas!B8)</f>
        <v>3. Definición del estándar de documentación</v>
      </c>
      <c r="C12" s="38">
        <v>0.0</v>
      </c>
      <c r="D12" s="38">
        <v>0.0</v>
      </c>
      <c r="E12" s="38">
        <v>0.0</v>
      </c>
      <c r="F12" s="38">
        <v>0.0</v>
      </c>
      <c r="G12" s="38">
        <v>0.0</v>
      </c>
      <c r="H12" s="38">
        <v>0.0</v>
      </c>
      <c r="I12" s="38">
        <v>0.0</v>
      </c>
      <c r="J12" s="38">
        <v>0.0</v>
      </c>
      <c r="K12" s="33"/>
      <c r="M12" s="1" t="str">
        <f>IF(ISBLANK(Tareas!B8)," - ",Tareas!B8)</f>
        <v>3. Definición del estándar de documentación</v>
      </c>
      <c r="N12" s="38">
        <v>0.0</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0.0</v>
      </c>
      <c r="D14" s="38">
        <v>0.0</v>
      </c>
      <c r="E14" s="38">
        <v>0.0</v>
      </c>
      <c r="F14" s="38">
        <v>0.0</v>
      </c>
      <c r="G14" s="38">
        <v>0.0</v>
      </c>
      <c r="H14" s="38">
        <v>0.0</v>
      </c>
      <c r="I14" s="38">
        <v>0.0</v>
      </c>
      <c r="J14" s="38">
        <v>0.0</v>
      </c>
      <c r="K14" s="33"/>
      <c r="M14" s="1" t="str">
        <f>IF(ISBLANK(Tareas!B10)," - ",Tareas!B10)</f>
        <v>5. Definición del entorno de desarrollo</v>
      </c>
      <c r="N14" s="38">
        <v>0.0</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9">
        <v>1.5</v>
      </c>
      <c r="E16" s="38">
        <v>0.3</v>
      </c>
      <c r="F16" s="38">
        <v>0.0</v>
      </c>
      <c r="G16" s="38">
        <v>0.0</v>
      </c>
      <c r="H16" s="38">
        <v>0.0</v>
      </c>
      <c r="I16" s="38">
        <v>0.0</v>
      </c>
      <c r="J16" s="38">
        <v>0.0</v>
      </c>
      <c r="M16" s="1" t="str">
        <f>IF(ISBLANK(Tareas!B12)," - ",Tareas!B12)</f>
        <v>7. Realización del análisis de requisitos (ERS)</v>
      </c>
      <c r="N16" s="38">
        <v>0.0</v>
      </c>
      <c r="O16" s="39">
        <v>2.0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0.5</v>
      </c>
      <c r="F18" s="38">
        <v>0.0</v>
      </c>
      <c r="G18" s="38">
        <v>0.0</v>
      </c>
      <c r="H18" s="38">
        <v>0.0</v>
      </c>
      <c r="I18" s="38">
        <v>0.0</v>
      </c>
      <c r="J18" s="38">
        <v>0.0</v>
      </c>
      <c r="M18" s="1" t="str">
        <f>IF(ISBLANK(Tareas!B14)," - ",Tareas!B14)</f>
        <v>9. Revisión del análisis de requisitos</v>
      </c>
      <c r="N18" s="38">
        <v>0.0</v>
      </c>
      <c r="O18" s="38">
        <v>0.0</v>
      </c>
      <c r="P18" s="38">
        <v>0.2</v>
      </c>
      <c r="Q18" s="38">
        <v>0.0</v>
      </c>
      <c r="R18" s="38">
        <v>0.0</v>
      </c>
      <c r="S18" s="38">
        <v>0.0</v>
      </c>
      <c r="T18" s="38">
        <v>0.0</v>
      </c>
      <c r="U18" s="38">
        <v>0.0</v>
      </c>
    </row>
    <row r="19" ht="15.75" customHeight="1">
      <c r="B19" s="1" t="str">
        <f>IF(ISBLANK(Tareas!B15)," - ",Tareas!B15)</f>
        <v>10. Disposición del ERS en la línea base (GCS)</v>
      </c>
      <c r="C19" s="38">
        <v>0.0</v>
      </c>
      <c r="D19" s="38">
        <v>0.0</v>
      </c>
      <c r="E19" s="38">
        <v>0.3</v>
      </c>
      <c r="F19" s="38">
        <v>0.0</v>
      </c>
      <c r="G19" s="38">
        <v>0.0</v>
      </c>
      <c r="H19" s="38">
        <v>0.0</v>
      </c>
      <c r="I19" s="38">
        <v>0.0</v>
      </c>
      <c r="J19" s="38">
        <v>0.0</v>
      </c>
      <c r="M19" s="1" t="str">
        <f>IF(ISBLANK(Tareas!B15)," - ",Tareas!B15)</f>
        <v>10. Disposición del ERS en la línea base (GCS)</v>
      </c>
      <c r="N19" s="38">
        <v>0.0</v>
      </c>
      <c r="O19" s="38">
        <v>0.0</v>
      </c>
      <c r="P19" s="38">
        <v>0.3</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0.3</v>
      </c>
      <c r="F21" s="38">
        <v>0.0</v>
      </c>
      <c r="G21" s="38">
        <v>0.0</v>
      </c>
      <c r="H21" s="38">
        <v>0.0</v>
      </c>
      <c r="I21" s="38">
        <v>0.0</v>
      </c>
      <c r="J21" s="38">
        <v>0.0</v>
      </c>
      <c r="M21" s="1" t="str">
        <f>IF(ISBLANK(Tareas!B17)," - ",Tareas!B17)</f>
        <v>12. Definición de los casos de uso y el modelo E/R</v>
      </c>
      <c r="N21" s="38">
        <v>0.0</v>
      </c>
      <c r="O21" s="38">
        <v>0.0</v>
      </c>
      <c r="P21" s="38">
        <v>1.0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K22" s="33"/>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0.0</v>
      </c>
      <c r="F23" s="38">
        <v>0.0</v>
      </c>
      <c r="G23" s="38">
        <v>0.0</v>
      </c>
      <c r="H23" s="38">
        <v>0.0</v>
      </c>
      <c r="I23" s="38">
        <v>0.0</v>
      </c>
      <c r="J23" s="38">
        <v>0.0</v>
      </c>
      <c r="M23" s="1" t="str">
        <f>IF(ISBLANK(Tareas!B19)," - ",Tareas!B19)</f>
        <v>14. Cálculo de los puntos de función</v>
      </c>
      <c r="N23" s="38">
        <v>0.0</v>
      </c>
      <c r="O23" s="38">
        <v>0.0</v>
      </c>
      <c r="P23" s="38">
        <v>0.0</v>
      </c>
      <c r="Q23" s="38">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M24" s="1" t="str">
        <f>IF(ISBLANK(Tareas!B20)," - ",Tareas!B20)</f>
        <v>15. Realización del diagrama Gantt</v>
      </c>
      <c r="N24" s="38">
        <v>0.0</v>
      </c>
      <c r="O24" s="38">
        <v>0.0</v>
      </c>
      <c r="P24" s="38">
        <v>0.0</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40">
        <v>1.5</v>
      </c>
      <c r="G26" s="38">
        <v>0.3</v>
      </c>
      <c r="H26" s="38">
        <v>0.0</v>
      </c>
      <c r="I26" s="38">
        <v>0.0</v>
      </c>
      <c r="J26" s="38">
        <v>0.0</v>
      </c>
      <c r="M26" s="1" t="str">
        <f>IF(ISBLANK(Tareas!B22)," - ",Tareas!B22)</f>
        <v>17. Definición del plan de gestión de configuración software (GCS)</v>
      </c>
      <c r="N26" s="38">
        <v>0.0</v>
      </c>
      <c r="O26" s="38">
        <v>0.0</v>
      </c>
      <c r="P26" s="38">
        <v>0.0</v>
      </c>
      <c r="Q26" s="40">
        <v>1.5</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38">
        <v>0.0</v>
      </c>
      <c r="O27" s="38">
        <v>0.0</v>
      </c>
      <c r="P27" s="38">
        <v>0.0</v>
      </c>
      <c r="Q27" s="38">
        <v>0.0</v>
      </c>
      <c r="R27" s="38">
        <v>0.0</v>
      </c>
      <c r="S27" s="38">
        <v>0.0</v>
      </c>
      <c r="T27" s="38">
        <v>0.0</v>
      </c>
      <c r="U27" s="38">
        <v>0.0</v>
      </c>
    </row>
    <row r="28" ht="15.75" customHeight="1">
      <c r="B28" s="1" t="str">
        <f>IF(ISBLANK(Tareas!B24)," - ",Tareas!B24)</f>
        <v>19. Introducción de los datos en EVM</v>
      </c>
      <c r="C28" s="38">
        <v>0.0</v>
      </c>
      <c r="D28" s="38">
        <v>0.0</v>
      </c>
      <c r="E28" s="38">
        <v>0.0</v>
      </c>
      <c r="F28" s="38">
        <v>0.0</v>
      </c>
      <c r="G28" s="38">
        <v>0.0</v>
      </c>
      <c r="H28" s="38">
        <v>0.0</v>
      </c>
      <c r="I28" s="38">
        <v>0.0</v>
      </c>
      <c r="J28" s="38">
        <v>0.0</v>
      </c>
      <c r="M28" s="1" t="str">
        <f>IF(ISBLANK(Tareas!B24)," - ",Tareas!B24)</f>
        <v>19. Introducción de los datos en EVM</v>
      </c>
      <c r="N28" s="38">
        <v>0.0</v>
      </c>
      <c r="O28" s="38">
        <v>0.0</v>
      </c>
      <c r="P28" s="38">
        <v>0.0</v>
      </c>
      <c r="Q28" s="38">
        <v>0.0</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0.5</v>
      </c>
      <c r="H30" s="38">
        <v>0.0</v>
      </c>
      <c r="I30" s="38">
        <v>0.0</v>
      </c>
      <c r="J30" s="38">
        <v>0.0</v>
      </c>
      <c r="M30" s="1" t="str">
        <f>IF(ISBLANK(Tareas!B26)," - ",Tareas!B26)</f>
        <v>21. Reunión 5</v>
      </c>
      <c r="N30" s="38">
        <v>0.0</v>
      </c>
      <c r="O30" s="38">
        <v>0.0</v>
      </c>
      <c r="P30" s="38">
        <v>0.0</v>
      </c>
      <c r="Q30" s="38">
        <v>0.0</v>
      </c>
      <c r="R30" s="38">
        <v>0.5</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0.2</v>
      </c>
      <c r="H34" s="38">
        <v>0.0</v>
      </c>
      <c r="I34" s="38">
        <v>0.0</v>
      </c>
      <c r="J34" s="38">
        <v>0.0</v>
      </c>
      <c r="M34" s="1" t="str">
        <f>IF(ISBLANK(Tareas!B30)," - ",Tareas!B30)</f>
        <v>25. Implementación de la gestión de usuarios</v>
      </c>
      <c r="N34" s="38">
        <v>0.0</v>
      </c>
      <c r="O34" s="38">
        <v>0.0</v>
      </c>
      <c r="P34" s="38">
        <v>0.0</v>
      </c>
      <c r="Q34" s="38">
        <v>0.0</v>
      </c>
      <c r="R34" s="38">
        <v>0.7</v>
      </c>
      <c r="S34" s="38">
        <v>0.0</v>
      </c>
      <c r="T34" s="38">
        <v>0.0</v>
      </c>
      <c r="U34" s="38">
        <v>0.0</v>
      </c>
    </row>
    <row r="35" ht="15.75" customHeight="1">
      <c r="B35" s="1" t="str">
        <f>IF(ISBLANK(Tareas!B31)," - ",Tareas!B31)</f>
        <v>26. Implementación de la gestión de perfiles</v>
      </c>
      <c r="C35" s="38">
        <v>0.0</v>
      </c>
      <c r="D35" s="38">
        <v>0.0</v>
      </c>
      <c r="E35" s="38">
        <v>0.0</v>
      </c>
      <c r="F35" s="38">
        <v>0.0</v>
      </c>
      <c r="G35" s="38">
        <v>0.0</v>
      </c>
      <c r="H35" s="38">
        <v>0.0</v>
      </c>
      <c r="I35" s="38">
        <v>0.0</v>
      </c>
      <c r="J35" s="38">
        <v>0.0</v>
      </c>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0.2</v>
      </c>
      <c r="H37" s="38">
        <v>0.0</v>
      </c>
      <c r="I37" s="38">
        <v>0.0</v>
      </c>
      <c r="J37" s="38">
        <v>0.0</v>
      </c>
      <c r="M37" s="1" t="str">
        <f>IF(ISBLANK(Tareas!B33)," - ",Tareas!B33)</f>
        <v>28. Revisión intermedia del código</v>
      </c>
      <c r="N37" s="38">
        <v>0.0</v>
      </c>
      <c r="O37" s="38">
        <v>0.0</v>
      </c>
      <c r="P37" s="38">
        <v>0.0</v>
      </c>
      <c r="Q37" s="38">
        <v>0.0</v>
      </c>
      <c r="R37" s="38">
        <v>0.3</v>
      </c>
      <c r="S37" s="38">
        <v>0.0</v>
      </c>
      <c r="T37" s="38">
        <v>0.0</v>
      </c>
      <c r="U37" s="38">
        <v>0.0</v>
      </c>
    </row>
    <row r="38" ht="15.75" customHeight="1">
      <c r="B38" s="1" t="str">
        <f>IF(ISBLANK(Tareas!B34)," - ",Tareas!B34)</f>
        <v>29. Reunión 6</v>
      </c>
      <c r="C38" s="38">
        <v>0.0</v>
      </c>
      <c r="D38" s="38">
        <v>0.0</v>
      </c>
      <c r="E38" s="38">
        <v>0.0</v>
      </c>
      <c r="F38" s="38">
        <v>0.0</v>
      </c>
      <c r="G38" s="38">
        <v>0.0</v>
      </c>
      <c r="H38" s="38">
        <v>0.0</v>
      </c>
      <c r="I38" s="38">
        <v>0.0</v>
      </c>
      <c r="J38" s="38">
        <v>0.0</v>
      </c>
      <c r="M38" s="1" t="str">
        <f>IF(ISBLANK(Tareas!B34)," - ",Tareas!B34)</f>
        <v>29. Reunión 6</v>
      </c>
      <c r="N38" s="38">
        <v>0.0</v>
      </c>
      <c r="O38" s="38">
        <v>0.0</v>
      </c>
      <c r="P38" s="38">
        <v>0.0</v>
      </c>
      <c r="Q38" s="38">
        <v>0.0</v>
      </c>
      <c r="R38" s="38">
        <v>0.0</v>
      </c>
      <c r="S38" s="38">
        <v>0.0</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0.0</v>
      </c>
      <c r="I40" s="38">
        <v>0.0</v>
      </c>
      <c r="J40" s="38">
        <v>0.0</v>
      </c>
      <c r="M40" s="1" t="str">
        <f>IF(ISBLANK(Tareas!B36)," - ",Tareas!B36)</f>
        <v>31. Implementación de la gestión de amistades</v>
      </c>
      <c r="N40" s="38">
        <v>0.0</v>
      </c>
      <c r="O40" s="38">
        <v>0.0</v>
      </c>
      <c r="P40" s="38">
        <v>0.0</v>
      </c>
      <c r="Q40" s="38">
        <v>0.0</v>
      </c>
      <c r="R40" s="38">
        <v>0.0</v>
      </c>
      <c r="S40" s="38">
        <v>0.0</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0.3</v>
      </c>
      <c r="I42" s="38">
        <v>0.0</v>
      </c>
      <c r="J42" s="38">
        <v>0.0</v>
      </c>
      <c r="M42" s="1" t="str">
        <f>IF(ISBLANK(Tareas!B38)," - ",Tareas!B38)</f>
        <v>33. Actualización de los planes de GCS y calidad</v>
      </c>
      <c r="N42" s="38">
        <v>0.0</v>
      </c>
      <c r="O42" s="38">
        <v>0.0</v>
      </c>
      <c r="P42" s="38">
        <v>0.0</v>
      </c>
      <c r="Q42" s="38">
        <v>0.0</v>
      </c>
      <c r="R42" s="38">
        <v>0.0</v>
      </c>
      <c r="S42" s="38">
        <v>0.3</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intermedia del código</v>
      </c>
      <c r="C44" s="38">
        <v>0.0</v>
      </c>
      <c r="D44" s="38">
        <v>0.0</v>
      </c>
      <c r="E44" s="38">
        <v>0.0</v>
      </c>
      <c r="F44" s="38">
        <v>0.0</v>
      </c>
      <c r="G44" s="38">
        <v>0.0</v>
      </c>
      <c r="H44" s="38">
        <v>0.3</v>
      </c>
      <c r="I44" s="38">
        <v>0.0</v>
      </c>
      <c r="J44" s="38">
        <v>0.0</v>
      </c>
      <c r="M44" s="1" t="str">
        <f>IF(ISBLANK(Tareas!B40)," - ",Tareas!B40)</f>
        <v>35. Revisión intermedia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0.0</v>
      </c>
      <c r="J48" s="38">
        <v>0.0</v>
      </c>
      <c r="M48" s="1" t="str">
        <f>IF(ISBLANK(Tareas!B44)," - ",Tareas!B44)</f>
        <v>39. Revisión de las incidencias detectadas</v>
      </c>
      <c r="N48" s="38">
        <v>0.0</v>
      </c>
      <c r="O48" s="38">
        <v>0.0</v>
      </c>
      <c r="P48" s="38">
        <v>0.0</v>
      </c>
      <c r="Q48" s="38">
        <v>0.0</v>
      </c>
      <c r="R48" s="38">
        <v>0.0</v>
      </c>
      <c r="S48" s="38">
        <v>0.0</v>
      </c>
      <c r="T48" s="38">
        <v>0.0</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0.5</v>
      </c>
      <c r="J52" s="38">
        <v>0.0</v>
      </c>
      <c r="M52" s="1" t="str">
        <f>IF(ISBLANK(Tareas!B48)," - ",Tareas!B48)</f>
        <v>43. Definición de los casos de prueba</v>
      </c>
      <c r="N52" s="38">
        <v>0.0</v>
      </c>
      <c r="O52" s="38">
        <v>0.0</v>
      </c>
      <c r="P52" s="38">
        <v>0.0</v>
      </c>
      <c r="Q52" s="38">
        <v>0.0</v>
      </c>
      <c r="R52" s="38">
        <v>0.0</v>
      </c>
      <c r="S52" s="38">
        <v>0.0</v>
      </c>
      <c r="T52" s="38">
        <v>1.0</v>
      </c>
      <c r="U52" s="38">
        <v>0.0</v>
      </c>
    </row>
    <row r="53" ht="15.75" customHeight="1">
      <c r="B53" s="1" t="str">
        <f>IF(ISBLANK(Tareas!B49)," - ",Tareas!B49)</f>
        <v>44. Reunión 8</v>
      </c>
      <c r="C53" s="38">
        <v>0.0</v>
      </c>
      <c r="D53" s="38">
        <v>0.0</v>
      </c>
      <c r="E53" s="38">
        <v>0.0</v>
      </c>
      <c r="F53" s="38">
        <v>0.0</v>
      </c>
      <c r="G53" s="38">
        <v>0.0</v>
      </c>
      <c r="H53" s="38">
        <v>0.0</v>
      </c>
      <c r="I53" s="38">
        <v>0.0</v>
      </c>
      <c r="J53" s="38">
        <v>0.0</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0.5</v>
      </c>
      <c r="M55" s="1" t="str">
        <f>IF(ISBLANK(Tareas!B51)," - ",Tareas!B51)</f>
        <v>46. Ejecución de las pruebas</v>
      </c>
      <c r="N55" s="38">
        <v>0.0</v>
      </c>
      <c r="O55" s="38">
        <v>0.0</v>
      </c>
      <c r="P55" s="38">
        <v>0.0</v>
      </c>
      <c r="Q55" s="38">
        <v>0.0</v>
      </c>
      <c r="R55" s="38">
        <v>0.0</v>
      </c>
      <c r="S55" s="38">
        <v>0.0</v>
      </c>
      <c r="T55" s="38">
        <v>0.0</v>
      </c>
      <c r="U55" s="38">
        <v>1.0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0.0</v>
      </c>
      <c r="M56" s="1" t="str">
        <f>IF(ISBLANK(Tareas!B52)," - ",Tareas!B52)</f>
        <v>47. Control de versiones y revisión final del código</v>
      </c>
      <c r="N56" s="38">
        <v>0.0</v>
      </c>
      <c r="O56" s="38">
        <v>0.0</v>
      </c>
      <c r="P56" s="38">
        <v>0.0</v>
      </c>
      <c r="Q56" s="38">
        <v>0.0</v>
      </c>
      <c r="R56" s="38">
        <v>0.0</v>
      </c>
      <c r="S56" s="38">
        <v>0.0</v>
      </c>
      <c r="T56" s="38">
        <v>0.0</v>
      </c>
      <c r="U56" s="38">
        <v>0.0</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0.5</v>
      </c>
      <c r="M57" s="1" t="str">
        <f>IF(ISBLANK(Tareas!B53)," - ",Tareas!B53)</f>
        <v>48. Revisión de la configuración y los documentos entregables</v>
      </c>
      <c r="N57" s="38">
        <v>0.0</v>
      </c>
      <c r="O57" s="38">
        <v>0.0</v>
      </c>
      <c r="P57" s="38">
        <v>0.0</v>
      </c>
      <c r="Q57" s="38">
        <v>0.0</v>
      </c>
      <c r="R57" s="38">
        <v>0.0</v>
      </c>
      <c r="S57" s="38">
        <v>0.0</v>
      </c>
      <c r="T57" s="38">
        <v>0.0</v>
      </c>
      <c r="U57" s="38">
        <v>0.5</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0.3</v>
      </c>
      <c r="M58" s="1" t="str">
        <f>IF(ISBLANK(Tareas!B54)," - ",Tareas!B54)</f>
        <v>49. Revisión de los resultados de las pruebas y corrección de errores</v>
      </c>
      <c r="N58" s="38">
        <v>0.0</v>
      </c>
      <c r="O58" s="38">
        <v>0.0</v>
      </c>
      <c r="P58" s="38">
        <v>0.0</v>
      </c>
      <c r="Q58" s="38">
        <v>0.0</v>
      </c>
      <c r="R58" s="38">
        <v>0.0</v>
      </c>
      <c r="S58" s="38">
        <v>0.0</v>
      </c>
      <c r="T58" s="38">
        <v>0.0</v>
      </c>
      <c r="U58" s="38">
        <v>0.3</v>
      </c>
    </row>
    <row r="59" ht="15.75" customHeight="1">
      <c r="B59" s="1" t="str">
        <f>IF(ISBLANK(Tareas!B55)," - ",Tareas!B55)</f>
        <v>50. Corrección del código (post-revisión)</v>
      </c>
      <c r="C59" s="38">
        <v>0.0</v>
      </c>
      <c r="D59" s="38">
        <v>0.0</v>
      </c>
      <c r="E59" s="38">
        <v>0.0</v>
      </c>
      <c r="F59" s="38">
        <v>0.0</v>
      </c>
      <c r="G59" s="38">
        <v>0.0</v>
      </c>
      <c r="H59" s="38">
        <v>0.0</v>
      </c>
      <c r="I59" s="38">
        <v>0.0</v>
      </c>
      <c r="J59" s="38">
        <v>0.0</v>
      </c>
      <c r="M59" s="1" t="str">
        <f>IF(ISBLANK(Tareas!B55)," - ",Tareas!B55)</f>
        <v>50. Corrección del código (post-revisión)</v>
      </c>
      <c r="N59" s="38">
        <v>0.0</v>
      </c>
      <c r="O59" s="38">
        <v>0.0</v>
      </c>
      <c r="P59" s="38">
        <v>0.0</v>
      </c>
      <c r="Q59" s="38">
        <v>0.0</v>
      </c>
      <c r="R59" s="38">
        <v>0.0</v>
      </c>
      <c r="S59" s="38">
        <v>0.0</v>
      </c>
      <c r="T59" s="38">
        <v>0.0</v>
      </c>
      <c r="U59" s="38">
        <v>0.0</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0.3</v>
      </c>
      <c r="M60" s="1" t="str">
        <f>IF(ISBLANK(Tareas!B56)," - ",Tareas!B56)</f>
        <v>51. Documentación de los resultados y errores de las pruebas</v>
      </c>
      <c r="N60" s="38">
        <v>0.0</v>
      </c>
      <c r="O60" s="38">
        <v>0.0</v>
      </c>
      <c r="P60" s="38">
        <v>0.0</v>
      </c>
      <c r="Q60" s="38">
        <v>0.0</v>
      </c>
      <c r="R60" s="38">
        <v>0.0</v>
      </c>
      <c r="S60" s="38">
        <v>0.0</v>
      </c>
      <c r="T60" s="38">
        <v>0.0</v>
      </c>
      <c r="U60" s="38">
        <v>0.3</v>
      </c>
    </row>
    <row r="61" ht="15.75" customHeight="1">
      <c r="B61" s="1" t="str">
        <f>IF(ISBLANK(Tareas!B57)," - ",Tareas!B57)</f>
        <v>52. Disposición del código en la línea base (GCS)</v>
      </c>
      <c r="C61" s="38">
        <v>0.0</v>
      </c>
      <c r="D61" s="38">
        <v>0.0</v>
      </c>
      <c r="E61" s="38">
        <v>0.0</v>
      </c>
      <c r="F61" s="38">
        <v>0.0</v>
      </c>
      <c r="G61" s="38">
        <v>0.0</v>
      </c>
      <c r="H61" s="38">
        <v>0.0</v>
      </c>
      <c r="I61" s="38">
        <v>0.0</v>
      </c>
      <c r="J61" s="38">
        <v>0.3</v>
      </c>
      <c r="M61" s="1" t="str">
        <f>IF(ISBLANK(Tareas!B57)," - ",Tareas!B57)</f>
        <v>52. Disposición del código en la línea base (GCS)</v>
      </c>
      <c r="N61" s="38">
        <v>0.0</v>
      </c>
      <c r="O61" s="38">
        <v>0.0</v>
      </c>
      <c r="P61" s="38">
        <v>0.0</v>
      </c>
      <c r="Q61" s="38">
        <v>0.0</v>
      </c>
      <c r="R61" s="38">
        <v>0.0</v>
      </c>
      <c r="S61" s="38">
        <v>0.0</v>
      </c>
      <c r="T61" s="38">
        <v>0.0</v>
      </c>
      <c r="U61" s="38">
        <v>0.3</v>
      </c>
    </row>
    <row r="62" ht="15.75" customHeight="1">
      <c r="B62" s="1" t="str">
        <f>IF(ISBLANK(Tareas!B58)," - ",Tareas!B58)</f>
        <v>53. Entrega del ciclo de vida</v>
      </c>
      <c r="C62" s="38">
        <v>0.0</v>
      </c>
      <c r="D62" s="38">
        <v>0.0</v>
      </c>
      <c r="E62" s="38">
        <v>0.0</v>
      </c>
      <c r="F62" s="38">
        <v>0.0</v>
      </c>
      <c r="G62" s="38">
        <v>0.0</v>
      </c>
      <c r="H62" s="38">
        <v>0.0</v>
      </c>
      <c r="I62" s="38">
        <v>0.0</v>
      </c>
      <c r="J62" s="38">
        <v>0.0</v>
      </c>
      <c r="M62" s="1" t="str">
        <f>IF(ISBLANK(Tareas!B58)," - ",Tareas!B58)</f>
        <v>53. Entrega del ciclo de vida</v>
      </c>
      <c r="N62" s="38">
        <v>0.0</v>
      </c>
      <c r="O62" s="38">
        <v>0.0</v>
      </c>
      <c r="P62" s="38">
        <v>0.0</v>
      </c>
      <c r="Q62" s="38">
        <v>0.0</v>
      </c>
      <c r="R62" s="38">
        <v>0.0</v>
      </c>
      <c r="S62" s="38">
        <v>0.0</v>
      </c>
      <c r="T62" s="38">
        <v>0.0</v>
      </c>
      <c r="U62" s="38">
        <v>0.0</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41">
        <v>0.5</v>
      </c>
      <c r="O10" s="41">
        <v>0.0</v>
      </c>
      <c r="P10" s="41">
        <v>0.0</v>
      </c>
      <c r="Q10" s="41">
        <v>0.0</v>
      </c>
      <c r="R10" s="38">
        <v>0.0</v>
      </c>
      <c r="S10" s="38">
        <v>0.0</v>
      </c>
      <c r="T10" s="38">
        <v>0.0</v>
      </c>
      <c r="U10" s="38">
        <v>0.0</v>
      </c>
    </row>
    <row r="11" ht="15.75" customHeight="1">
      <c r="B11" s="1" t="str">
        <f>IF(ISBLANK(Tareas!B7)," - ",Tareas!B7)</f>
        <v>2. Asignación de roles</v>
      </c>
      <c r="C11" s="38">
        <v>0.0</v>
      </c>
      <c r="D11" s="38">
        <v>0.0</v>
      </c>
      <c r="E11" s="38">
        <v>0.0</v>
      </c>
      <c r="F11" s="38">
        <v>0.0</v>
      </c>
      <c r="G11" s="38">
        <v>0.0</v>
      </c>
      <c r="H11" s="38">
        <v>0.0</v>
      </c>
      <c r="I11" s="38">
        <v>0.0</v>
      </c>
      <c r="J11" s="38">
        <v>0.0</v>
      </c>
      <c r="K11" s="33"/>
      <c r="M11" s="1" t="str">
        <f>IF(ISBLANK(Tareas!B7)," - ",Tareas!B7)</f>
        <v>2. Asignación de roles</v>
      </c>
      <c r="N11" s="41">
        <v>0.0</v>
      </c>
      <c r="O11" s="41">
        <v>0.0</v>
      </c>
      <c r="P11" s="41">
        <v>0.0</v>
      </c>
      <c r="Q11" s="41">
        <v>0.0</v>
      </c>
      <c r="R11" s="38">
        <v>0.0</v>
      </c>
      <c r="S11" s="38">
        <v>0.0</v>
      </c>
      <c r="T11" s="38">
        <v>0.0</v>
      </c>
      <c r="U11" s="38">
        <v>0.0</v>
      </c>
    </row>
    <row r="12" ht="15.75" customHeight="1">
      <c r="B12" s="1" t="str">
        <f>IF(ISBLANK(Tareas!B8)," - ",Tareas!B8)</f>
        <v>3. Definición del estándar de documentación</v>
      </c>
      <c r="C12" s="38">
        <v>0.5</v>
      </c>
      <c r="D12" s="38">
        <v>0.0</v>
      </c>
      <c r="E12" s="38">
        <v>0.0</v>
      </c>
      <c r="F12" s="38">
        <v>0.0</v>
      </c>
      <c r="G12" s="38">
        <v>0.0</v>
      </c>
      <c r="H12" s="38">
        <v>0.0</v>
      </c>
      <c r="I12" s="38">
        <v>0.0</v>
      </c>
      <c r="J12" s="38">
        <v>0.0</v>
      </c>
      <c r="K12" s="33"/>
      <c r="M12" s="1" t="str">
        <f>IF(ISBLANK(Tareas!B8)," - ",Tareas!B8)</f>
        <v>3. Definición del estándar de documentación</v>
      </c>
      <c r="N12" s="41">
        <v>0.5</v>
      </c>
      <c r="O12" s="41">
        <v>0.0</v>
      </c>
      <c r="P12" s="41">
        <v>0.0</v>
      </c>
      <c r="Q12" s="41">
        <v>0.0</v>
      </c>
      <c r="R12" s="38">
        <v>0.0</v>
      </c>
      <c r="S12" s="38">
        <v>0.0</v>
      </c>
      <c r="T12" s="38">
        <v>0.0</v>
      </c>
      <c r="U12" s="38">
        <v>0.0</v>
      </c>
    </row>
    <row r="13" ht="15.75" customHeight="1">
      <c r="B13" s="1" t="str">
        <f>IF(ISBLANK(Tareas!B9)," - ",Tareas!B9)</f>
        <v>4. Definición del estándar de proceso</v>
      </c>
      <c r="C13" s="38">
        <v>1.0</v>
      </c>
      <c r="D13" s="38">
        <v>0.0</v>
      </c>
      <c r="E13" s="38">
        <v>0.0</v>
      </c>
      <c r="F13" s="38">
        <v>0.0</v>
      </c>
      <c r="G13" s="38">
        <v>0.0</v>
      </c>
      <c r="H13" s="38">
        <v>0.0</v>
      </c>
      <c r="I13" s="38">
        <v>0.0</v>
      </c>
      <c r="J13" s="38">
        <v>0.0</v>
      </c>
      <c r="K13" s="33"/>
      <c r="M13" s="1" t="str">
        <f>IF(ISBLANK(Tareas!B9)," - ",Tareas!B9)</f>
        <v>4. Definición del estándar de proceso</v>
      </c>
      <c r="N13" s="41">
        <v>1.0</v>
      </c>
      <c r="O13" s="41">
        <v>0.0</v>
      </c>
      <c r="P13" s="41">
        <v>0.0</v>
      </c>
      <c r="Q13" s="41">
        <v>0.0</v>
      </c>
      <c r="R13" s="38">
        <v>0.0</v>
      </c>
      <c r="S13" s="38">
        <v>0.0</v>
      </c>
      <c r="T13" s="38">
        <v>0.0</v>
      </c>
      <c r="U13" s="38">
        <v>0.0</v>
      </c>
    </row>
    <row r="14" ht="15.75" customHeight="1">
      <c r="B14" s="1" t="str">
        <f>IF(ISBLANK(Tareas!B10)," - ",Tareas!B10)</f>
        <v>5. Definición del entorno de desarrollo</v>
      </c>
      <c r="C14" s="38">
        <v>0.0</v>
      </c>
      <c r="D14" s="38">
        <v>0.0</v>
      </c>
      <c r="E14" s="38">
        <v>0.0</v>
      </c>
      <c r="F14" s="38">
        <v>0.0</v>
      </c>
      <c r="G14" s="38">
        <v>0.0</v>
      </c>
      <c r="H14" s="38">
        <v>0.0</v>
      </c>
      <c r="I14" s="38">
        <v>0.0</v>
      </c>
      <c r="J14" s="38">
        <v>0.0</v>
      </c>
      <c r="K14" s="33"/>
      <c r="M14" s="1" t="str">
        <f>IF(ISBLANK(Tareas!B10)," - ",Tareas!B10)</f>
        <v>5. Definición del entorno de desarrollo</v>
      </c>
      <c r="N14" s="41">
        <v>0.0</v>
      </c>
      <c r="O14" s="41">
        <v>0.0</v>
      </c>
      <c r="P14" s="41">
        <v>0.0</v>
      </c>
      <c r="Q14" s="41">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41">
        <v>0.0</v>
      </c>
      <c r="O15" s="41">
        <v>0.5</v>
      </c>
      <c r="P15" s="41">
        <v>0.0</v>
      </c>
      <c r="Q15" s="41">
        <v>0.0</v>
      </c>
      <c r="R15" s="38">
        <v>0.0</v>
      </c>
      <c r="S15" s="38">
        <v>0.0</v>
      </c>
      <c r="T15" s="38">
        <v>0.0</v>
      </c>
      <c r="U15" s="38">
        <v>0.0</v>
      </c>
    </row>
    <row r="16" ht="15.75" customHeight="1">
      <c r="B16" s="1" t="str">
        <f>IF(ISBLANK(Tareas!B12)," - ",Tareas!B12)</f>
        <v>7. Realización del análisis de requisitos (ERS)</v>
      </c>
      <c r="C16" s="38">
        <v>0.0</v>
      </c>
      <c r="D16" s="38">
        <v>0.0</v>
      </c>
      <c r="E16" s="38">
        <v>0.0</v>
      </c>
      <c r="F16" s="38">
        <v>0.0</v>
      </c>
      <c r="G16" s="38">
        <v>0.0</v>
      </c>
      <c r="H16" s="38">
        <v>0.0</v>
      </c>
      <c r="I16" s="38">
        <v>0.0</v>
      </c>
      <c r="J16" s="38">
        <v>0.0</v>
      </c>
      <c r="M16" s="1" t="str">
        <f>IF(ISBLANK(Tareas!B12)," - ",Tareas!B12)</f>
        <v>7. Realización del análisis de requisitos (ERS)</v>
      </c>
      <c r="N16" s="41">
        <v>0.0</v>
      </c>
      <c r="O16" s="41">
        <v>0.0</v>
      </c>
      <c r="P16" s="41">
        <v>0.0</v>
      </c>
      <c r="Q16" s="41">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41">
        <v>0.0</v>
      </c>
      <c r="O17" s="41">
        <v>0.0</v>
      </c>
      <c r="P17" s="41">
        <v>0.5</v>
      </c>
      <c r="Q17" s="41">
        <v>0.0</v>
      </c>
      <c r="R17" s="38">
        <v>0.0</v>
      </c>
      <c r="S17" s="38">
        <v>0.0</v>
      </c>
      <c r="T17" s="38">
        <v>0.0</v>
      </c>
      <c r="U17" s="38">
        <v>0.0</v>
      </c>
    </row>
    <row r="18" ht="15.75" customHeight="1">
      <c r="B18" s="1" t="str">
        <f>IF(ISBLANK(Tareas!B14)," - ",Tareas!B14)</f>
        <v>9. Revisión del análisis de requisitos</v>
      </c>
      <c r="C18" s="38">
        <v>0.0</v>
      </c>
      <c r="D18" s="38">
        <v>0.0</v>
      </c>
      <c r="E18" s="38">
        <v>0.5</v>
      </c>
      <c r="F18" s="38">
        <v>0.0</v>
      </c>
      <c r="G18" s="38">
        <v>0.0</v>
      </c>
      <c r="H18" s="38">
        <v>0.0</v>
      </c>
      <c r="I18" s="38">
        <v>0.0</v>
      </c>
      <c r="J18" s="38">
        <v>0.0</v>
      </c>
      <c r="M18" s="1" t="str">
        <f>IF(ISBLANK(Tareas!B14)," - ",Tareas!B14)</f>
        <v>9. Revisión del análisis de requisitos</v>
      </c>
      <c r="N18" s="41">
        <v>0.0</v>
      </c>
      <c r="O18" s="41">
        <v>0.0</v>
      </c>
      <c r="P18" s="41">
        <v>0.5</v>
      </c>
      <c r="Q18" s="41">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M19" s="1" t="str">
        <f>IF(ISBLANK(Tareas!B15)," - ",Tareas!B15)</f>
        <v>10. Disposición del ERS en la línea base (GCS)</v>
      </c>
      <c r="N19" s="41">
        <v>0.0</v>
      </c>
      <c r="O19" s="41">
        <v>0.0</v>
      </c>
      <c r="P19" s="41">
        <v>0.0</v>
      </c>
      <c r="Q19" s="41">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41">
        <v>0.0</v>
      </c>
      <c r="O20" s="41">
        <v>0.0</v>
      </c>
      <c r="P20" s="41">
        <v>0.3</v>
      </c>
      <c r="Q20" s="41">
        <v>0.0</v>
      </c>
      <c r="R20" s="38">
        <v>0.0</v>
      </c>
      <c r="S20" s="38">
        <v>0.0</v>
      </c>
      <c r="T20" s="38">
        <v>0.0</v>
      </c>
      <c r="U20" s="38">
        <v>0.0</v>
      </c>
    </row>
    <row r="21" ht="15.75" customHeight="1">
      <c r="B21" s="1" t="str">
        <f>IF(ISBLANK(Tareas!B17)," - ",Tareas!B17)</f>
        <v>12. Definición de los casos de uso y el modelo E/R</v>
      </c>
      <c r="C21" s="38">
        <v>0.0</v>
      </c>
      <c r="D21" s="38">
        <v>0.0</v>
      </c>
      <c r="E21" s="38">
        <v>0.0</v>
      </c>
      <c r="F21" s="38">
        <v>0.0</v>
      </c>
      <c r="G21" s="38">
        <v>0.0</v>
      </c>
      <c r="H21" s="38">
        <v>0.0</v>
      </c>
      <c r="I21" s="38">
        <v>0.0</v>
      </c>
      <c r="J21" s="38">
        <v>0.0</v>
      </c>
      <c r="M21" s="1" t="str">
        <f>IF(ISBLANK(Tareas!B17)," - ",Tareas!B17)</f>
        <v>12. Definición de los casos de uso y el modelo E/R</v>
      </c>
      <c r="N21" s="41">
        <v>0.0</v>
      </c>
      <c r="O21" s="41">
        <v>0.0</v>
      </c>
      <c r="P21" s="41">
        <v>0.0</v>
      </c>
      <c r="Q21" s="41">
        <v>0.0</v>
      </c>
      <c r="R21" s="38">
        <v>0.0</v>
      </c>
      <c r="S21" s="38">
        <v>0.0</v>
      </c>
      <c r="T21" s="38">
        <v>0.0</v>
      </c>
      <c r="U21" s="38">
        <v>0.0</v>
      </c>
    </row>
    <row r="22" ht="15.75" customHeight="1">
      <c r="B22" s="1" t="str">
        <f>IF(ISBLANK(Tareas!B18)," - ",Tareas!B18)</f>
        <v>13. Definición del plan de calidad (PCAL)</v>
      </c>
      <c r="C22" s="38">
        <v>0.0</v>
      </c>
      <c r="D22" s="38">
        <v>0.0</v>
      </c>
      <c r="E22" s="38">
        <v>2.0</v>
      </c>
      <c r="F22" s="38">
        <v>0.0</v>
      </c>
      <c r="G22" s="38">
        <v>0.0</v>
      </c>
      <c r="H22" s="38">
        <v>0.0</v>
      </c>
      <c r="I22" s="38">
        <v>0.0</v>
      </c>
      <c r="J22" s="38">
        <v>0.0</v>
      </c>
      <c r="K22" s="33"/>
      <c r="M22" s="1" t="str">
        <f>IF(ISBLANK(Tareas!B18)," - ",Tareas!B18)</f>
        <v>13. Definición del plan de calidad (PCAL)</v>
      </c>
      <c r="N22" s="41">
        <v>0.0</v>
      </c>
      <c r="O22" s="41">
        <v>0.0</v>
      </c>
      <c r="P22" s="41">
        <v>2.0</v>
      </c>
      <c r="Q22" s="41">
        <v>0.0</v>
      </c>
      <c r="R22" s="38">
        <v>0.0</v>
      </c>
      <c r="S22" s="38">
        <v>0.0</v>
      </c>
      <c r="T22" s="38">
        <v>0.0</v>
      </c>
      <c r="U22" s="38">
        <v>0.0</v>
      </c>
    </row>
    <row r="23" ht="15.75" customHeight="1">
      <c r="B23" s="1" t="str">
        <f>IF(ISBLANK(Tareas!B19)," - ",Tareas!B19)</f>
        <v>14. Cálculo de los puntos de función</v>
      </c>
      <c r="C23" s="38">
        <v>0.0</v>
      </c>
      <c r="D23" s="38">
        <v>0.0</v>
      </c>
      <c r="E23" s="38">
        <v>0.0</v>
      </c>
      <c r="F23" s="38">
        <v>0.0</v>
      </c>
      <c r="G23" s="38">
        <v>0.0</v>
      </c>
      <c r="H23" s="38">
        <v>0.0</v>
      </c>
      <c r="I23" s="38">
        <v>0.0</v>
      </c>
      <c r="J23" s="38">
        <v>0.0</v>
      </c>
      <c r="M23" s="1" t="str">
        <f>IF(ISBLANK(Tareas!B19)," - ",Tareas!B19)</f>
        <v>14. Cálculo de los puntos de función</v>
      </c>
      <c r="N23" s="41">
        <v>0.0</v>
      </c>
      <c r="O23" s="41">
        <v>0.0</v>
      </c>
      <c r="P23" s="41">
        <v>0.0</v>
      </c>
      <c r="Q23" s="41">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M24" s="1" t="str">
        <f>IF(ISBLANK(Tareas!B20)," - ",Tareas!B20)</f>
        <v>15. Realización del diagrama Gantt</v>
      </c>
      <c r="N24" s="41">
        <v>0.0</v>
      </c>
      <c r="O24" s="41">
        <v>0.0</v>
      </c>
      <c r="P24" s="41">
        <v>0.0</v>
      </c>
      <c r="Q24" s="41">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41">
        <v>0.0</v>
      </c>
      <c r="O25" s="41">
        <v>0.0</v>
      </c>
      <c r="P25" s="41">
        <v>0.0</v>
      </c>
      <c r="Q25" s="41">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38">
        <v>0.0</v>
      </c>
      <c r="G26" s="38">
        <v>0.0</v>
      </c>
      <c r="H26" s="38">
        <v>0.0</v>
      </c>
      <c r="I26" s="38">
        <v>0.0</v>
      </c>
      <c r="J26" s="38">
        <v>0.0</v>
      </c>
      <c r="M26" s="1" t="str">
        <f>IF(ISBLANK(Tareas!B22)," - ",Tareas!B22)</f>
        <v>17. Definición del plan de gestión de configuración software (GCS)</v>
      </c>
      <c r="N26" s="41">
        <v>0.0</v>
      </c>
      <c r="O26" s="41">
        <v>0.0</v>
      </c>
      <c r="P26" s="41">
        <v>0.0</v>
      </c>
      <c r="Q26" s="41">
        <v>0.0</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41">
        <v>0.0</v>
      </c>
      <c r="O27" s="41">
        <v>0.0</v>
      </c>
      <c r="P27" s="41">
        <v>0.0</v>
      </c>
      <c r="Q27" s="41">
        <v>0.0</v>
      </c>
      <c r="R27" s="38">
        <v>0.0</v>
      </c>
      <c r="S27" s="38">
        <v>0.0</v>
      </c>
      <c r="T27" s="38">
        <v>0.0</v>
      </c>
      <c r="U27" s="38">
        <v>0.0</v>
      </c>
    </row>
    <row r="28" ht="15.75" customHeight="1">
      <c r="B28" s="1" t="str">
        <f>IF(ISBLANK(Tareas!B24)," - ",Tareas!B24)</f>
        <v>19. Introducción de los datos en EVM</v>
      </c>
      <c r="C28" s="38">
        <v>0.0</v>
      </c>
      <c r="D28" s="38">
        <v>0.0</v>
      </c>
      <c r="E28" s="38">
        <v>0.0</v>
      </c>
      <c r="F28" s="38">
        <v>0.5</v>
      </c>
      <c r="G28" s="38">
        <v>0.0</v>
      </c>
      <c r="H28" s="38">
        <v>0.0</v>
      </c>
      <c r="I28" s="38">
        <v>0.0</v>
      </c>
      <c r="J28" s="38">
        <v>0.0</v>
      </c>
      <c r="M28" s="1" t="str">
        <f>IF(ISBLANK(Tareas!B24)," - ",Tareas!B24)</f>
        <v>19. Introducción de los datos en EVM</v>
      </c>
      <c r="N28" s="41">
        <v>0.0</v>
      </c>
      <c r="O28" s="41">
        <v>0.0</v>
      </c>
      <c r="P28" s="41">
        <v>0.0</v>
      </c>
      <c r="Q28" s="41">
        <v>0.5</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1.0</v>
      </c>
      <c r="H30" s="38">
        <v>0.0</v>
      </c>
      <c r="I30" s="38">
        <v>0.0</v>
      </c>
      <c r="J30" s="38">
        <v>0.0</v>
      </c>
      <c r="M30" s="1" t="str">
        <f>IF(ISBLANK(Tareas!B26)," - ",Tareas!B26)</f>
        <v>21. Reunión 5</v>
      </c>
      <c r="N30" s="38">
        <v>0.0</v>
      </c>
      <c r="O30" s="38">
        <v>0.0</v>
      </c>
      <c r="P30" s="38">
        <v>0.0</v>
      </c>
      <c r="Q30" s="38">
        <v>0.0</v>
      </c>
      <c r="R30" s="38">
        <v>1.0</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1.0</v>
      </c>
      <c r="H33" s="38">
        <v>0.0</v>
      </c>
      <c r="I33" s="38">
        <v>0.0</v>
      </c>
      <c r="J33" s="38">
        <v>0.0</v>
      </c>
      <c r="M33" s="1" t="str">
        <f>IF(ISBLANK(Tareas!B29)," - ",Tareas!B29)</f>
        <v>24. Implementación de la persistencia y estructura de datos</v>
      </c>
      <c r="N33" s="38">
        <v>0.0</v>
      </c>
      <c r="O33" s="38">
        <v>0.0</v>
      </c>
      <c r="P33" s="38">
        <v>0.0</v>
      </c>
      <c r="Q33" s="38">
        <v>0.0</v>
      </c>
      <c r="R33" s="38">
        <v>1.0</v>
      </c>
      <c r="S33" s="38">
        <v>0.0</v>
      </c>
      <c r="T33" s="38">
        <v>0.0</v>
      </c>
      <c r="U33" s="38">
        <v>0.0</v>
      </c>
    </row>
    <row r="34" ht="15.75" customHeight="1">
      <c r="B34" s="1" t="str">
        <f>IF(ISBLANK(Tareas!B30)," - ",Tareas!B30)</f>
        <v>25. Implementación de la gestión de usuarios</v>
      </c>
      <c r="C34" s="38">
        <v>0.0</v>
      </c>
      <c r="D34" s="38">
        <v>0.0</v>
      </c>
      <c r="E34" s="38">
        <v>0.0</v>
      </c>
      <c r="F34" s="38">
        <v>0.0</v>
      </c>
      <c r="G34" s="38">
        <v>0.0</v>
      </c>
      <c r="H34" s="38">
        <v>0.0</v>
      </c>
      <c r="I34" s="38">
        <v>0.0</v>
      </c>
      <c r="J34" s="38">
        <v>0.0</v>
      </c>
      <c r="M34" s="1" t="str">
        <f>IF(ISBLANK(Tareas!B30)," - ",Tareas!B30)</f>
        <v>25. Implementación de la gestión de usuarios</v>
      </c>
      <c r="N34" s="38">
        <v>0.0</v>
      </c>
      <c r="O34" s="38">
        <v>0.0</v>
      </c>
      <c r="P34" s="38">
        <v>0.0</v>
      </c>
      <c r="Q34" s="38">
        <v>0.0</v>
      </c>
      <c r="R34" s="38">
        <v>0.0</v>
      </c>
      <c r="S34" s="38">
        <v>0.0</v>
      </c>
      <c r="T34" s="38">
        <v>0.0</v>
      </c>
      <c r="U34" s="38">
        <v>0.0</v>
      </c>
    </row>
    <row r="35" ht="15.75" customHeight="1">
      <c r="B35" s="1" t="str">
        <f>IF(ISBLANK(Tareas!B31)," - ",Tareas!B31)</f>
        <v>26. Implementación de la gestión de perfiles</v>
      </c>
      <c r="C35" s="38">
        <v>0.0</v>
      </c>
      <c r="D35" s="38">
        <v>0.0</v>
      </c>
      <c r="E35" s="38">
        <v>0.0</v>
      </c>
      <c r="F35" s="38">
        <v>0.0</v>
      </c>
      <c r="G35" s="38">
        <v>0.0</v>
      </c>
      <c r="H35" s="38">
        <v>0.0</v>
      </c>
      <c r="I35" s="38">
        <v>0.0</v>
      </c>
      <c r="J35" s="38">
        <v>0.0</v>
      </c>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0.3</v>
      </c>
      <c r="H37" s="38">
        <v>0.0</v>
      </c>
      <c r="I37" s="38">
        <v>0.0</v>
      </c>
      <c r="J37" s="38">
        <v>0.0</v>
      </c>
      <c r="M37" s="1" t="str">
        <f>IF(ISBLANK(Tareas!B33)," - ",Tareas!B33)</f>
        <v>28. Revisión intermedia del código</v>
      </c>
      <c r="N37" s="38">
        <v>0.0</v>
      </c>
      <c r="O37" s="38">
        <v>0.0</v>
      </c>
      <c r="P37" s="38">
        <v>0.0</v>
      </c>
      <c r="Q37" s="38">
        <v>0.0</v>
      </c>
      <c r="R37" s="38">
        <v>0.3</v>
      </c>
      <c r="S37" s="38">
        <v>0.0</v>
      </c>
      <c r="T37" s="38">
        <v>0.0</v>
      </c>
      <c r="U37" s="38">
        <v>0.0</v>
      </c>
    </row>
    <row r="38" ht="15.75" customHeight="1">
      <c r="B38" s="1" t="str">
        <f>IF(ISBLANK(Tareas!B34)," - ",Tareas!B34)</f>
        <v>29. Reunión 6</v>
      </c>
      <c r="C38" s="38">
        <v>0.0</v>
      </c>
      <c r="D38" s="38">
        <v>0.0</v>
      </c>
      <c r="E38" s="38">
        <v>0.0</v>
      </c>
      <c r="F38" s="38">
        <v>0.0</v>
      </c>
      <c r="G38" s="38">
        <v>0.0</v>
      </c>
      <c r="H38" s="38">
        <v>0.0</v>
      </c>
      <c r="I38" s="38">
        <v>0.0</v>
      </c>
      <c r="J38" s="38">
        <v>0.0</v>
      </c>
      <c r="M38" s="1" t="str">
        <f>IF(ISBLANK(Tareas!B34)," - ",Tareas!B34)</f>
        <v>29. Reunión 6</v>
      </c>
      <c r="N38" s="38">
        <v>0.0</v>
      </c>
      <c r="O38" s="38">
        <v>0.0</v>
      </c>
      <c r="P38" s="38">
        <v>0.0</v>
      </c>
      <c r="Q38" s="38">
        <v>0.0</v>
      </c>
      <c r="R38" s="38">
        <v>0.0</v>
      </c>
      <c r="S38" s="38">
        <v>0.0</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0.5</v>
      </c>
      <c r="I40" s="38">
        <v>0.0</v>
      </c>
      <c r="J40" s="38">
        <v>0.0</v>
      </c>
      <c r="M40" s="1" t="str">
        <f>IF(ISBLANK(Tareas!B36)," - ",Tareas!B36)</f>
        <v>31. Implementación de la gestión de amistades</v>
      </c>
      <c r="N40" s="38">
        <v>0.0</v>
      </c>
      <c r="O40" s="38">
        <v>0.0</v>
      </c>
      <c r="P40" s="38">
        <v>0.0</v>
      </c>
      <c r="Q40" s="38">
        <v>0.0</v>
      </c>
      <c r="R40" s="38">
        <v>0.0</v>
      </c>
      <c r="S40" s="38">
        <v>0.5</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intermedia del código</v>
      </c>
      <c r="C44" s="38">
        <v>0.0</v>
      </c>
      <c r="D44" s="38">
        <v>0.0</v>
      </c>
      <c r="E44" s="38">
        <v>0.0</v>
      </c>
      <c r="F44" s="38">
        <v>0.0</v>
      </c>
      <c r="G44" s="38">
        <v>0.0</v>
      </c>
      <c r="H44" s="38">
        <v>0.3</v>
      </c>
      <c r="I44" s="38">
        <v>0.0</v>
      </c>
      <c r="J44" s="38">
        <v>0.0</v>
      </c>
      <c r="M44" s="1" t="str">
        <f>IF(ISBLANK(Tareas!B40)," - ",Tareas!B40)</f>
        <v>35. Revisión intermedia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1.0</v>
      </c>
      <c r="J48" s="38">
        <v>0.0</v>
      </c>
      <c r="M48" s="1" t="str">
        <f>IF(ISBLANK(Tareas!B44)," - ",Tareas!B44)</f>
        <v>39. Revisión de las incidencias detectadas</v>
      </c>
      <c r="N48" s="38">
        <v>0.0</v>
      </c>
      <c r="O48" s="38">
        <v>0.0</v>
      </c>
      <c r="P48" s="38">
        <v>0.0</v>
      </c>
      <c r="Q48" s="38">
        <v>0.0</v>
      </c>
      <c r="R48" s="38">
        <v>0.0</v>
      </c>
      <c r="S48" s="38">
        <v>0.0</v>
      </c>
      <c r="T48" s="38">
        <v>1.0</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0.0</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0.0</v>
      </c>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1.0</v>
      </c>
      <c r="M56" s="1" t="str">
        <f>IF(ISBLANK(Tareas!B52)," - ",Tareas!B52)</f>
        <v>47. Control de versiones y revisión final del código</v>
      </c>
      <c r="N56" s="38">
        <v>0.0</v>
      </c>
      <c r="O56" s="38">
        <v>0.0</v>
      </c>
      <c r="P56" s="38">
        <v>0.0</v>
      </c>
      <c r="Q56" s="38">
        <v>0.0</v>
      </c>
      <c r="R56" s="38">
        <v>0.0</v>
      </c>
      <c r="S56" s="38">
        <v>0.0</v>
      </c>
      <c r="T56" s="38">
        <v>0.0</v>
      </c>
      <c r="U56" s="38">
        <v>0.3</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0.5</v>
      </c>
      <c r="M57" s="1" t="str">
        <f>IF(ISBLANK(Tareas!B53)," - ",Tareas!B53)</f>
        <v>48. Revisión de la configuración y los documentos entregables</v>
      </c>
      <c r="N57" s="38">
        <v>0.0</v>
      </c>
      <c r="O57" s="38">
        <v>0.0</v>
      </c>
      <c r="P57" s="38">
        <v>0.0</v>
      </c>
      <c r="Q57" s="38">
        <v>0.0</v>
      </c>
      <c r="R57" s="38">
        <v>0.0</v>
      </c>
      <c r="S57" s="38">
        <v>0.0</v>
      </c>
      <c r="T57" s="38">
        <v>0.0</v>
      </c>
      <c r="U57" s="38">
        <v>0.3</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0.0</v>
      </c>
      <c r="M59" s="1" t="str">
        <f>IF(ISBLANK(Tareas!B55)," - ",Tareas!B55)</f>
        <v>50. Corrección del código (post-revisión)</v>
      </c>
      <c r="N59" s="38">
        <v>0.0</v>
      </c>
      <c r="O59" s="38">
        <v>0.0</v>
      </c>
      <c r="P59" s="38">
        <v>0.0</v>
      </c>
      <c r="Q59" s="38">
        <v>0.0</v>
      </c>
      <c r="R59" s="38">
        <v>0.0</v>
      </c>
      <c r="S59" s="38">
        <v>0.0</v>
      </c>
      <c r="T59" s="38">
        <v>0.0</v>
      </c>
      <c r="U59" s="38">
        <v>0.0</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0.0</v>
      </c>
      <c r="M61" s="1" t="str">
        <f>IF(ISBLANK(Tareas!B57)," - ",Tareas!B57)</f>
        <v>52. Disposición del código en la línea base (GCS)</v>
      </c>
      <c r="N61" s="38">
        <v>0.0</v>
      </c>
      <c r="O61" s="38">
        <v>0.0</v>
      </c>
      <c r="P61" s="38">
        <v>0.0</v>
      </c>
      <c r="Q61" s="38">
        <v>0.0</v>
      </c>
      <c r="R61" s="38">
        <v>0.0</v>
      </c>
      <c r="S61" s="38">
        <v>0.0</v>
      </c>
      <c r="T61" s="38">
        <v>0.0</v>
      </c>
      <c r="U61" s="38">
        <v>0.0</v>
      </c>
    </row>
    <row r="62" ht="15.75" customHeight="1">
      <c r="B62" s="1" t="str">
        <f>IF(ISBLANK(Tareas!B58)," - ",Tareas!B58)</f>
        <v>53. Entrega del ciclo de vida</v>
      </c>
      <c r="C62" s="38">
        <v>0.0</v>
      </c>
      <c r="D62" s="38">
        <v>0.0</v>
      </c>
      <c r="E62" s="38">
        <v>0.0</v>
      </c>
      <c r="F62" s="38">
        <v>0.0</v>
      </c>
      <c r="G62" s="38">
        <v>0.0</v>
      </c>
      <c r="H62" s="38">
        <v>0.0</v>
      </c>
      <c r="I62" s="38">
        <v>0.0</v>
      </c>
      <c r="J62" s="38">
        <v>0.0</v>
      </c>
      <c r="M62" s="1" t="str">
        <f>IF(ISBLANK(Tareas!B58)," - ",Tareas!B58)</f>
        <v>53. Entrega del ciclo de vida</v>
      </c>
      <c r="N62" s="38">
        <v>0.0</v>
      </c>
      <c r="O62" s="38">
        <v>0.0</v>
      </c>
      <c r="P62" s="38">
        <v>0.0</v>
      </c>
      <c r="Q62" s="38">
        <v>0.0</v>
      </c>
      <c r="R62" s="38">
        <v>0.0</v>
      </c>
      <c r="S62" s="38">
        <v>0.0</v>
      </c>
      <c r="T62" s="38">
        <v>0.0</v>
      </c>
      <c r="U62" s="38">
        <v>0.0</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4" width="10.56"/>
    <col customWidth="1" min="5" max="5" width="11.44"/>
    <col customWidth="1" min="6" max="26" width="10.56"/>
  </cols>
  <sheetData>
    <row r="1" ht="15.75" customHeight="1">
      <c r="A1" s="3" t="s">
        <v>80</v>
      </c>
    </row>
    <row r="2" ht="15.75" customHeight="1">
      <c r="B2" s="1" t="s">
        <v>81</v>
      </c>
    </row>
    <row r="3" ht="15.75" customHeight="1">
      <c r="B3" s="1" t="s">
        <v>82</v>
      </c>
    </row>
    <row r="4" ht="15.75" customHeight="1"/>
    <row r="5" ht="15.75" customHeight="1">
      <c r="B5" s="13" t="s">
        <v>59</v>
      </c>
    </row>
    <row r="6" ht="15.75" customHeight="1">
      <c r="B6" s="1" t="s">
        <v>83</v>
      </c>
    </row>
    <row r="7" ht="15.75" customHeight="1">
      <c r="B7" s="1" t="s">
        <v>84</v>
      </c>
    </row>
    <row r="8" ht="15.75" customHeight="1">
      <c r="B8" s="1" t="s">
        <v>85</v>
      </c>
    </row>
    <row r="9" ht="15.75" customHeight="1">
      <c r="B9" s="1" t="s">
        <v>86</v>
      </c>
    </row>
    <row r="10" ht="15.75" customHeight="1">
      <c r="B10" s="1" t="s">
        <v>87</v>
      </c>
    </row>
    <row r="11" ht="15.75" customHeight="1">
      <c r="B11" s="1" t="s">
        <v>88</v>
      </c>
    </row>
    <row r="12" ht="15.75" customHeight="1">
      <c r="B12" s="1" t="s">
        <v>89</v>
      </c>
    </row>
    <row r="13" ht="15.75" customHeight="1">
      <c r="B13" s="1" t="s">
        <v>90</v>
      </c>
    </row>
    <row r="14" ht="15.75" customHeight="1">
      <c r="B14" s="1" t="s">
        <v>91</v>
      </c>
    </row>
    <row r="15" ht="15.75" customHeight="1">
      <c r="B15" s="1" t="s">
        <v>92</v>
      </c>
    </row>
    <row r="16" ht="15.75" customHeight="1">
      <c r="B16" s="1" t="s">
        <v>93</v>
      </c>
    </row>
    <row r="17" ht="15.75" customHeight="1">
      <c r="B17" s="40" t="s">
        <v>94</v>
      </c>
    </row>
    <row r="18" ht="15.75" customHeight="1">
      <c r="B18" s="1" t="s">
        <v>95</v>
      </c>
    </row>
    <row r="19" ht="15.75" customHeight="1">
      <c r="B19" s="1" t="s">
        <v>96</v>
      </c>
    </row>
    <row r="20" ht="15.75" customHeight="1">
      <c r="B20" s="1" t="s">
        <v>97</v>
      </c>
    </row>
    <row r="21" ht="15.75" customHeight="1">
      <c r="B21" s="40" t="s">
        <v>98</v>
      </c>
    </row>
    <row r="22" ht="15.75" customHeight="1">
      <c r="B22" s="40" t="s">
        <v>99</v>
      </c>
    </row>
    <row r="23" ht="15.75" customHeight="1">
      <c r="B23" s="1" t="s">
        <v>100</v>
      </c>
    </row>
    <row r="24" ht="15.75" customHeight="1">
      <c r="B24" s="40" t="s">
        <v>101</v>
      </c>
    </row>
    <row r="25" ht="15.75" customHeight="1">
      <c r="B25" s="1" t="s">
        <v>102</v>
      </c>
    </row>
    <row r="26" ht="15.75" customHeight="1">
      <c r="B26" s="1" t="s">
        <v>103</v>
      </c>
    </row>
    <row r="27" ht="15.75" customHeight="1">
      <c r="B27" s="40" t="s">
        <v>104</v>
      </c>
    </row>
    <row r="28" ht="15.75" customHeight="1">
      <c r="B28" s="1" t="s">
        <v>105</v>
      </c>
    </row>
    <row r="29" ht="15.75" customHeight="1">
      <c r="B29" s="1" t="s">
        <v>106</v>
      </c>
    </row>
    <row r="30" ht="15.75" customHeight="1">
      <c r="B30" s="1" t="s">
        <v>107</v>
      </c>
    </row>
    <row r="31" ht="15.75" customHeight="1">
      <c r="B31" s="1" t="s">
        <v>108</v>
      </c>
    </row>
    <row r="32" ht="15.75" customHeight="1">
      <c r="B32" s="1" t="s">
        <v>109</v>
      </c>
    </row>
    <row r="33" ht="15.75" customHeight="1">
      <c r="B33" s="1" t="s">
        <v>110</v>
      </c>
    </row>
    <row r="34" ht="15.75" customHeight="1">
      <c r="B34" s="1" t="s">
        <v>111</v>
      </c>
    </row>
    <row r="35" ht="15.75" customHeight="1">
      <c r="B35" s="40" t="s">
        <v>112</v>
      </c>
    </row>
    <row r="36" ht="15.75" customHeight="1">
      <c r="B36" s="1" t="s">
        <v>113</v>
      </c>
    </row>
    <row r="37" ht="15.75" customHeight="1">
      <c r="B37" s="1" t="s">
        <v>114</v>
      </c>
    </row>
    <row r="38" ht="15.75" customHeight="1">
      <c r="B38" s="40" t="s">
        <v>115</v>
      </c>
    </row>
    <row r="39" ht="15.75" customHeight="1">
      <c r="B39" s="1" t="s">
        <v>116</v>
      </c>
    </row>
    <row r="40" ht="15.75" customHeight="1">
      <c r="B40" s="1" t="s">
        <v>117</v>
      </c>
    </row>
    <row r="41" ht="15.75" customHeight="1">
      <c r="B41" s="40" t="s">
        <v>118</v>
      </c>
    </row>
    <row r="42" ht="15.75" customHeight="1">
      <c r="B42" s="1" t="s">
        <v>119</v>
      </c>
    </row>
    <row r="43" ht="15.75" customHeight="1">
      <c r="B43" s="40" t="s">
        <v>120</v>
      </c>
    </row>
    <row r="44" ht="15.75" customHeight="1">
      <c r="B44" s="1" t="s">
        <v>121</v>
      </c>
    </row>
    <row r="45" ht="15.75" customHeight="1">
      <c r="B45" s="1" t="s">
        <v>122</v>
      </c>
      <c r="C45" s="11" t="s">
        <v>123</v>
      </c>
    </row>
    <row r="46" ht="15.75" customHeight="1">
      <c r="B46" s="1" t="s">
        <v>124</v>
      </c>
    </row>
    <row r="47" ht="15.75" customHeight="1">
      <c r="B47" s="1" t="s">
        <v>125</v>
      </c>
    </row>
    <row r="48" ht="15.75" customHeight="1">
      <c r="B48" s="1" t="s">
        <v>126</v>
      </c>
    </row>
    <row r="49" ht="15.75" customHeight="1">
      <c r="B49" s="1" t="s">
        <v>127</v>
      </c>
    </row>
    <row r="50" ht="15.75" customHeight="1">
      <c r="B50" s="1" t="s">
        <v>128</v>
      </c>
    </row>
    <row r="51" ht="15.75" customHeight="1">
      <c r="B51" s="1" t="s">
        <v>129</v>
      </c>
    </row>
    <row r="52" ht="15.75" customHeight="1">
      <c r="B52" s="1" t="s">
        <v>130</v>
      </c>
    </row>
    <row r="53" ht="15.75" customHeight="1">
      <c r="B53" s="1" t="s">
        <v>131</v>
      </c>
    </row>
    <row r="54" ht="15.75" customHeight="1">
      <c r="B54" s="1" t="s">
        <v>132</v>
      </c>
    </row>
    <row r="55" ht="15.75" customHeight="1">
      <c r="B55" s="1" t="s">
        <v>133</v>
      </c>
    </row>
    <row r="56" ht="15.75" customHeight="1">
      <c r="B56" s="1" t="s">
        <v>134</v>
      </c>
    </row>
    <row r="57" ht="15.75" customHeight="1">
      <c r="B57" s="40" t="s">
        <v>135</v>
      </c>
    </row>
    <row r="58" ht="15.75" customHeight="1">
      <c r="B58" s="1" t="s">
        <v>136</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c r="B200" s="1" t="s">
        <v>137</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0.56"/>
    <col customWidth="1" min="2" max="2" width="51.78"/>
    <col customWidth="1" min="3" max="3" width="10.56"/>
    <col customWidth="1" min="4" max="4" width="11.44"/>
    <col customWidth="1" min="5" max="26" width="10.56"/>
  </cols>
  <sheetData>
    <row r="1" ht="15.75" customHeight="1">
      <c r="A1" s="3" t="s">
        <v>138</v>
      </c>
    </row>
    <row r="2" ht="15.75" customHeight="1">
      <c r="B2" s="1" t="s">
        <v>139</v>
      </c>
    </row>
    <row r="3" ht="15.75" customHeight="1">
      <c r="B3" s="1" t="s">
        <v>140</v>
      </c>
    </row>
    <row r="4" ht="15.75" customHeight="1">
      <c r="B4" s="1" t="s">
        <v>141</v>
      </c>
    </row>
    <row r="5" ht="15.75" customHeight="1"/>
    <row r="6" ht="15.75" customHeight="1"/>
    <row r="7" ht="15.75" customHeight="1">
      <c r="A7" s="4" t="s">
        <v>142</v>
      </c>
      <c r="C7" s="42" t="s">
        <v>143</v>
      </c>
      <c r="D7" s="19">
        <f t="shared" ref="D7:K7" si="1">IF(SUM(D10:D100)&gt;0,SUM(D10:D100),"")</f>
        <v>9.4</v>
      </c>
      <c r="E7" s="19">
        <f t="shared" si="1"/>
        <v>8.5</v>
      </c>
      <c r="F7" s="19">
        <f t="shared" si="1"/>
        <v>14.2</v>
      </c>
      <c r="G7" s="19">
        <f t="shared" si="1"/>
        <v>12</v>
      </c>
      <c r="H7" s="19">
        <f t="shared" si="1"/>
        <v>8.7</v>
      </c>
      <c r="I7" s="19">
        <f t="shared" si="1"/>
        <v>7.6</v>
      </c>
      <c r="J7" s="19">
        <f t="shared" si="1"/>
        <v>15.8</v>
      </c>
      <c r="K7" s="19">
        <f t="shared" si="1"/>
        <v>11.3</v>
      </c>
    </row>
    <row r="8" ht="15.75" customHeight="1">
      <c r="C8" s="42" t="s">
        <v>144</v>
      </c>
      <c r="D8" s="19">
        <f>IF(D7="","",D7)</f>
        <v>9.4</v>
      </c>
      <c r="E8" s="19">
        <f t="shared" ref="E8:K8" si="2">IF(E7="",D8,E7+D8)</f>
        <v>17.9</v>
      </c>
      <c r="F8" s="19">
        <f t="shared" si="2"/>
        <v>32.1</v>
      </c>
      <c r="G8" s="19">
        <f t="shared" si="2"/>
        <v>44.1</v>
      </c>
      <c r="H8" s="19">
        <f t="shared" si="2"/>
        <v>52.8</v>
      </c>
      <c r="I8" s="19">
        <f t="shared" si="2"/>
        <v>60.4</v>
      </c>
      <c r="J8" s="19">
        <f t="shared" si="2"/>
        <v>76.2</v>
      </c>
      <c r="K8" s="19">
        <f t="shared" si="2"/>
        <v>87.5</v>
      </c>
    </row>
    <row r="9" ht="15.75" customHeight="1">
      <c r="B9" s="13" t="s">
        <v>59</v>
      </c>
      <c r="C9" s="13" t="s">
        <v>60</v>
      </c>
      <c r="D9" s="13" t="str">
        <f>Informe!D22</f>
        <v>S1</v>
      </c>
      <c r="E9" s="13" t="str">
        <f>Informe!E22</f>
        <v>S2</v>
      </c>
      <c r="F9" s="13" t="str">
        <f>Informe!F22</f>
        <v>S3</v>
      </c>
      <c r="G9" s="13" t="str">
        <f>Informe!G22</f>
        <v>S4</v>
      </c>
      <c r="H9" s="13" t="str">
        <f>Informe!H22</f>
        <v>S5</v>
      </c>
      <c r="I9" s="13" t="str">
        <f>Informe!I22</f>
        <v>S6</v>
      </c>
      <c r="J9" s="13" t="str">
        <f>Informe!J22</f>
        <v>S7</v>
      </c>
      <c r="K9" s="13" t="str">
        <f>Informe!K22</f>
        <v>S8</v>
      </c>
    </row>
    <row r="10" ht="15.75" customHeight="1">
      <c r="B10" s="1" t="str">
        <f>IF(ISBLANK(Tareas!B6)," - ",Tareas!B6)</f>
        <v>1. Reunión 1</v>
      </c>
      <c r="C10" s="19">
        <f>IF(ISBLANK(Tareas!$B6),"-",SUM(D10:M10))</f>
        <v>4.5</v>
      </c>
      <c r="D10" s="19">
        <f t="array" ref="D10">IF(ISBLANK(Tareas!$B6),"-",
SUM(
SUMIF(INDIRECT(Equipo!$C$4&amp;"!B10:B1000"),$B10,INDIRECT(Equipo!$C$4&amp;"!"&amp;ADDRESS(10,COLUMN(D$9)+10)&amp;":"&amp;ADDRESS(1000,COLUMN(D$9)+10))),
SUMIF(INDIRECT(Equipo!$D$4&amp;"!B10:B1000"),$B10,INDIRECT(Equipo!$D$4&amp;"!"&amp;ADDRESS(10,COLUMN(D$9)+10)&amp;":"&amp;ADDRESS(1000,COLUMN(D$9)+10))),
SUMIF(INDIRECT(Equipo!$E$4&amp;"!B10:B1000"),$B10,INDIRECT(Equipo!$E$4&amp;"!"&amp;ADDRESS(10,COLUMN(D$9)+10)&amp;":"&amp;ADDRESS(1000,COLUMN(D$9)+10))),
SUMIF(INDIRECT(Equipo!$F$4&amp;"!B10:B1000"),$B10,INDIRECT(Equipo!$F$4&amp;"!"&amp;ADDRESS(10,COLUMN(D$9)+10)&amp;":"&amp;ADDRESS(1000,COLUMN(D$9)+10))),
SUMIF(INDIRECT(Equipo!$G$4&amp;"!B10:B1000"),$B10,INDIRECT(Equipo!$G$4&amp;"!"&amp;ADDRESS(10,COLUMN(D$9)+10)&amp;":"&amp;ADDRESS(1000,COLUMN(D$9)+10)))
))</f>
        <v>4.5</v>
      </c>
      <c r="E10" s="19">
        <f t="array" ref="E10">IF(ISBLANK(Tareas!$B6),"-",
SUM(
SUMIF(INDIRECT(Equipo!$C$4&amp;"!B10:B1000"),$B10,INDIRECT(Equipo!$C$4&amp;"!"&amp;ADDRESS(10,COLUMN(E$9)+10)&amp;":"&amp;ADDRESS(1000,COLUMN(E$9)+10))),
SUMIF(INDIRECT(Equipo!$D$4&amp;"!B10:B1000"),$B10,INDIRECT(Equipo!$D$4&amp;"!"&amp;ADDRESS(10,COLUMN(E$9)+10)&amp;":"&amp;ADDRESS(1000,COLUMN(E$9)+10))),
SUMIF(INDIRECT(Equipo!$E$4&amp;"!B10:B1000"),$B10,INDIRECT(Equipo!$E$4&amp;"!"&amp;ADDRESS(10,COLUMN(E$9)+10)&amp;":"&amp;ADDRESS(1000,COLUMN(E$9)+10))),
SUMIF(INDIRECT(Equipo!$F$4&amp;"!B10:B1000"),$B10,INDIRECT(Equipo!$F$4&amp;"!"&amp;ADDRESS(10,COLUMN(E$9)+10)&amp;":"&amp;ADDRESS(1000,COLUMN(E$9)+10))),
SUMIF(INDIRECT(Equipo!$G$4&amp;"!B10:B1000"),$B10,INDIRECT(Equipo!$G$4&amp;"!"&amp;ADDRESS(10,COLUMN(E$9)+10)&amp;":"&amp;ADDRESS(1000,COLUMN(E$9)+10)))
))</f>
        <v>0</v>
      </c>
      <c r="F10" s="19">
        <f t="array" ref="F10">IF(ISBLANK(Tareas!$B6),"-",
SUM(
SUMIF(INDIRECT(Equipo!$C$4&amp;"!B10:B1000"),$B10,INDIRECT(Equipo!$C$4&amp;"!"&amp;ADDRESS(10,COLUMN(F$9)+10)&amp;":"&amp;ADDRESS(1000,COLUMN(F$9)+10))),
SUMIF(INDIRECT(Equipo!$D$4&amp;"!B10:B1000"),$B10,INDIRECT(Equipo!$D$4&amp;"!"&amp;ADDRESS(10,COLUMN(F$9)+10)&amp;":"&amp;ADDRESS(1000,COLUMN(F$9)+10))),
SUMIF(INDIRECT(Equipo!$E$4&amp;"!B10:B1000"),$B10,INDIRECT(Equipo!$E$4&amp;"!"&amp;ADDRESS(10,COLUMN(F$9)+10)&amp;":"&amp;ADDRESS(1000,COLUMN(F$9)+10))),
SUMIF(INDIRECT(Equipo!$F$4&amp;"!B10:B1000"),$B10,INDIRECT(Equipo!$F$4&amp;"!"&amp;ADDRESS(10,COLUMN(F$9)+10)&amp;":"&amp;ADDRESS(1000,COLUMN(F$9)+10))),
SUMIF(INDIRECT(Equipo!$G$4&amp;"!B10:B1000"),$B10,INDIRECT(Equipo!$G$4&amp;"!"&amp;ADDRESS(10,COLUMN(F$9)+10)&amp;":"&amp;ADDRESS(1000,COLUMN(F$9)+10)))
))</f>
        <v>0</v>
      </c>
      <c r="G10" s="19">
        <f t="array" ref="G10">IF(ISBLANK(Tareas!$B6),"-",
SUM(
SUMIF(INDIRECT(Equipo!$C$4&amp;"!B10:B1000"),$B10,INDIRECT(Equipo!$C$4&amp;"!"&amp;ADDRESS(10,COLUMN(G$9)+10)&amp;":"&amp;ADDRESS(1000,COLUMN(G$9)+10))),
SUMIF(INDIRECT(Equipo!$D$4&amp;"!B10:B1000"),$B10,INDIRECT(Equipo!$D$4&amp;"!"&amp;ADDRESS(10,COLUMN(G$9)+10)&amp;":"&amp;ADDRESS(1000,COLUMN(G$9)+10))),
SUMIF(INDIRECT(Equipo!$E$4&amp;"!B10:B1000"),$B10,INDIRECT(Equipo!$E$4&amp;"!"&amp;ADDRESS(10,COLUMN(G$9)+10)&amp;":"&amp;ADDRESS(1000,COLUMN(G$9)+10))),
SUMIF(INDIRECT(Equipo!$F$4&amp;"!B10:B1000"),$B10,INDIRECT(Equipo!$F$4&amp;"!"&amp;ADDRESS(10,COLUMN(G$9)+10)&amp;":"&amp;ADDRESS(1000,COLUMN(G$9)+10))),
SUMIF(INDIRECT(Equipo!$G$4&amp;"!B10:B1000"),$B10,INDIRECT(Equipo!$G$4&amp;"!"&amp;ADDRESS(10,COLUMN(G$9)+10)&amp;":"&amp;ADDRESS(1000,COLUMN(G$9)+10)))
))</f>
        <v>0</v>
      </c>
      <c r="H10" s="19">
        <f t="array" ref="H10">IF(ISBLANK(Tareas!$B6),"-",
SUM(
SUMIF(INDIRECT(Equipo!$C$4&amp;"!B10:B1000"),$B10,INDIRECT(Equipo!$C$4&amp;"!"&amp;ADDRESS(10,COLUMN(H$9)+10)&amp;":"&amp;ADDRESS(1000,COLUMN(H$9)+10))),
SUMIF(INDIRECT(Equipo!$D$4&amp;"!B10:B1000"),$B10,INDIRECT(Equipo!$D$4&amp;"!"&amp;ADDRESS(10,COLUMN(H$9)+10)&amp;":"&amp;ADDRESS(1000,COLUMN(H$9)+10))),
SUMIF(INDIRECT(Equipo!$E$4&amp;"!B10:B1000"),$B10,INDIRECT(Equipo!$E$4&amp;"!"&amp;ADDRESS(10,COLUMN(H$9)+10)&amp;":"&amp;ADDRESS(1000,COLUMN(H$9)+10))),
SUMIF(INDIRECT(Equipo!$F$4&amp;"!B10:B1000"),$B10,INDIRECT(Equipo!$F$4&amp;"!"&amp;ADDRESS(10,COLUMN(H$9)+10)&amp;":"&amp;ADDRESS(1000,COLUMN(H$9)+10))),
SUMIF(INDIRECT(Equipo!$G$4&amp;"!B10:B1000"),$B10,INDIRECT(Equipo!$G$4&amp;"!"&amp;ADDRESS(10,COLUMN(H$9)+10)&amp;":"&amp;ADDRESS(1000,COLUMN(H$9)+10)))
))</f>
        <v>0</v>
      </c>
      <c r="I10" s="19">
        <f t="array" ref="I10">IF(ISBLANK(Tareas!$B6),"-",
SUM(
SUMIF(INDIRECT(Equipo!$C$4&amp;"!B10:B1000"),$B10,INDIRECT(Equipo!$C$4&amp;"!"&amp;ADDRESS(10,COLUMN(I$9)+10)&amp;":"&amp;ADDRESS(1000,COLUMN(I$9)+10))),
SUMIF(INDIRECT(Equipo!$D$4&amp;"!B10:B1000"),$B10,INDIRECT(Equipo!$D$4&amp;"!"&amp;ADDRESS(10,COLUMN(I$9)+10)&amp;":"&amp;ADDRESS(1000,COLUMN(I$9)+10))),
SUMIF(INDIRECT(Equipo!$E$4&amp;"!B10:B1000"),$B10,INDIRECT(Equipo!$E$4&amp;"!"&amp;ADDRESS(10,COLUMN(I$9)+10)&amp;":"&amp;ADDRESS(1000,COLUMN(I$9)+10))),
SUMIF(INDIRECT(Equipo!$F$4&amp;"!B10:B1000"),$B10,INDIRECT(Equipo!$F$4&amp;"!"&amp;ADDRESS(10,COLUMN(I$9)+10)&amp;":"&amp;ADDRESS(1000,COLUMN(I$9)+10))),
SUMIF(INDIRECT(Equipo!$G$4&amp;"!B10:B1000"),$B10,INDIRECT(Equipo!$G$4&amp;"!"&amp;ADDRESS(10,COLUMN(I$9)+10)&amp;":"&amp;ADDRESS(1000,COLUMN(I$9)+10)))
))</f>
        <v>0</v>
      </c>
      <c r="J10" s="19">
        <f t="array" ref="J10">IF(ISBLANK(Tareas!$B6),"-",
SUM(
SUMIF(INDIRECT(Equipo!$C$4&amp;"!B10:B1000"),$B10,INDIRECT(Equipo!$C$4&amp;"!"&amp;ADDRESS(10,COLUMN(J$9)+10)&amp;":"&amp;ADDRESS(1000,COLUMN(J$9)+10))),
SUMIF(INDIRECT(Equipo!$D$4&amp;"!B10:B1000"),$B10,INDIRECT(Equipo!$D$4&amp;"!"&amp;ADDRESS(10,COLUMN(J$9)+10)&amp;":"&amp;ADDRESS(1000,COLUMN(J$9)+10))),
SUMIF(INDIRECT(Equipo!$E$4&amp;"!B10:B1000"),$B10,INDIRECT(Equipo!$E$4&amp;"!"&amp;ADDRESS(10,COLUMN(J$9)+10)&amp;":"&amp;ADDRESS(1000,COLUMN(J$9)+10))),
SUMIF(INDIRECT(Equipo!$F$4&amp;"!B10:B1000"),$B10,INDIRECT(Equipo!$F$4&amp;"!"&amp;ADDRESS(10,COLUMN(J$9)+10)&amp;":"&amp;ADDRESS(1000,COLUMN(J$9)+10))),
SUMIF(INDIRECT(Equipo!$G$4&amp;"!B10:B1000"),$B10,INDIRECT(Equipo!$G$4&amp;"!"&amp;ADDRESS(10,COLUMN(J$9)+10)&amp;":"&amp;ADDRESS(1000,COLUMN(J$9)+10)))
))</f>
        <v>0</v>
      </c>
      <c r="K10" s="19">
        <f t="array" ref="K10">IF(ISBLANK(Tareas!$B6),"-",
SUM(
SUMIF(INDIRECT(Equipo!$C$4&amp;"!B10:B1000"),$B10,INDIRECT(Equipo!$C$4&amp;"!"&amp;ADDRESS(10,COLUMN(K$9)+10)&amp;":"&amp;ADDRESS(1000,COLUMN(K$9)+10))),
SUMIF(INDIRECT(Equipo!$D$4&amp;"!B10:B1000"),$B10,INDIRECT(Equipo!$D$4&amp;"!"&amp;ADDRESS(10,COLUMN(K$9)+10)&amp;":"&amp;ADDRESS(1000,COLUMN(K$9)+10))),
SUMIF(INDIRECT(Equipo!$E$4&amp;"!B10:B1000"),$B10,INDIRECT(Equipo!$E$4&amp;"!"&amp;ADDRESS(10,COLUMN(K$9)+10)&amp;":"&amp;ADDRESS(1000,COLUMN(K$9)+10))),
SUMIF(INDIRECT(Equipo!$F$4&amp;"!B10:B1000"),$B10,INDIRECT(Equipo!$F$4&amp;"!"&amp;ADDRESS(10,COLUMN(K$9)+10)&amp;":"&amp;ADDRESS(1000,COLUMN(K$9)+10))),
SUMIF(INDIRECT(Equipo!$G$4&amp;"!B10:B1000"),$B10,INDIRECT(Equipo!$G$4&amp;"!"&amp;ADDRESS(10,COLUMN(K$9)+10)&amp;":"&amp;ADDRESS(1000,COLUMN(K$9)+10)))
))</f>
        <v>0</v>
      </c>
    </row>
    <row r="11" ht="15.75" customHeight="1">
      <c r="B11" s="1" t="str">
        <f>IF(ISBLANK(Tareas!B7)," - ",Tareas!B7)</f>
        <v>2. Asignación de roles</v>
      </c>
      <c r="C11" s="19">
        <f>IF(ISBLANK(Tareas!$B7),"-",SUM(D11:M11))</f>
        <v>0.9</v>
      </c>
      <c r="D11" s="19">
        <f t="array" ref="D11">IF(ISBLANK(Tareas!$B7),"-",
SUM(
SUMIF(INDIRECT(Equipo!$C$4&amp;"!B10:B1000"),$B11,INDIRECT(Equipo!$C$4&amp;"!"&amp;ADDRESS(10,COLUMN(D$9)+10)&amp;":"&amp;ADDRESS(1000,COLUMN(D$9)+10))),
SUMIF(INDIRECT(Equipo!$D$4&amp;"!B10:B1000"),$B11,INDIRECT(Equipo!$D$4&amp;"!"&amp;ADDRESS(10,COLUMN(D$9)+10)&amp;":"&amp;ADDRESS(1000,COLUMN(D$9)+10))),
SUMIF(INDIRECT(Equipo!$E$4&amp;"!B10:B1000"),$B11,INDIRECT(Equipo!$E$4&amp;"!"&amp;ADDRESS(10,COLUMN(D$9)+10)&amp;":"&amp;ADDRESS(1000,COLUMN(D$9)+10))),
SUMIF(INDIRECT(Equipo!$F$4&amp;"!B10:B1000"),$B11,INDIRECT(Equipo!$F$4&amp;"!"&amp;ADDRESS(10,COLUMN(D$9)+10)&amp;":"&amp;ADDRESS(1000,COLUMN(D$9)+10))),
SUMIF(INDIRECT(Equipo!$G$4&amp;"!B10:B1000"),$B11,INDIRECT(Equipo!$G$4&amp;"!"&amp;ADDRESS(10,COLUMN(D$9)+10)&amp;":"&amp;ADDRESS(1000,COLUMN(D$9)+10)))
))</f>
        <v>0.9</v>
      </c>
      <c r="E11" s="19">
        <f t="array" ref="E11">IF(ISBLANK(Tareas!$B7),"-",
SUM(
SUMIF(INDIRECT(Equipo!$C$4&amp;"!B10:B1000"),$B11,INDIRECT(Equipo!$C$4&amp;"!"&amp;ADDRESS(10,COLUMN(E$9)+10)&amp;":"&amp;ADDRESS(1000,COLUMN(E$9)+10))),
SUMIF(INDIRECT(Equipo!$D$4&amp;"!B10:B1000"),$B11,INDIRECT(Equipo!$D$4&amp;"!"&amp;ADDRESS(10,COLUMN(E$9)+10)&amp;":"&amp;ADDRESS(1000,COLUMN(E$9)+10))),
SUMIF(INDIRECT(Equipo!$E$4&amp;"!B10:B1000"),$B11,INDIRECT(Equipo!$E$4&amp;"!"&amp;ADDRESS(10,COLUMN(E$9)+10)&amp;":"&amp;ADDRESS(1000,COLUMN(E$9)+10))),
SUMIF(INDIRECT(Equipo!$F$4&amp;"!B10:B1000"),$B11,INDIRECT(Equipo!$F$4&amp;"!"&amp;ADDRESS(10,COLUMN(E$9)+10)&amp;":"&amp;ADDRESS(1000,COLUMN(E$9)+10))),
SUMIF(INDIRECT(Equipo!$G$4&amp;"!B10:B1000"),$B11,INDIRECT(Equipo!$G$4&amp;"!"&amp;ADDRESS(10,COLUMN(E$9)+10)&amp;":"&amp;ADDRESS(1000,COLUMN(E$9)+10)))
))</f>
        <v>0</v>
      </c>
      <c r="F11" s="19">
        <f t="array" ref="F11">IF(ISBLANK(Tareas!$B7),"-",
SUM(
SUMIF(INDIRECT(Equipo!$C$4&amp;"!B10:B1000"),$B11,INDIRECT(Equipo!$C$4&amp;"!"&amp;ADDRESS(10,COLUMN(F$9)+10)&amp;":"&amp;ADDRESS(1000,COLUMN(F$9)+10))),
SUMIF(INDIRECT(Equipo!$D$4&amp;"!B10:B1000"),$B11,INDIRECT(Equipo!$D$4&amp;"!"&amp;ADDRESS(10,COLUMN(F$9)+10)&amp;":"&amp;ADDRESS(1000,COLUMN(F$9)+10))),
SUMIF(INDIRECT(Equipo!$E$4&amp;"!B10:B1000"),$B11,INDIRECT(Equipo!$E$4&amp;"!"&amp;ADDRESS(10,COLUMN(F$9)+10)&amp;":"&amp;ADDRESS(1000,COLUMN(F$9)+10))),
SUMIF(INDIRECT(Equipo!$F$4&amp;"!B10:B1000"),$B11,INDIRECT(Equipo!$F$4&amp;"!"&amp;ADDRESS(10,COLUMN(F$9)+10)&amp;":"&amp;ADDRESS(1000,COLUMN(F$9)+10))),
SUMIF(INDIRECT(Equipo!$G$4&amp;"!B10:B1000"),$B11,INDIRECT(Equipo!$G$4&amp;"!"&amp;ADDRESS(10,COLUMN(F$9)+10)&amp;":"&amp;ADDRESS(1000,COLUMN(F$9)+10)))
))</f>
        <v>0</v>
      </c>
      <c r="G11" s="19">
        <f t="array" ref="G11">IF(ISBLANK(Tareas!$B7),"-",
SUM(
SUMIF(INDIRECT(Equipo!$C$4&amp;"!B10:B1000"),$B11,INDIRECT(Equipo!$C$4&amp;"!"&amp;ADDRESS(10,COLUMN(G$9)+10)&amp;":"&amp;ADDRESS(1000,COLUMN(G$9)+10))),
SUMIF(INDIRECT(Equipo!$D$4&amp;"!B10:B1000"),$B11,INDIRECT(Equipo!$D$4&amp;"!"&amp;ADDRESS(10,COLUMN(G$9)+10)&amp;":"&amp;ADDRESS(1000,COLUMN(G$9)+10))),
SUMIF(INDIRECT(Equipo!$E$4&amp;"!B10:B1000"),$B11,INDIRECT(Equipo!$E$4&amp;"!"&amp;ADDRESS(10,COLUMN(G$9)+10)&amp;":"&amp;ADDRESS(1000,COLUMN(G$9)+10))),
SUMIF(INDIRECT(Equipo!$F$4&amp;"!B10:B1000"),$B11,INDIRECT(Equipo!$F$4&amp;"!"&amp;ADDRESS(10,COLUMN(G$9)+10)&amp;":"&amp;ADDRESS(1000,COLUMN(G$9)+10))),
SUMIF(INDIRECT(Equipo!$G$4&amp;"!B10:B1000"),$B11,INDIRECT(Equipo!$G$4&amp;"!"&amp;ADDRESS(10,COLUMN(G$9)+10)&amp;":"&amp;ADDRESS(1000,COLUMN(G$9)+10)))
))</f>
        <v>0</v>
      </c>
      <c r="H11" s="19">
        <f t="array" ref="H11">IF(ISBLANK(Tareas!$B7),"-",
SUM(
SUMIF(INDIRECT(Equipo!$C$4&amp;"!B10:B1000"),$B11,INDIRECT(Equipo!$C$4&amp;"!"&amp;ADDRESS(10,COLUMN(H$9)+10)&amp;":"&amp;ADDRESS(1000,COLUMN(H$9)+10))),
SUMIF(INDIRECT(Equipo!$D$4&amp;"!B10:B1000"),$B11,INDIRECT(Equipo!$D$4&amp;"!"&amp;ADDRESS(10,COLUMN(H$9)+10)&amp;":"&amp;ADDRESS(1000,COLUMN(H$9)+10))),
SUMIF(INDIRECT(Equipo!$E$4&amp;"!B10:B1000"),$B11,INDIRECT(Equipo!$E$4&amp;"!"&amp;ADDRESS(10,COLUMN(H$9)+10)&amp;":"&amp;ADDRESS(1000,COLUMN(H$9)+10))),
SUMIF(INDIRECT(Equipo!$F$4&amp;"!B10:B1000"),$B11,INDIRECT(Equipo!$F$4&amp;"!"&amp;ADDRESS(10,COLUMN(H$9)+10)&amp;":"&amp;ADDRESS(1000,COLUMN(H$9)+10))),
SUMIF(INDIRECT(Equipo!$G$4&amp;"!B10:B1000"),$B11,INDIRECT(Equipo!$G$4&amp;"!"&amp;ADDRESS(10,COLUMN(H$9)+10)&amp;":"&amp;ADDRESS(1000,COLUMN(H$9)+10)))
))</f>
        <v>0</v>
      </c>
      <c r="I11" s="19">
        <f t="array" ref="I11">IF(ISBLANK(Tareas!$B7),"-",
SUM(
SUMIF(INDIRECT(Equipo!$C$4&amp;"!B10:B1000"),$B11,INDIRECT(Equipo!$C$4&amp;"!"&amp;ADDRESS(10,COLUMN(I$9)+10)&amp;":"&amp;ADDRESS(1000,COLUMN(I$9)+10))),
SUMIF(INDIRECT(Equipo!$D$4&amp;"!B10:B1000"),$B11,INDIRECT(Equipo!$D$4&amp;"!"&amp;ADDRESS(10,COLUMN(I$9)+10)&amp;":"&amp;ADDRESS(1000,COLUMN(I$9)+10))),
SUMIF(INDIRECT(Equipo!$E$4&amp;"!B10:B1000"),$B11,INDIRECT(Equipo!$E$4&amp;"!"&amp;ADDRESS(10,COLUMN(I$9)+10)&amp;":"&amp;ADDRESS(1000,COLUMN(I$9)+10))),
SUMIF(INDIRECT(Equipo!$F$4&amp;"!B10:B1000"),$B11,INDIRECT(Equipo!$F$4&amp;"!"&amp;ADDRESS(10,COLUMN(I$9)+10)&amp;":"&amp;ADDRESS(1000,COLUMN(I$9)+10))),
SUMIF(INDIRECT(Equipo!$G$4&amp;"!B10:B1000"),$B11,INDIRECT(Equipo!$G$4&amp;"!"&amp;ADDRESS(10,COLUMN(I$9)+10)&amp;":"&amp;ADDRESS(1000,COLUMN(I$9)+10)))
))</f>
        <v>0</v>
      </c>
      <c r="J11" s="19">
        <f t="array" ref="J11">IF(ISBLANK(Tareas!$B7),"-",
SUM(
SUMIF(INDIRECT(Equipo!$C$4&amp;"!B10:B1000"),$B11,INDIRECT(Equipo!$C$4&amp;"!"&amp;ADDRESS(10,COLUMN(J$9)+10)&amp;":"&amp;ADDRESS(1000,COLUMN(J$9)+10))),
SUMIF(INDIRECT(Equipo!$D$4&amp;"!B10:B1000"),$B11,INDIRECT(Equipo!$D$4&amp;"!"&amp;ADDRESS(10,COLUMN(J$9)+10)&amp;":"&amp;ADDRESS(1000,COLUMN(J$9)+10))),
SUMIF(INDIRECT(Equipo!$E$4&amp;"!B10:B1000"),$B11,INDIRECT(Equipo!$E$4&amp;"!"&amp;ADDRESS(10,COLUMN(J$9)+10)&amp;":"&amp;ADDRESS(1000,COLUMN(J$9)+10))),
SUMIF(INDIRECT(Equipo!$F$4&amp;"!B10:B1000"),$B11,INDIRECT(Equipo!$F$4&amp;"!"&amp;ADDRESS(10,COLUMN(J$9)+10)&amp;":"&amp;ADDRESS(1000,COLUMN(J$9)+10))),
SUMIF(INDIRECT(Equipo!$G$4&amp;"!B10:B1000"),$B11,INDIRECT(Equipo!$G$4&amp;"!"&amp;ADDRESS(10,COLUMN(J$9)+10)&amp;":"&amp;ADDRESS(1000,COLUMN(J$9)+10)))
))</f>
        <v>0</v>
      </c>
      <c r="K11" s="19">
        <f t="array" ref="K11">IF(ISBLANK(Tareas!$B7),"-",
SUM(
SUMIF(INDIRECT(Equipo!$C$4&amp;"!B10:B1000"),$B11,INDIRECT(Equipo!$C$4&amp;"!"&amp;ADDRESS(10,COLUMN(K$9)+10)&amp;":"&amp;ADDRESS(1000,COLUMN(K$9)+10))),
SUMIF(INDIRECT(Equipo!$D$4&amp;"!B10:B1000"),$B11,INDIRECT(Equipo!$D$4&amp;"!"&amp;ADDRESS(10,COLUMN(K$9)+10)&amp;":"&amp;ADDRESS(1000,COLUMN(K$9)+10))),
SUMIF(INDIRECT(Equipo!$E$4&amp;"!B10:B1000"),$B11,INDIRECT(Equipo!$E$4&amp;"!"&amp;ADDRESS(10,COLUMN(K$9)+10)&amp;":"&amp;ADDRESS(1000,COLUMN(K$9)+10))),
SUMIF(INDIRECT(Equipo!$F$4&amp;"!B10:B1000"),$B11,INDIRECT(Equipo!$F$4&amp;"!"&amp;ADDRESS(10,COLUMN(K$9)+10)&amp;":"&amp;ADDRESS(1000,COLUMN(K$9)+10))),
SUMIF(INDIRECT(Equipo!$G$4&amp;"!B10:B1000"),$B11,INDIRECT(Equipo!$G$4&amp;"!"&amp;ADDRESS(10,COLUMN(K$9)+10)&amp;":"&amp;ADDRESS(1000,COLUMN(K$9)+10)))
))</f>
        <v>0</v>
      </c>
    </row>
    <row r="12" ht="15.75" customHeight="1">
      <c r="B12" s="1" t="str">
        <f>IF(ISBLANK(Tareas!B8)," - ",Tareas!B8)</f>
        <v>3. Definición del estándar de documentación</v>
      </c>
      <c r="C12" s="19">
        <f>IF(ISBLANK(Tareas!$B8),"-",SUM(D12:M12))</f>
        <v>1.2</v>
      </c>
      <c r="D12" s="19">
        <f t="array" ref="D12">IF(ISBLANK(Tareas!$B8),"-",
SUM(
SUMIF(INDIRECT(Equipo!$C$4&amp;"!B10:B1000"),$B12,INDIRECT(Equipo!$C$4&amp;"!"&amp;ADDRESS(10,COLUMN(D$9)+10)&amp;":"&amp;ADDRESS(1000,COLUMN(D$9)+10))),
SUMIF(INDIRECT(Equipo!$D$4&amp;"!B10:B1000"),$B12,INDIRECT(Equipo!$D$4&amp;"!"&amp;ADDRESS(10,COLUMN(D$9)+10)&amp;":"&amp;ADDRESS(1000,COLUMN(D$9)+10))),
SUMIF(INDIRECT(Equipo!$E$4&amp;"!B10:B1000"),$B12,INDIRECT(Equipo!$E$4&amp;"!"&amp;ADDRESS(10,COLUMN(D$9)+10)&amp;":"&amp;ADDRESS(1000,COLUMN(D$9)+10))),
SUMIF(INDIRECT(Equipo!$F$4&amp;"!B10:B1000"),$B12,INDIRECT(Equipo!$F$4&amp;"!"&amp;ADDRESS(10,COLUMN(D$9)+10)&amp;":"&amp;ADDRESS(1000,COLUMN(D$9)+10))),
SUMIF(INDIRECT(Equipo!$G$4&amp;"!B10:B1000"),$B12,INDIRECT(Equipo!$G$4&amp;"!"&amp;ADDRESS(10,COLUMN(D$9)+10)&amp;":"&amp;ADDRESS(1000,COLUMN(D$9)+10)))
))</f>
        <v>1.2</v>
      </c>
      <c r="E12" s="19">
        <f t="array" ref="E12">IF(ISBLANK(Tareas!$B8),"-",
SUM(
SUMIF(INDIRECT(Equipo!$C$4&amp;"!B10:B1000"),$B12,INDIRECT(Equipo!$C$4&amp;"!"&amp;ADDRESS(10,COLUMN(E$9)+10)&amp;":"&amp;ADDRESS(1000,COLUMN(E$9)+10))),
SUMIF(INDIRECT(Equipo!$D$4&amp;"!B10:B1000"),$B12,INDIRECT(Equipo!$D$4&amp;"!"&amp;ADDRESS(10,COLUMN(E$9)+10)&amp;":"&amp;ADDRESS(1000,COLUMN(E$9)+10))),
SUMIF(INDIRECT(Equipo!$E$4&amp;"!B10:B1000"),$B12,INDIRECT(Equipo!$E$4&amp;"!"&amp;ADDRESS(10,COLUMN(E$9)+10)&amp;":"&amp;ADDRESS(1000,COLUMN(E$9)+10))),
SUMIF(INDIRECT(Equipo!$F$4&amp;"!B10:B1000"),$B12,INDIRECT(Equipo!$F$4&amp;"!"&amp;ADDRESS(10,COLUMN(E$9)+10)&amp;":"&amp;ADDRESS(1000,COLUMN(E$9)+10))),
SUMIF(INDIRECT(Equipo!$G$4&amp;"!B10:B1000"),$B12,INDIRECT(Equipo!$G$4&amp;"!"&amp;ADDRESS(10,COLUMN(E$9)+10)&amp;":"&amp;ADDRESS(1000,COLUMN(E$9)+10)))
))</f>
        <v>0</v>
      </c>
      <c r="F12" s="19">
        <f t="array" ref="F12">IF(ISBLANK(Tareas!$B8),"-",
SUM(
SUMIF(INDIRECT(Equipo!$C$4&amp;"!B10:B1000"),$B12,INDIRECT(Equipo!$C$4&amp;"!"&amp;ADDRESS(10,COLUMN(F$9)+10)&amp;":"&amp;ADDRESS(1000,COLUMN(F$9)+10))),
SUMIF(INDIRECT(Equipo!$D$4&amp;"!B10:B1000"),$B12,INDIRECT(Equipo!$D$4&amp;"!"&amp;ADDRESS(10,COLUMN(F$9)+10)&amp;":"&amp;ADDRESS(1000,COLUMN(F$9)+10))),
SUMIF(INDIRECT(Equipo!$E$4&amp;"!B10:B1000"),$B12,INDIRECT(Equipo!$E$4&amp;"!"&amp;ADDRESS(10,COLUMN(F$9)+10)&amp;":"&amp;ADDRESS(1000,COLUMN(F$9)+10))),
SUMIF(INDIRECT(Equipo!$F$4&amp;"!B10:B1000"),$B12,INDIRECT(Equipo!$F$4&amp;"!"&amp;ADDRESS(10,COLUMN(F$9)+10)&amp;":"&amp;ADDRESS(1000,COLUMN(F$9)+10))),
SUMIF(INDIRECT(Equipo!$G$4&amp;"!B10:B1000"),$B12,INDIRECT(Equipo!$G$4&amp;"!"&amp;ADDRESS(10,COLUMN(F$9)+10)&amp;":"&amp;ADDRESS(1000,COLUMN(F$9)+10)))
))</f>
        <v>0</v>
      </c>
      <c r="G12" s="19">
        <f t="array" ref="G12">IF(ISBLANK(Tareas!$B8),"-",
SUM(
SUMIF(INDIRECT(Equipo!$C$4&amp;"!B10:B1000"),$B12,INDIRECT(Equipo!$C$4&amp;"!"&amp;ADDRESS(10,COLUMN(G$9)+10)&amp;":"&amp;ADDRESS(1000,COLUMN(G$9)+10))),
SUMIF(INDIRECT(Equipo!$D$4&amp;"!B10:B1000"),$B12,INDIRECT(Equipo!$D$4&amp;"!"&amp;ADDRESS(10,COLUMN(G$9)+10)&amp;":"&amp;ADDRESS(1000,COLUMN(G$9)+10))),
SUMIF(INDIRECT(Equipo!$E$4&amp;"!B10:B1000"),$B12,INDIRECT(Equipo!$E$4&amp;"!"&amp;ADDRESS(10,COLUMN(G$9)+10)&amp;":"&amp;ADDRESS(1000,COLUMN(G$9)+10))),
SUMIF(INDIRECT(Equipo!$F$4&amp;"!B10:B1000"),$B12,INDIRECT(Equipo!$F$4&amp;"!"&amp;ADDRESS(10,COLUMN(G$9)+10)&amp;":"&amp;ADDRESS(1000,COLUMN(G$9)+10))),
SUMIF(INDIRECT(Equipo!$G$4&amp;"!B10:B1000"),$B12,INDIRECT(Equipo!$G$4&amp;"!"&amp;ADDRESS(10,COLUMN(G$9)+10)&amp;":"&amp;ADDRESS(1000,COLUMN(G$9)+10)))
))</f>
        <v>0</v>
      </c>
      <c r="H12" s="19">
        <f t="array" ref="H12">IF(ISBLANK(Tareas!$B8),"-",
SUM(
SUMIF(INDIRECT(Equipo!$C$4&amp;"!B10:B1000"),$B12,INDIRECT(Equipo!$C$4&amp;"!"&amp;ADDRESS(10,COLUMN(H$9)+10)&amp;":"&amp;ADDRESS(1000,COLUMN(H$9)+10))),
SUMIF(INDIRECT(Equipo!$D$4&amp;"!B10:B1000"),$B12,INDIRECT(Equipo!$D$4&amp;"!"&amp;ADDRESS(10,COLUMN(H$9)+10)&amp;":"&amp;ADDRESS(1000,COLUMN(H$9)+10))),
SUMIF(INDIRECT(Equipo!$E$4&amp;"!B10:B1000"),$B12,INDIRECT(Equipo!$E$4&amp;"!"&amp;ADDRESS(10,COLUMN(H$9)+10)&amp;":"&amp;ADDRESS(1000,COLUMN(H$9)+10))),
SUMIF(INDIRECT(Equipo!$F$4&amp;"!B10:B1000"),$B12,INDIRECT(Equipo!$F$4&amp;"!"&amp;ADDRESS(10,COLUMN(H$9)+10)&amp;":"&amp;ADDRESS(1000,COLUMN(H$9)+10))),
SUMIF(INDIRECT(Equipo!$G$4&amp;"!B10:B1000"),$B12,INDIRECT(Equipo!$G$4&amp;"!"&amp;ADDRESS(10,COLUMN(H$9)+10)&amp;":"&amp;ADDRESS(1000,COLUMN(H$9)+10)))
))</f>
        <v>0</v>
      </c>
      <c r="I12" s="19">
        <f t="array" ref="I12">IF(ISBLANK(Tareas!$B8),"-",
SUM(
SUMIF(INDIRECT(Equipo!$C$4&amp;"!B10:B1000"),$B12,INDIRECT(Equipo!$C$4&amp;"!"&amp;ADDRESS(10,COLUMN(I$9)+10)&amp;":"&amp;ADDRESS(1000,COLUMN(I$9)+10))),
SUMIF(INDIRECT(Equipo!$D$4&amp;"!B10:B1000"),$B12,INDIRECT(Equipo!$D$4&amp;"!"&amp;ADDRESS(10,COLUMN(I$9)+10)&amp;":"&amp;ADDRESS(1000,COLUMN(I$9)+10))),
SUMIF(INDIRECT(Equipo!$E$4&amp;"!B10:B1000"),$B12,INDIRECT(Equipo!$E$4&amp;"!"&amp;ADDRESS(10,COLUMN(I$9)+10)&amp;":"&amp;ADDRESS(1000,COLUMN(I$9)+10))),
SUMIF(INDIRECT(Equipo!$F$4&amp;"!B10:B1000"),$B12,INDIRECT(Equipo!$F$4&amp;"!"&amp;ADDRESS(10,COLUMN(I$9)+10)&amp;":"&amp;ADDRESS(1000,COLUMN(I$9)+10))),
SUMIF(INDIRECT(Equipo!$G$4&amp;"!B10:B1000"),$B12,INDIRECT(Equipo!$G$4&amp;"!"&amp;ADDRESS(10,COLUMN(I$9)+10)&amp;":"&amp;ADDRESS(1000,COLUMN(I$9)+10)))
))</f>
        <v>0</v>
      </c>
      <c r="J12" s="19">
        <f t="array" ref="J12">IF(ISBLANK(Tareas!$B8),"-",
SUM(
SUMIF(INDIRECT(Equipo!$C$4&amp;"!B10:B1000"),$B12,INDIRECT(Equipo!$C$4&amp;"!"&amp;ADDRESS(10,COLUMN(J$9)+10)&amp;":"&amp;ADDRESS(1000,COLUMN(J$9)+10))),
SUMIF(INDIRECT(Equipo!$D$4&amp;"!B10:B1000"),$B12,INDIRECT(Equipo!$D$4&amp;"!"&amp;ADDRESS(10,COLUMN(J$9)+10)&amp;":"&amp;ADDRESS(1000,COLUMN(J$9)+10))),
SUMIF(INDIRECT(Equipo!$E$4&amp;"!B10:B1000"),$B12,INDIRECT(Equipo!$E$4&amp;"!"&amp;ADDRESS(10,COLUMN(J$9)+10)&amp;":"&amp;ADDRESS(1000,COLUMN(J$9)+10))),
SUMIF(INDIRECT(Equipo!$F$4&amp;"!B10:B1000"),$B12,INDIRECT(Equipo!$F$4&amp;"!"&amp;ADDRESS(10,COLUMN(J$9)+10)&amp;":"&amp;ADDRESS(1000,COLUMN(J$9)+10))),
SUMIF(INDIRECT(Equipo!$G$4&amp;"!B10:B1000"),$B12,INDIRECT(Equipo!$G$4&amp;"!"&amp;ADDRESS(10,COLUMN(J$9)+10)&amp;":"&amp;ADDRESS(1000,COLUMN(J$9)+10)))
))</f>
        <v>0</v>
      </c>
      <c r="K12" s="19">
        <f t="array" ref="K12">IF(ISBLANK(Tareas!$B8),"-",
SUM(
SUMIF(INDIRECT(Equipo!$C$4&amp;"!B10:B1000"),$B12,INDIRECT(Equipo!$C$4&amp;"!"&amp;ADDRESS(10,COLUMN(K$9)+10)&amp;":"&amp;ADDRESS(1000,COLUMN(K$9)+10))),
SUMIF(INDIRECT(Equipo!$D$4&amp;"!B10:B1000"),$B12,INDIRECT(Equipo!$D$4&amp;"!"&amp;ADDRESS(10,COLUMN(K$9)+10)&amp;":"&amp;ADDRESS(1000,COLUMN(K$9)+10))),
SUMIF(INDIRECT(Equipo!$E$4&amp;"!B10:B1000"),$B12,INDIRECT(Equipo!$E$4&amp;"!"&amp;ADDRESS(10,COLUMN(K$9)+10)&amp;":"&amp;ADDRESS(1000,COLUMN(K$9)+10))),
SUMIF(INDIRECT(Equipo!$F$4&amp;"!B10:B1000"),$B12,INDIRECT(Equipo!$F$4&amp;"!"&amp;ADDRESS(10,COLUMN(K$9)+10)&amp;":"&amp;ADDRESS(1000,COLUMN(K$9)+10))),
SUMIF(INDIRECT(Equipo!$G$4&amp;"!B10:B1000"),$B12,INDIRECT(Equipo!$G$4&amp;"!"&amp;ADDRESS(10,COLUMN(K$9)+10)&amp;":"&amp;ADDRESS(1000,COLUMN(K$9)+10)))
))</f>
        <v>0</v>
      </c>
    </row>
    <row r="13" ht="15.75" customHeight="1">
      <c r="B13" s="1" t="str">
        <f>IF(ISBLANK(Tareas!B9)," - ",Tareas!B9)</f>
        <v>4. Definición del estándar de proceso</v>
      </c>
      <c r="C13" s="19">
        <f>IF(ISBLANK(Tareas!$B9),"-",SUM(D13:M13))</f>
        <v>2.2</v>
      </c>
      <c r="D13" s="19">
        <f t="array" ref="D13">IF(ISBLANK(Tareas!$B9),"-",
SUM(
SUMIF(INDIRECT(Equipo!$C$4&amp;"!B10:B1000"),$B13,INDIRECT(Equipo!$C$4&amp;"!"&amp;ADDRESS(10,COLUMN(D$9)+10)&amp;":"&amp;ADDRESS(1000,COLUMN(D$9)+10))),
SUMIF(INDIRECT(Equipo!$D$4&amp;"!B10:B1000"),$B13,INDIRECT(Equipo!$D$4&amp;"!"&amp;ADDRESS(10,COLUMN(D$9)+10)&amp;":"&amp;ADDRESS(1000,COLUMN(D$9)+10))),
SUMIF(INDIRECT(Equipo!$E$4&amp;"!B10:B1000"),$B13,INDIRECT(Equipo!$E$4&amp;"!"&amp;ADDRESS(10,COLUMN(D$9)+10)&amp;":"&amp;ADDRESS(1000,COLUMN(D$9)+10))),
SUMIF(INDIRECT(Equipo!$F$4&amp;"!B10:B1000"),$B13,INDIRECT(Equipo!$F$4&amp;"!"&amp;ADDRESS(10,COLUMN(D$9)+10)&amp;":"&amp;ADDRESS(1000,COLUMN(D$9)+10))),
SUMIF(INDIRECT(Equipo!$G$4&amp;"!B10:B1000"),$B13,INDIRECT(Equipo!$G$4&amp;"!"&amp;ADDRESS(10,COLUMN(D$9)+10)&amp;":"&amp;ADDRESS(1000,COLUMN(D$9)+10)))
))</f>
        <v>2.2</v>
      </c>
      <c r="E13" s="19">
        <f t="array" ref="E13">IF(ISBLANK(Tareas!$B9),"-",
SUM(
SUMIF(INDIRECT(Equipo!$C$4&amp;"!B10:B1000"),$B13,INDIRECT(Equipo!$C$4&amp;"!"&amp;ADDRESS(10,COLUMN(E$9)+10)&amp;":"&amp;ADDRESS(1000,COLUMN(E$9)+10))),
SUMIF(INDIRECT(Equipo!$D$4&amp;"!B10:B1000"),$B13,INDIRECT(Equipo!$D$4&amp;"!"&amp;ADDRESS(10,COLUMN(E$9)+10)&amp;":"&amp;ADDRESS(1000,COLUMN(E$9)+10))),
SUMIF(INDIRECT(Equipo!$E$4&amp;"!B10:B1000"),$B13,INDIRECT(Equipo!$E$4&amp;"!"&amp;ADDRESS(10,COLUMN(E$9)+10)&amp;":"&amp;ADDRESS(1000,COLUMN(E$9)+10))),
SUMIF(INDIRECT(Equipo!$F$4&amp;"!B10:B1000"),$B13,INDIRECT(Equipo!$F$4&amp;"!"&amp;ADDRESS(10,COLUMN(E$9)+10)&amp;":"&amp;ADDRESS(1000,COLUMN(E$9)+10))),
SUMIF(INDIRECT(Equipo!$G$4&amp;"!B10:B1000"),$B13,INDIRECT(Equipo!$G$4&amp;"!"&amp;ADDRESS(10,COLUMN(E$9)+10)&amp;":"&amp;ADDRESS(1000,COLUMN(E$9)+10)))
))</f>
        <v>0</v>
      </c>
      <c r="F13" s="19">
        <f t="array" ref="F13">IF(ISBLANK(Tareas!$B9),"-",
SUM(
SUMIF(INDIRECT(Equipo!$C$4&amp;"!B10:B1000"),$B13,INDIRECT(Equipo!$C$4&amp;"!"&amp;ADDRESS(10,COLUMN(F$9)+10)&amp;":"&amp;ADDRESS(1000,COLUMN(F$9)+10))),
SUMIF(INDIRECT(Equipo!$D$4&amp;"!B10:B1000"),$B13,INDIRECT(Equipo!$D$4&amp;"!"&amp;ADDRESS(10,COLUMN(F$9)+10)&amp;":"&amp;ADDRESS(1000,COLUMN(F$9)+10))),
SUMIF(INDIRECT(Equipo!$E$4&amp;"!B10:B1000"),$B13,INDIRECT(Equipo!$E$4&amp;"!"&amp;ADDRESS(10,COLUMN(F$9)+10)&amp;":"&amp;ADDRESS(1000,COLUMN(F$9)+10))),
SUMIF(INDIRECT(Equipo!$F$4&amp;"!B10:B1000"),$B13,INDIRECT(Equipo!$F$4&amp;"!"&amp;ADDRESS(10,COLUMN(F$9)+10)&amp;":"&amp;ADDRESS(1000,COLUMN(F$9)+10))),
SUMIF(INDIRECT(Equipo!$G$4&amp;"!B10:B1000"),$B13,INDIRECT(Equipo!$G$4&amp;"!"&amp;ADDRESS(10,COLUMN(F$9)+10)&amp;":"&amp;ADDRESS(1000,COLUMN(F$9)+10)))
))</f>
        <v>0</v>
      </c>
      <c r="G13" s="19">
        <f t="array" ref="G13">IF(ISBLANK(Tareas!$B9),"-",
SUM(
SUMIF(INDIRECT(Equipo!$C$4&amp;"!B10:B1000"),$B13,INDIRECT(Equipo!$C$4&amp;"!"&amp;ADDRESS(10,COLUMN(G$9)+10)&amp;":"&amp;ADDRESS(1000,COLUMN(G$9)+10))),
SUMIF(INDIRECT(Equipo!$D$4&amp;"!B10:B1000"),$B13,INDIRECT(Equipo!$D$4&amp;"!"&amp;ADDRESS(10,COLUMN(G$9)+10)&amp;":"&amp;ADDRESS(1000,COLUMN(G$9)+10))),
SUMIF(INDIRECT(Equipo!$E$4&amp;"!B10:B1000"),$B13,INDIRECT(Equipo!$E$4&amp;"!"&amp;ADDRESS(10,COLUMN(G$9)+10)&amp;":"&amp;ADDRESS(1000,COLUMN(G$9)+10))),
SUMIF(INDIRECT(Equipo!$F$4&amp;"!B10:B1000"),$B13,INDIRECT(Equipo!$F$4&amp;"!"&amp;ADDRESS(10,COLUMN(G$9)+10)&amp;":"&amp;ADDRESS(1000,COLUMN(G$9)+10))),
SUMIF(INDIRECT(Equipo!$G$4&amp;"!B10:B1000"),$B13,INDIRECT(Equipo!$G$4&amp;"!"&amp;ADDRESS(10,COLUMN(G$9)+10)&amp;":"&amp;ADDRESS(1000,COLUMN(G$9)+10)))
))</f>
        <v>0</v>
      </c>
      <c r="H13" s="19">
        <f t="array" ref="H13">IF(ISBLANK(Tareas!$B9),"-",
SUM(
SUMIF(INDIRECT(Equipo!$C$4&amp;"!B10:B1000"),$B13,INDIRECT(Equipo!$C$4&amp;"!"&amp;ADDRESS(10,COLUMN(H$9)+10)&amp;":"&amp;ADDRESS(1000,COLUMN(H$9)+10))),
SUMIF(INDIRECT(Equipo!$D$4&amp;"!B10:B1000"),$B13,INDIRECT(Equipo!$D$4&amp;"!"&amp;ADDRESS(10,COLUMN(H$9)+10)&amp;":"&amp;ADDRESS(1000,COLUMN(H$9)+10))),
SUMIF(INDIRECT(Equipo!$E$4&amp;"!B10:B1000"),$B13,INDIRECT(Equipo!$E$4&amp;"!"&amp;ADDRESS(10,COLUMN(H$9)+10)&amp;":"&amp;ADDRESS(1000,COLUMN(H$9)+10))),
SUMIF(INDIRECT(Equipo!$F$4&amp;"!B10:B1000"),$B13,INDIRECT(Equipo!$F$4&amp;"!"&amp;ADDRESS(10,COLUMN(H$9)+10)&amp;":"&amp;ADDRESS(1000,COLUMN(H$9)+10))),
SUMIF(INDIRECT(Equipo!$G$4&amp;"!B10:B1000"),$B13,INDIRECT(Equipo!$G$4&amp;"!"&amp;ADDRESS(10,COLUMN(H$9)+10)&amp;":"&amp;ADDRESS(1000,COLUMN(H$9)+10)))
))</f>
        <v>0</v>
      </c>
      <c r="I13" s="19">
        <f t="array" ref="I13">IF(ISBLANK(Tareas!$B9),"-",
SUM(
SUMIF(INDIRECT(Equipo!$C$4&amp;"!B10:B1000"),$B13,INDIRECT(Equipo!$C$4&amp;"!"&amp;ADDRESS(10,COLUMN(I$9)+10)&amp;":"&amp;ADDRESS(1000,COLUMN(I$9)+10))),
SUMIF(INDIRECT(Equipo!$D$4&amp;"!B10:B1000"),$B13,INDIRECT(Equipo!$D$4&amp;"!"&amp;ADDRESS(10,COLUMN(I$9)+10)&amp;":"&amp;ADDRESS(1000,COLUMN(I$9)+10))),
SUMIF(INDIRECT(Equipo!$E$4&amp;"!B10:B1000"),$B13,INDIRECT(Equipo!$E$4&amp;"!"&amp;ADDRESS(10,COLUMN(I$9)+10)&amp;":"&amp;ADDRESS(1000,COLUMN(I$9)+10))),
SUMIF(INDIRECT(Equipo!$F$4&amp;"!B10:B1000"),$B13,INDIRECT(Equipo!$F$4&amp;"!"&amp;ADDRESS(10,COLUMN(I$9)+10)&amp;":"&amp;ADDRESS(1000,COLUMN(I$9)+10))),
SUMIF(INDIRECT(Equipo!$G$4&amp;"!B10:B1000"),$B13,INDIRECT(Equipo!$G$4&amp;"!"&amp;ADDRESS(10,COLUMN(I$9)+10)&amp;":"&amp;ADDRESS(1000,COLUMN(I$9)+10)))
))</f>
        <v>0</v>
      </c>
      <c r="J13" s="19">
        <f t="array" ref="J13">IF(ISBLANK(Tareas!$B9),"-",
SUM(
SUMIF(INDIRECT(Equipo!$C$4&amp;"!B10:B1000"),$B13,INDIRECT(Equipo!$C$4&amp;"!"&amp;ADDRESS(10,COLUMN(J$9)+10)&amp;":"&amp;ADDRESS(1000,COLUMN(J$9)+10))),
SUMIF(INDIRECT(Equipo!$D$4&amp;"!B10:B1000"),$B13,INDIRECT(Equipo!$D$4&amp;"!"&amp;ADDRESS(10,COLUMN(J$9)+10)&amp;":"&amp;ADDRESS(1000,COLUMN(J$9)+10))),
SUMIF(INDIRECT(Equipo!$E$4&amp;"!B10:B1000"),$B13,INDIRECT(Equipo!$E$4&amp;"!"&amp;ADDRESS(10,COLUMN(J$9)+10)&amp;":"&amp;ADDRESS(1000,COLUMN(J$9)+10))),
SUMIF(INDIRECT(Equipo!$F$4&amp;"!B10:B1000"),$B13,INDIRECT(Equipo!$F$4&amp;"!"&amp;ADDRESS(10,COLUMN(J$9)+10)&amp;":"&amp;ADDRESS(1000,COLUMN(J$9)+10))),
SUMIF(INDIRECT(Equipo!$G$4&amp;"!B10:B1000"),$B13,INDIRECT(Equipo!$G$4&amp;"!"&amp;ADDRESS(10,COLUMN(J$9)+10)&amp;":"&amp;ADDRESS(1000,COLUMN(J$9)+10)))
))</f>
        <v>0</v>
      </c>
      <c r="K13" s="19">
        <f t="array" ref="K13">IF(ISBLANK(Tareas!$B9),"-",
SUM(
SUMIF(INDIRECT(Equipo!$C$4&amp;"!B10:B1000"),$B13,INDIRECT(Equipo!$C$4&amp;"!"&amp;ADDRESS(10,COLUMN(K$9)+10)&amp;":"&amp;ADDRESS(1000,COLUMN(K$9)+10))),
SUMIF(INDIRECT(Equipo!$D$4&amp;"!B10:B1000"),$B13,INDIRECT(Equipo!$D$4&amp;"!"&amp;ADDRESS(10,COLUMN(K$9)+10)&amp;":"&amp;ADDRESS(1000,COLUMN(K$9)+10))),
SUMIF(INDIRECT(Equipo!$E$4&amp;"!B10:B1000"),$B13,INDIRECT(Equipo!$E$4&amp;"!"&amp;ADDRESS(10,COLUMN(K$9)+10)&amp;":"&amp;ADDRESS(1000,COLUMN(K$9)+10))),
SUMIF(INDIRECT(Equipo!$F$4&amp;"!B10:B1000"),$B13,INDIRECT(Equipo!$F$4&amp;"!"&amp;ADDRESS(10,COLUMN(K$9)+10)&amp;":"&amp;ADDRESS(1000,COLUMN(K$9)+10))),
SUMIF(INDIRECT(Equipo!$G$4&amp;"!B10:B1000"),$B13,INDIRECT(Equipo!$G$4&amp;"!"&amp;ADDRESS(10,COLUMN(K$9)+10)&amp;":"&amp;ADDRESS(1000,COLUMN(K$9)+10)))
))</f>
        <v>0</v>
      </c>
    </row>
    <row r="14" ht="15.75" customHeight="1">
      <c r="B14" s="1" t="str">
        <f>IF(ISBLANK(Tareas!B10)," - ",Tareas!B10)</f>
        <v>5. Definición del entorno de desarrollo</v>
      </c>
      <c r="C14" s="19">
        <f>IF(ISBLANK(Tareas!$B10),"-",SUM(D14:M14))</f>
        <v>0.6</v>
      </c>
      <c r="D14" s="19">
        <f t="array" ref="D14">IF(ISBLANK(Tareas!$B10),"-",
SUM(
SUMIF(INDIRECT(Equipo!$C$4&amp;"!B10:B1000"),$B14,INDIRECT(Equipo!$C$4&amp;"!"&amp;ADDRESS(10,COLUMN(D$9)+10)&amp;":"&amp;ADDRESS(1000,COLUMN(D$9)+10))),
SUMIF(INDIRECT(Equipo!$D$4&amp;"!B10:B1000"),$B14,INDIRECT(Equipo!$D$4&amp;"!"&amp;ADDRESS(10,COLUMN(D$9)+10)&amp;":"&amp;ADDRESS(1000,COLUMN(D$9)+10))),
SUMIF(INDIRECT(Equipo!$E$4&amp;"!B10:B1000"),$B14,INDIRECT(Equipo!$E$4&amp;"!"&amp;ADDRESS(10,COLUMN(D$9)+10)&amp;":"&amp;ADDRESS(1000,COLUMN(D$9)+10))),
SUMIF(INDIRECT(Equipo!$F$4&amp;"!B10:B1000"),$B14,INDIRECT(Equipo!$F$4&amp;"!"&amp;ADDRESS(10,COLUMN(D$9)+10)&amp;":"&amp;ADDRESS(1000,COLUMN(D$9)+10))),
SUMIF(INDIRECT(Equipo!$G$4&amp;"!B10:B1000"),$B14,INDIRECT(Equipo!$G$4&amp;"!"&amp;ADDRESS(10,COLUMN(D$9)+10)&amp;":"&amp;ADDRESS(1000,COLUMN(D$9)+10)))
))</f>
        <v>0.6</v>
      </c>
      <c r="E14" s="19">
        <f t="array" ref="E14">IF(ISBLANK(Tareas!$B10),"-",
SUM(
SUMIF(INDIRECT(Equipo!$C$4&amp;"!B10:B1000"),$B14,INDIRECT(Equipo!$C$4&amp;"!"&amp;ADDRESS(10,COLUMN(E$9)+10)&amp;":"&amp;ADDRESS(1000,COLUMN(E$9)+10))),
SUMIF(INDIRECT(Equipo!$D$4&amp;"!B10:B1000"),$B14,INDIRECT(Equipo!$D$4&amp;"!"&amp;ADDRESS(10,COLUMN(E$9)+10)&amp;":"&amp;ADDRESS(1000,COLUMN(E$9)+10))),
SUMIF(INDIRECT(Equipo!$E$4&amp;"!B10:B1000"),$B14,INDIRECT(Equipo!$E$4&amp;"!"&amp;ADDRESS(10,COLUMN(E$9)+10)&amp;":"&amp;ADDRESS(1000,COLUMN(E$9)+10))),
SUMIF(INDIRECT(Equipo!$F$4&amp;"!B10:B1000"),$B14,INDIRECT(Equipo!$F$4&amp;"!"&amp;ADDRESS(10,COLUMN(E$9)+10)&amp;":"&amp;ADDRESS(1000,COLUMN(E$9)+10))),
SUMIF(INDIRECT(Equipo!$G$4&amp;"!B10:B1000"),$B14,INDIRECT(Equipo!$G$4&amp;"!"&amp;ADDRESS(10,COLUMN(E$9)+10)&amp;":"&amp;ADDRESS(1000,COLUMN(E$9)+10)))
))</f>
        <v>0</v>
      </c>
      <c r="F14" s="19">
        <f t="array" ref="F14">IF(ISBLANK(Tareas!$B10),"-",
SUM(
SUMIF(INDIRECT(Equipo!$C$4&amp;"!B10:B1000"),$B14,INDIRECT(Equipo!$C$4&amp;"!"&amp;ADDRESS(10,COLUMN(F$9)+10)&amp;":"&amp;ADDRESS(1000,COLUMN(F$9)+10))),
SUMIF(INDIRECT(Equipo!$D$4&amp;"!B10:B1000"),$B14,INDIRECT(Equipo!$D$4&amp;"!"&amp;ADDRESS(10,COLUMN(F$9)+10)&amp;":"&amp;ADDRESS(1000,COLUMN(F$9)+10))),
SUMIF(INDIRECT(Equipo!$E$4&amp;"!B10:B1000"),$B14,INDIRECT(Equipo!$E$4&amp;"!"&amp;ADDRESS(10,COLUMN(F$9)+10)&amp;":"&amp;ADDRESS(1000,COLUMN(F$9)+10))),
SUMIF(INDIRECT(Equipo!$F$4&amp;"!B10:B1000"),$B14,INDIRECT(Equipo!$F$4&amp;"!"&amp;ADDRESS(10,COLUMN(F$9)+10)&amp;":"&amp;ADDRESS(1000,COLUMN(F$9)+10))),
SUMIF(INDIRECT(Equipo!$G$4&amp;"!B10:B1000"),$B14,INDIRECT(Equipo!$G$4&amp;"!"&amp;ADDRESS(10,COLUMN(F$9)+10)&amp;":"&amp;ADDRESS(1000,COLUMN(F$9)+10)))
))</f>
        <v>0</v>
      </c>
      <c r="G14" s="19">
        <f t="array" ref="G14">IF(ISBLANK(Tareas!$B10),"-",
SUM(
SUMIF(INDIRECT(Equipo!$C$4&amp;"!B10:B1000"),$B14,INDIRECT(Equipo!$C$4&amp;"!"&amp;ADDRESS(10,COLUMN(G$9)+10)&amp;":"&amp;ADDRESS(1000,COLUMN(G$9)+10))),
SUMIF(INDIRECT(Equipo!$D$4&amp;"!B10:B1000"),$B14,INDIRECT(Equipo!$D$4&amp;"!"&amp;ADDRESS(10,COLUMN(G$9)+10)&amp;":"&amp;ADDRESS(1000,COLUMN(G$9)+10))),
SUMIF(INDIRECT(Equipo!$E$4&amp;"!B10:B1000"),$B14,INDIRECT(Equipo!$E$4&amp;"!"&amp;ADDRESS(10,COLUMN(G$9)+10)&amp;":"&amp;ADDRESS(1000,COLUMN(G$9)+10))),
SUMIF(INDIRECT(Equipo!$F$4&amp;"!B10:B1000"),$B14,INDIRECT(Equipo!$F$4&amp;"!"&amp;ADDRESS(10,COLUMN(G$9)+10)&amp;":"&amp;ADDRESS(1000,COLUMN(G$9)+10))),
SUMIF(INDIRECT(Equipo!$G$4&amp;"!B10:B1000"),$B14,INDIRECT(Equipo!$G$4&amp;"!"&amp;ADDRESS(10,COLUMN(G$9)+10)&amp;":"&amp;ADDRESS(1000,COLUMN(G$9)+10)))
))</f>
        <v>0</v>
      </c>
      <c r="H14" s="19">
        <f t="array" ref="H14">IF(ISBLANK(Tareas!$B10),"-",
SUM(
SUMIF(INDIRECT(Equipo!$C$4&amp;"!B10:B1000"),$B14,INDIRECT(Equipo!$C$4&amp;"!"&amp;ADDRESS(10,COLUMN(H$9)+10)&amp;":"&amp;ADDRESS(1000,COLUMN(H$9)+10))),
SUMIF(INDIRECT(Equipo!$D$4&amp;"!B10:B1000"),$B14,INDIRECT(Equipo!$D$4&amp;"!"&amp;ADDRESS(10,COLUMN(H$9)+10)&amp;":"&amp;ADDRESS(1000,COLUMN(H$9)+10))),
SUMIF(INDIRECT(Equipo!$E$4&amp;"!B10:B1000"),$B14,INDIRECT(Equipo!$E$4&amp;"!"&amp;ADDRESS(10,COLUMN(H$9)+10)&amp;":"&amp;ADDRESS(1000,COLUMN(H$9)+10))),
SUMIF(INDIRECT(Equipo!$F$4&amp;"!B10:B1000"),$B14,INDIRECT(Equipo!$F$4&amp;"!"&amp;ADDRESS(10,COLUMN(H$9)+10)&amp;":"&amp;ADDRESS(1000,COLUMN(H$9)+10))),
SUMIF(INDIRECT(Equipo!$G$4&amp;"!B10:B1000"),$B14,INDIRECT(Equipo!$G$4&amp;"!"&amp;ADDRESS(10,COLUMN(H$9)+10)&amp;":"&amp;ADDRESS(1000,COLUMN(H$9)+10)))
))</f>
        <v>0</v>
      </c>
      <c r="I14" s="19">
        <f t="array" ref="I14">IF(ISBLANK(Tareas!$B10),"-",
SUM(
SUMIF(INDIRECT(Equipo!$C$4&amp;"!B10:B1000"),$B14,INDIRECT(Equipo!$C$4&amp;"!"&amp;ADDRESS(10,COLUMN(I$9)+10)&amp;":"&amp;ADDRESS(1000,COLUMN(I$9)+10))),
SUMIF(INDIRECT(Equipo!$D$4&amp;"!B10:B1000"),$B14,INDIRECT(Equipo!$D$4&amp;"!"&amp;ADDRESS(10,COLUMN(I$9)+10)&amp;":"&amp;ADDRESS(1000,COLUMN(I$9)+10))),
SUMIF(INDIRECT(Equipo!$E$4&amp;"!B10:B1000"),$B14,INDIRECT(Equipo!$E$4&amp;"!"&amp;ADDRESS(10,COLUMN(I$9)+10)&amp;":"&amp;ADDRESS(1000,COLUMN(I$9)+10))),
SUMIF(INDIRECT(Equipo!$F$4&amp;"!B10:B1000"),$B14,INDIRECT(Equipo!$F$4&amp;"!"&amp;ADDRESS(10,COLUMN(I$9)+10)&amp;":"&amp;ADDRESS(1000,COLUMN(I$9)+10))),
SUMIF(INDIRECT(Equipo!$G$4&amp;"!B10:B1000"),$B14,INDIRECT(Equipo!$G$4&amp;"!"&amp;ADDRESS(10,COLUMN(I$9)+10)&amp;":"&amp;ADDRESS(1000,COLUMN(I$9)+10)))
))</f>
        <v>0</v>
      </c>
      <c r="J14" s="19">
        <f t="array" ref="J14">IF(ISBLANK(Tareas!$B10),"-",
SUM(
SUMIF(INDIRECT(Equipo!$C$4&amp;"!B10:B1000"),$B14,INDIRECT(Equipo!$C$4&amp;"!"&amp;ADDRESS(10,COLUMN(J$9)+10)&amp;":"&amp;ADDRESS(1000,COLUMN(J$9)+10))),
SUMIF(INDIRECT(Equipo!$D$4&amp;"!B10:B1000"),$B14,INDIRECT(Equipo!$D$4&amp;"!"&amp;ADDRESS(10,COLUMN(J$9)+10)&amp;":"&amp;ADDRESS(1000,COLUMN(J$9)+10))),
SUMIF(INDIRECT(Equipo!$E$4&amp;"!B10:B1000"),$B14,INDIRECT(Equipo!$E$4&amp;"!"&amp;ADDRESS(10,COLUMN(J$9)+10)&amp;":"&amp;ADDRESS(1000,COLUMN(J$9)+10))),
SUMIF(INDIRECT(Equipo!$F$4&amp;"!B10:B1000"),$B14,INDIRECT(Equipo!$F$4&amp;"!"&amp;ADDRESS(10,COLUMN(J$9)+10)&amp;":"&amp;ADDRESS(1000,COLUMN(J$9)+10))),
SUMIF(INDIRECT(Equipo!$G$4&amp;"!B10:B1000"),$B14,INDIRECT(Equipo!$G$4&amp;"!"&amp;ADDRESS(10,COLUMN(J$9)+10)&amp;":"&amp;ADDRESS(1000,COLUMN(J$9)+10)))
))</f>
        <v>0</v>
      </c>
      <c r="K14" s="19">
        <f t="array" ref="K14">IF(ISBLANK(Tareas!$B10),"-",
SUM(
SUMIF(INDIRECT(Equipo!$C$4&amp;"!B10:B1000"),$B14,INDIRECT(Equipo!$C$4&amp;"!"&amp;ADDRESS(10,COLUMN(K$9)+10)&amp;":"&amp;ADDRESS(1000,COLUMN(K$9)+10))),
SUMIF(INDIRECT(Equipo!$D$4&amp;"!B10:B1000"),$B14,INDIRECT(Equipo!$D$4&amp;"!"&amp;ADDRESS(10,COLUMN(K$9)+10)&amp;":"&amp;ADDRESS(1000,COLUMN(K$9)+10))),
SUMIF(INDIRECT(Equipo!$E$4&amp;"!B10:B1000"),$B14,INDIRECT(Equipo!$E$4&amp;"!"&amp;ADDRESS(10,COLUMN(K$9)+10)&amp;":"&amp;ADDRESS(1000,COLUMN(K$9)+10))),
SUMIF(INDIRECT(Equipo!$F$4&amp;"!B10:B1000"),$B14,INDIRECT(Equipo!$F$4&amp;"!"&amp;ADDRESS(10,COLUMN(K$9)+10)&amp;":"&amp;ADDRESS(1000,COLUMN(K$9)+10))),
SUMIF(INDIRECT(Equipo!$G$4&amp;"!B10:B1000"),$B14,INDIRECT(Equipo!$G$4&amp;"!"&amp;ADDRESS(10,COLUMN(K$9)+10)&amp;":"&amp;ADDRESS(1000,COLUMN(K$9)+10)))
))</f>
        <v>0</v>
      </c>
    </row>
    <row r="15" ht="15.75" customHeight="1">
      <c r="B15" s="1" t="str">
        <f>IF(ISBLANK(Tareas!B11)," - ",Tareas!B11)</f>
        <v>6. Reunión 2</v>
      </c>
      <c r="C15" s="19">
        <f>IF(ISBLANK(Tareas!$B11),"-",SUM(D15:M15))</f>
        <v>4.5</v>
      </c>
      <c r="D15" s="19">
        <f t="array" ref="D15">IF(ISBLANK(Tareas!$B11),"-",
SUM(
SUMIF(INDIRECT(Equipo!$C$4&amp;"!B10:B1000"),$B15,INDIRECT(Equipo!$C$4&amp;"!"&amp;ADDRESS(10,COLUMN(D$9)+10)&amp;":"&amp;ADDRESS(1000,COLUMN(D$9)+10))),
SUMIF(INDIRECT(Equipo!$D$4&amp;"!B10:B1000"),$B15,INDIRECT(Equipo!$D$4&amp;"!"&amp;ADDRESS(10,COLUMN(D$9)+10)&amp;":"&amp;ADDRESS(1000,COLUMN(D$9)+10))),
SUMIF(INDIRECT(Equipo!$E$4&amp;"!B10:B1000"),$B15,INDIRECT(Equipo!$E$4&amp;"!"&amp;ADDRESS(10,COLUMN(D$9)+10)&amp;":"&amp;ADDRESS(1000,COLUMN(D$9)+10))),
SUMIF(INDIRECT(Equipo!$F$4&amp;"!B10:B1000"),$B15,INDIRECT(Equipo!$F$4&amp;"!"&amp;ADDRESS(10,COLUMN(D$9)+10)&amp;":"&amp;ADDRESS(1000,COLUMN(D$9)+10))),
SUMIF(INDIRECT(Equipo!$G$4&amp;"!B10:B1000"),$B15,INDIRECT(Equipo!$G$4&amp;"!"&amp;ADDRESS(10,COLUMN(D$9)+10)&amp;":"&amp;ADDRESS(1000,COLUMN(D$9)+10)))
))</f>
        <v>0</v>
      </c>
      <c r="E15" s="19">
        <f t="array" ref="E15">IF(ISBLANK(Tareas!$B11),"-",
SUM(
SUMIF(INDIRECT(Equipo!$C$4&amp;"!B10:B1000"),$B15,INDIRECT(Equipo!$C$4&amp;"!"&amp;ADDRESS(10,COLUMN(E$9)+10)&amp;":"&amp;ADDRESS(1000,COLUMN(E$9)+10))),
SUMIF(INDIRECT(Equipo!$D$4&amp;"!B10:B1000"),$B15,INDIRECT(Equipo!$D$4&amp;"!"&amp;ADDRESS(10,COLUMN(E$9)+10)&amp;":"&amp;ADDRESS(1000,COLUMN(E$9)+10))),
SUMIF(INDIRECT(Equipo!$E$4&amp;"!B10:B1000"),$B15,INDIRECT(Equipo!$E$4&amp;"!"&amp;ADDRESS(10,COLUMN(E$9)+10)&amp;":"&amp;ADDRESS(1000,COLUMN(E$9)+10))),
SUMIF(INDIRECT(Equipo!$F$4&amp;"!B10:B1000"),$B15,INDIRECT(Equipo!$F$4&amp;"!"&amp;ADDRESS(10,COLUMN(E$9)+10)&amp;":"&amp;ADDRESS(1000,COLUMN(E$9)+10))),
SUMIF(INDIRECT(Equipo!$G$4&amp;"!B10:B1000"),$B15,INDIRECT(Equipo!$G$4&amp;"!"&amp;ADDRESS(10,COLUMN(E$9)+10)&amp;":"&amp;ADDRESS(1000,COLUMN(E$9)+10)))
))</f>
        <v>4.5</v>
      </c>
      <c r="F15" s="19">
        <f t="array" ref="F15">IF(ISBLANK(Tareas!$B11),"-",
SUM(
SUMIF(INDIRECT(Equipo!$C$4&amp;"!B10:B1000"),$B15,INDIRECT(Equipo!$C$4&amp;"!"&amp;ADDRESS(10,COLUMN(F$9)+10)&amp;":"&amp;ADDRESS(1000,COLUMN(F$9)+10))),
SUMIF(INDIRECT(Equipo!$D$4&amp;"!B10:B1000"),$B15,INDIRECT(Equipo!$D$4&amp;"!"&amp;ADDRESS(10,COLUMN(F$9)+10)&amp;":"&amp;ADDRESS(1000,COLUMN(F$9)+10))),
SUMIF(INDIRECT(Equipo!$E$4&amp;"!B10:B1000"),$B15,INDIRECT(Equipo!$E$4&amp;"!"&amp;ADDRESS(10,COLUMN(F$9)+10)&amp;":"&amp;ADDRESS(1000,COLUMN(F$9)+10))),
SUMIF(INDIRECT(Equipo!$F$4&amp;"!B10:B1000"),$B15,INDIRECT(Equipo!$F$4&amp;"!"&amp;ADDRESS(10,COLUMN(F$9)+10)&amp;":"&amp;ADDRESS(1000,COLUMN(F$9)+10))),
SUMIF(INDIRECT(Equipo!$G$4&amp;"!B10:B1000"),$B15,INDIRECT(Equipo!$G$4&amp;"!"&amp;ADDRESS(10,COLUMN(F$9)+10)&amp;":"&amp;ADDRESS(1000,COLUMN(F$9)+10)))
))</f>
        <v>0</v>
      </c>
      <c r="G15" s="19">
        <f t="array" ref="G15">IF(ISBLANK(Tareas!$B11),"-",
SUM(
SUMIF(INDIRECT(Equipo!$C$4&amp;"!B10:B1000"),$B15,INDIRECT(Equipo!$C$4&amp;"!"&amp;ADDRESS(10,COLUMN(G$9)+10)&amp;":"&amp;ADDRESS(1000,COLUMN(G$9)+10))),
SUMIF(INDIRECT(Equipo!$D$4&amp;"!B10:B1000"),$B15,INDIRECT(Equipo!$D$4&amp;"!"&amp;ADDRESS(10,COLUMN(G$9)+10)&amp;":"&amp;ADDRESS(1000,COLUMN(G$9)+10))),
SUMIF(INDIRECT(Equipo!$E$4&amp;"!B10:B1000"),$B15,INDIRECT(Equipo!$E$4&amp;"!"&amp;ADDRESS(10,COLUMN(G$9)+10)&amp;":"&amp;ADDRESS(1000,COLUMN(G$9)+10))),
SUMIF(INDIRECT(Equipo!$F$4&amp;"!B10:B1000"),$B15,INDIRECT(Equipo!$F$4&amp;"!"&amp;ADDRESS(10,COLUMN(G$9)+10)&amp;":"&amp;ADDRESS(1000,COLUMN(G$9)+10))),
SUMIF(INDIRECT(Equipo!$G$4&amp;"!B10:B1000"),$B15,INDIRECT(Equipo!$G$4&amp;"!"&amp;ADDRESS(10,COLUMN(G$9)+10)&amp;":"&amp;ADDRESS(1000,COLUMN(G$9)+10)))
))</f>
        <v>0</v>
      </c>
      <c r="H15" s="19">
        <f t="array" ref="H15">IF(ISBLANK(Tareas!$B11),"-",
SUM(
SUMIF(INDIRECT(Equipo!$C$4&amp;"!B10:B1000"),$B15,INDIRECT(Equipo!$C$4&amp;"!"&amp;ADDRESS(10,COLUMN(H$9)+10)&amp;":"&amp;ADDRESS(1000,COLUMN(H$9)+10))),
SUMIF(INDIRECT(Equipo!$D$4&amp;"!B10:B1000"),$B15,INDIRECT(Equipo!$D$4&amp;"!"&amp;ADDRESS(10,COLUMN(H$9)+10)&amp;":"&amp;ADDRESS(1000,COLUMN(H$9)+10))),
SUMIF(INDIRECT(Equipo!$E$4&amp;"!B10:B1000"),$B15,INDIRECT(Equipo!$E$4&amp;"!"&amp;ADDRESS(10,COLUMN(H$9)+10)&amp;":"&amp;ADDRESS(1000,COLUMN(H$9)+10))),
SUMIF(INDIRECT(Equipo!$F$4&amp;"!B10:B1000"),$B15,INDIRECT(Equipo!$F$4&amp;"!"&amp;ADDRESS(10,COLUMN(H$9)+10)&amp;":"&amp;ADDRESS(1000,COLUMN(H$9)+10))),
SUMIF(INDIRECT(Equipo!$G$4&amp;"!B10:B1000"),$B15,INDIRECT(Equipo!$G$4&amp;"!"&amp;ADDRESS(10,COLUMN(H$9)+10)&amp;":"&amp;ADDRESS(1000,COLUMN(H$9)+10)))
))</f>
        <v>0</v>
      </c>
      <c r="I15" s="19">
        <f t="array" ref="I15">IF(ISBLANK(Tareas!$B11),"-",
SUM(
SUMIF(INDIRECT(Equipo!$C$4&amp;"!B10:B1000"),$B15,INDIRECT(Equipo!$C$4&amp;"!"&amp;ADDRESS(10,COLUMN(I$9)+10)&amp;":"&amp;ADDRESS(1000,COLUMN(I$9)+10))),
SUMIF(INDIRECT(Equipo!$D$4&amp;"!B10:B1000"),$B15,INDIRECT(Equipo!$D$4&amp;"!"&amp;ADDRESS(10,COLUMN(I$9)+10)&amp;":"&amp;ADDRESS(1000,COLUMN(I$9)+10))),
SUMIF(INDIRECT(Equipo!$E$4&amp;"!B10:B1000"),$B15,INDIRECT(Equipo!$E$4&amp;"!"&amp;ADDRESS(10,COLUMN(I$9)+10)&amp;":"&amp;ADDRESS(1000,COLUMN(I$9)+10))),
SUMIF(INDIRECT(Equipo!$F$4&amp;"!B10:B1000"),$B15,INDIRECT(Equipo!$F$4&amp;"!"&amp;ADDRESS(10,COLUMN(I$9)+10)&amp;":"&amp;ADDRESS(1000,COLUMN(I$9)+10))),
SUMIF(INDIRECT(Equipo!$G$4&amp;"!B10:B1000"),$B15,INDIRECT(Equipo!$G$4&amp;"!"&amp;ADDRESS(10,COLUMN(I$9)+10)&amp;":"&amp;ADDRESS(1000,COLUMN(I$9)+10)))
))</f>
        <v>0</v>
      </c>
      <c r="J15" s="19">
        <f t="array" ref="J15">IF(ISBLANK(Tareas!$B11),"-",
SUM(
SUMIF(INDIRECT(Equipo!$C$4&amp;"!B10:B1000"),$B15,INDIRECT(Equipo!$C$4&amp;"!"&amp;ADDRESS(10,COLUMN(J$9)+10)&amp;":"&amp;ADDRESS(1000,COLUMN(J$9)+10))),
SUMIF(INDIRECT(Equipo!$D$4&amp;"!B10:B1000"),$B15,INDIRECT(Equipo!$D$4&amp;"!"&amp;ADDRESS(10,COLUMN(J$9)+10)&amp;":"&amp;ADDRESS(1000,COLUMN(J$9)+10))),
SUMIF(INDIRECT(Equipo!$E$4&amp;"!B10:B1000"),$B15,INDIRECT(Equipo!$E$4&amp;"!"&amp;ADDRESS(10,COLUMN(J$9)+10)&amp;":"&amp;ADDRESS(1000,COLUMN(J$9)+10))),
SUMIF(INDIRECT(Equipo!$F$4&amp;"!B10:B1000"),$B15,INDIRECT(Equipo!$F$4&amp;"!"&amp;ADDRESS(10,COLUMN(J$9)+10)&amp;":"&amp;ADDRESS(1000,COLUMN(J$9)+10))),
SUMIF(INDIRECT(Equipo!$G$4&amp;"!B10:B1000"),$B15,INDIRECT(Equipo!$G$4&amp;"!"&amp;ADDRESS(10,COLUMN(J$9)+10)&amp;":"&amp;ADDRESS(1000,COLUMN(J$9)+10)))
))</f>
        <v>0</v>
      </c>
      <c r="K15" s="19">
        <f t="array" ref="K15">IF(ISBLANK(Tareas!$B11),"-",
SUM(
SUMIF(INDIRECT(Equipo!$C$4&amp;"!B10:B1000"),$B15,INDIRECT(Equipo!$C$4&amp;"!"&amp;ADDRESS(10,COLUMN(K$9)+10)&amp;":"&amp;ADDRESS(1000,COLUMN(K$9)+10))),
SUMIF(INDIRECT(Equipo!$D$4&amp;"!B10:B1000"),$B15,INDIRECT(Equipo!$D$4&amp;"!"&amp;ADDRESS(10,COLUMN(K$9)+10)&amp;":"&amp;ADDRESS(1000,COLUMN(K$9)+10))),
SUMIF(INDIRECT(Equipo!$E$4&amp;"!B10:B1000"),$B15,INDIRECT(Equipo!$E$4&amp;"!"&amp;ADDRESS(10,COLUMN(K$9)+10)&amp;":"&amp;ADDRESS(1000,COLUMN(K$9)+10))),
SUMIF(INDIRECT(Equipo!$F$4&amp;"!B10:B1000"),$B15,INDIRECT(Equipo!$F$4&amp;"!"&amp;ADDRESS(10,COLUMN(K$9)+10)&amp;":"&amp;ADDRESS(1000,COLUMN(K$9)+10))),
SUMIF(INDIRECT(Equipo!$G$4&amp;"!B10:B1000"),$B15,INDIRECT(Equipo!$G$4&amp;"!"&amp;ADDRESS(10,COLUMN(K$9)+10)&amp;":"&amp;ADDRESS(1000,COLUMN(K$9)+10)))
))</f>
        <v>0</v>
      </c>
    </row>
    <row r="16" ht="15.75" customHeight="1">
      <c r="B16" s="1" t="str">
        <f>IF(ISBLANK(Tareas!B12)," - ",Tareas!B12)</f>
        <v>7. Realización del análisis de requisitos (ERS)</v>
      </c>
      <c r="C16" s="19">
        <f>IF(ISBLANK(Tareas!$B12),"-",SUM(D16:M16))</f>
        <v>4</v>
      </c>
      <c r="D16" s="19">
        <f t="array" ref="D16">IF(ISBLANK(Tareas!$B12),"-",
SUM(
SUMIF(INDIRECT(Equipo!$C$4&amp;"!B10:B1000"),$B16,INDIRECT(Equipo!$C$4&amp;"!"&amp;ADDRESS(10,COLUMN(D$9)+10)&amp;":"&amp;ADDRESS(1000,COLUMN(D$9)+10))),
SUMIF(INDIRECT(Equipo!$D$4&amp;"!B10:B1000"),$B16,INDIRECT(Equipo!$D$4&amp;"!"&amp;ADDRESS(10,COLUMN(D$9)+10)&amp;":"&amp;ADDRESS(1000,COLUMN(D$9)+10))),
SUMIF(INDIRECT(Equipo!$E$4&amp;"!B10:B1000"),$B16,INDIRECT(Equipo!$E$4&amp;"!"&amp;ADDRESS(10,COLUMN(D$9)+10)&amp;":"&amp;ADDRESS(1000,COLUMN(D$9)+10))),
SUMIF(INDIRECT(Equipo!$F$4&amp;"!B10:B1000"),$B16,INDIRECT(Equipo!$F$4&amp;"!"&amp;ADDRESS(10,COLUMN(D$9)+10)&amp;":"&amp;ADDRESS(1000,COLUMN(D$9)+10))),
SUMIF(INDIRECT(Equipo!$G$4&amp;"!B10:B1000"),$B16,INDIRECT(Equipo!$G$4&amp;"!"&amp;ADDRESS(10,COLUMN(D$9)+10)&amp;":"&amp;ADDRESS(1000,COLUMN(D$9)+10)))
))</f>
        <v>0</v>
      </c>
      <c r="E16" s="19">
        <f t="array" ref="E16">IF(ISBLANK(Tareas!$B12),"-",
SUM(
SUMIF(INDIRECT(Equipo!$C$4&amp;"!B10:B1000"),$B16,INDIRECT(Equipo!$C$4&amp;"!"&amp;ADDRESS(10,COLUMN(E$9)+10)&amp;":"&amp;ADDRESS(1000,COLUMN(E$9)+10))),
SUMIF(INDIRECT(Equipo!$D$4&amp;"!B10:B1000"),$B16,INDIRECT(Equipo!$D$4&amp;"!"&amp;ADDRESS(10,COLUMN(E$9)+10)&amp;":"&amp;ADDRESS(1000,COLUMN(E$9)+10))),
SUMIF(INDIRECT(Equipo!$E$4&amp;"!B10:B1000"),$B16,INDIRECT(Equipo!$E$4&amp;"!"&amp;ADDRESS(10,COLUMN(E$9)+10)&amp;":"&amp;ADDRESS(1000,COLUMN(E$9)+10))),
SUMIF(INDIRECT(Equipo!$F$4&amp;"!B10:B1000"),$B16,INDIRECT(Equipo!$F$4&amp;"!"&amp;ADDRESS(10,COLUMN(E$9)+10)&amp;":"&amp;ADDRESS(1000,COLUMN(E$9)+10))),
SUMIF(INDIRECT(Equipo!$G$4&amp;"!B10:B1000"),$B16,INDIRECT(Equipo!$G$4&amp;"!"&amp;ADDRESS(10,COLUMN(E$9)+10)&amp;":"&amp;ADDRESS(1000,COLUMN(E$9)+10)))
))</f>
        <v>4</v>
      </c>
      <c r="F16" s="19">
        <f t="array" ref="F16">IF(ISBLANK(Tareas!$B12),"-",
SUM(
SUMIF(INDIRECT(Equipo!$C$4&amp;"!B10:B1000"),$B16,INDIRECT(Equipo!$C$4&amp;"!"&amp;ADDRESS(10,COLUMN(F$9)+10)&amp;":"&amp;ADDRESS(1000,COLUMN(F$9)+10))),
SUMIF(INDIRECT(Equipo!$D$4&amp;"!B10:B1000"),$B16,INDIRECT(Equipo!$D$4&amp;"!"&amp;ADDRESS(10,COLUMN(F$9)+10)&amp;":"&amp;ADDRESS(1000,COLUMN(F$9)+10))),
SUMIF(INDIRECT(Equipo!$E$4&amp;"!B10:B1000"),$B16,INDIRECT(Equipo!$E$4&amp;"!"&amp;ADDRESS(10,COLUMN(F$9)+10)&amp;":"&amp;ADDRESS(1000,COLUMN(F$9)+10))),
SUMIF(INDIRECT(Equipo!$F$4&amp;"!B10:B1000"),$B16,INDIRECT(Equipo!$F$4&amp;"!"&amp;ADDRESS(10,COLUMN(F$9)+10)&amp;":"&amp;ADDRESS(1000,COLUMN(F$9)+10))),
SUMIF(INDIRECT(Equipo!$G$4&amp;"!B10:B1000"),$B16,INDIRECT(Equipo!$G$4&amp;"!"&amp;ADDRESS(10,COLUMN(F$9)+10)&amp;":"&amp;ADDRESS(1000,COLUMN(F$9)+10)))
))</f>
        <v>0</v>
      </c>
      <c r="G16" s="19">
        <f t="array" ref="G16">IF(ISBLANK(Tareas!$B12),"-",
SUM(
SUMIF(INDIRECT(Equipo!$C$4&amp;"!B10:B1000"),$B16,INDIRECT(Equipo!$C$4&amp;"!"&amp;ADDRESS(10,COLUMN(G$9)+10)&amp;":"&amp;ADDRESS(1000,COLUMN(G$9)+10))),
SUMIF(INDIRECT(Equipo!$D$4&amp;"!B10:B1000"),$B16,INDIRECT(Equipo!$D$4&amp;"!"&amp;ADDRESS(10,COLUMN(G$9)+10)&amp;":"&amp;ADDRESS(1000,COLUMN(G$9)+10))),
SUMIF(INDIRECT(Equipo!$E$4&amp;"!B10:B1000"),$B16,INDIRECT(Equipo!$E$4&amp;"!"&amp;ADDRESS(10,COLUMN(G$9)+10)&amp;":"&amp;ADDRESS(1000,COLUMN(G$9)+10))),
SUMIF(INDIRECT(Equipo!$F$4&amp;"!B10:B1000"),$B16,INDIRECT(Equipo!$F$4&amp;"!"&amp;ADDRESS(10,COLUMN(G$9)+10)&amp;":"&amp;ADDRESS(1000,COLUMN(G$9)+10))),
SUMIF(INDIRECT(Equipo!$G$4&amp;"!B10:B1000"),$B16,INDIRECT(Equipo!$G$4&amp;"!"&amp;ADDRESS(10,COLUMN(G$9)+10)&amp;":"&amp;ADDRESS(1000,COLUMN(G$9)+10)))
))</f>
        <v>0</v>
      </c>
      <c r="H16" s="19">
        <f t="array" ref="H16">IF(ISBLANK(Tareas!$B12),"-",
SUM(
SUMIF(INDIRECT(Equipo!$C$4&amp;"!B10:B1000"),$B16,INDIRECT(Equipo!$C$4&amp;"!"&amp;ADDRESS(10,COLUMN(H$9)+10)&amp;":"&amp;ADDRESS(1000,COLUMN(H$9)+10))),
SUMIF(INDIRECT(Equipo!$D$4&amp;"!B10:B1000"),$B16,INDIRECT(Equipo!$D$4&amp;"!"&amp;ADDRESS(10,COLUMN(H$9)+10)&amp;":"&amp;ADDRESS(1000,COLUMN(H$9)+10))),
SUMIF(INDIRECT(Equipo!$E$4&amp;"!B10:B1000"),$B16,INDIRECT(Equipo!$E$4&amp;"!"&amp;ADDRESS(10,COLUMN(H$9)+10)&amp;":"&amp;ADDRESS(1000,COLUMN(H$9)+10))),
SUMIF(INDIRECT(Equipo!$F$4&amp;"!B10:B1000"),$B16,INDIRECT(Equipo!$F$4&amp;"!"&amp;ADDRESS(10,COLUMN(H$9)+10)&amp;":"&amp;ADDRESS(1000,COLUMN(H$9)+10))),
SUMIF(INDIRECT(Equipo!$G$4&amp;"!B10:B1000"),$B16,INDIRECT(Equipo!$G$4&amp;"!"&amp;ADDRESS(10,COLUMN(H$9)+10)&amp;":"&amp;ADDRESS(1000,COLUMN(H$9)+10)))
))</f>
        <v>0</v>
      </c>
      <c r="I16" s="19">
        <f t="array" ref="I16">IF(ISBLANK(Tareas!$B12),"-",
SUM(
SUMIF(INDIRECT(Equipo!$C$4&amp;"!B10:B1000"),$B16,INDIRECT(Equipo!$C$4&amp;"!"&amp;ADDRESS(10,COLUMN(I$9)+10)&amp;":"&amp;ADDRESS(1000,COLUMN(I$9)+10))),
SUMIF(INDIRECT(Equipo!$D$4&amp;"!B10:B1000"),$B16,INDIRECT(Equipo!$D$4&amp;"!"&amp;ADDRESS(10,COLUMN(I$9)+10)&amp;":"&amp;ADDRESS(1000,COLUMN(I$9)+10))),
SUMIF(INDIRECT(Equipo!$E$4&amp;"!B10:B1000"),$B16,INDIRECT(Equipo!$E$4&amp;"!"&amp;ADDRESS(10,COLUMN(I$9)+10)&amp;":"&amp;ADDRESS(1000,COLUMN(I$9)+10))),
SUMIF(INDIRECT(Equipo!$F$4&amp;"!B10:B1000"),$B16,INDIRECT(Equipo!$F$4&amp;"!"&amp;ADDRESS(10,COLUMN(I$9)+10)&amp;":"&amp;ADDRESS(1000,COLUMN(I$9)+10))),
SUMIF(INDIRECT(Equipo!$G$4&amp;"!B10:B1000"),$B16,INDIRECT(Equipo!$G$4&amp;"!"&amp;ADDRESS(10,COLUMN(I$9)+10)&amp;":"&amp;ADDRESS(1000,COLUMN(I$9)+10)))
))</f>
        <v>0</v>
      </c>
      <c r="J16" s="19">
        <f t="array" ref="J16">IF(ISBLANK(Tareas!$B12),"-",
SUM(
SUMIF(INDIRECT(Equipo!$C$4&amp;"!B10:B1000"),$B16,INDIRECT(Equipo!$C$4&amp;"!"&amp;ADDRESS(10,COLUMN(J$9)+10)&amp;":"&amp;ADDRESS(1000,COLUMN(J$9)+10))),
SUMIF(INDIRECT(Equipo!$D$4&amp;"!B10:B1000"),$B16,INDIRECT(Equipo!$D$4&amp;"!"&amp;ADDRESS(10,COLUMN(J$9)+10)&amp;":"&amp;ADDRESS(1000,COLUMN(J$9)+10))),
SUMIF(INDIRECT(Equipo!$E$4&amp;"!B10:B1000"),$B16,INDIRECT(Equipo!$E$4&amp;"!"&amp;ADDRESS(10,COLUMN(J$9)+10)&amp;":"&amp;ADDRESS(1000,COLUMN(J$9)+10))),
SUMIF(INDIRECT(Equipo!$F$4&amp;"!B10:B1000"),$B16,INDIRECT(Equipo!$F$4&amp;"!"&amp;ADDRESS(10,COLUMN(J$9)+10)&amp;":"&amp;ADDRESS(1000,COLUMN(J$9)+10))),
SUMIF(INDIRECT(Equipo!$G$4&amp;"!B10:B1000"),$B16,INDIRECT(Equipo!$G$4&amp;"!"&amp;ADDRESS(10,COLUMN(J$9)+10)&amp;":"&amp;ADDRESS(1000,COLUMN(J$9)+10)))
))</f>
        <v>0</v>
      </c>
      <c r="K16" s="19">
        <f t="array" ref="K16">IF(ISBLANK(Tareas!$B12),"-",
SUM(
SUMIF(INDIRECT(Equipo!$C$4&amp;"!B10:B1000"),$B16,INDIRECT(Equipo!$C$4&amp;"!"&amp;ADDRESS(10,COLUMN(K$9)+10)&amp;":"&amp;ADDRESS(1000,COLUMN(K$9)+10))),
SUMIF(INDIRECT(Equipo!$D$4&amp;"!B10:B1000"),$B16,INDIRECT(Equipo!$D$4&amp;"!"&amp;ADDRESS(10,COLUMN(K$9)+10)&amp;":"&amp;ADDRESS(1000,COLUMN(K$9)+10))),
SUMIF(INDIRECT(Equipo!$E$4&amp;"!B10:B1000"),$B16,INDIRECT(Equipo!$E$4&amp;"!"&amp;ADDRESS(10,COLUMN(K$9)+10)&amp;":"&amp;ADDRESS(1000,COLUMN(K$9)+10))),
SUMIF(INDIRECT(Equipo!$F$4&amp;"!B10:B1000"),$B16,INDIRECT(Equipo!$F$4&amp;"!"&amp;ADDRESS(10,COLUMN(K$9)+10)&amp;":"&amp;ADDRESS(1000,COLUMN(K$9)+10))),
SUMIF(INDIRECT(Equipo!$G$4&amp;"!B10:B1000"),$B16,INDIRECT(Equipo!$G$4&amp;"!"&amp;ADDRESS(10,COLUMN(K$9)+10)&amp;":"&amp;ADDRESS(1000,COLUMN(K$9)+10)))
))</f>
        <v>0</v>
      </c>
    </row>
    <row r="17" ht="15.75" customHeight="1">
      <c r="B17" s="1" t="str">
        <f>IF(ISBLANK(Tareas!B13)," - ",Tareas!B13)</f>
        <v>8. Reunión 3</v>
      </c>
      <c r="C17" s="19">
        <f>IF(ISBLANK(Tareas!$B13),"-",SUM(D17:M17))</f>
        <v>4.5</v>
      </c>
      <c r="D17" s="19">
        <f t="array" ref="D17">IF(ISBLANK(Tareas!$B13),"-",
SUM(
SUMIF(INDIRECT(Equipo!$C$4&amp;"!B10:B1000"),$B17,INDIRECT(Equipo!$C$4&amp;"!"&amp;ADDRESS(10,COLUMN(D$9)+10)&amp;":"&amp;ADDRESS(1000,COLUMN(D$9)+10))),
SUMIF(INDIRECT(Equipo!$D$4&amp;"!B10:B1000"),$B17,INDIRECT(Equipo!$D$4&amp;"!"&amp;ADDRESS(10,COLUMN(D$9)+10)&amp;":"&amp;ADDRESS(1000,COLUMN(D$9)+10))),
SUMIF(INDIRECT(Equipo!$E$4&amp;"!B10:B1000"),$B17,INDIRECT(Equipo!$E$4&amp;"!"&amp;ADDRESS(10,COLUMN(D$9)+10)&amp;":"&amp;ADDRESS(1000,COLUMN(D$9)+10))),
SUMIF(INDIRECT(Equipo!$F$4&amp;"!B10:B1000"),$B17,INDIRECT(Equipo!$F$4&amp;"!"&amp;ADDRESS(10,COLUMN(D$9)+10)&amp;":"&amp;ADDRESS(1000,COLUMN(D$9)+10))),
SUMIF(INDIRECT(Equipo!$G$4&amp;"!B10:B1000"),$B17,INDIRECT(Equipo!$G$4&amp;"!"&amp;ADDRESS(10,COLUMN(D$9)+10)&amp;":"&amp;ADDRESS(1000,COLUMN(D$9)+10)))
))</f>
        <v>0</v>
      </c>
      <c r="E17" s="19">
        <f t="array" ref="E17">IF(ISBLANK(Tareas!$B13),"-",
SUM(
SUMIF(INDIRECT(Equipo!$C$4&amp;"!B10:B1000"),$B17,INDIRECT(Equipo!$C$4&amp;"!"&amp;ADDRESS(10,COLUMN(E$9)+10)&amp;":"&amp;ADDRESS(1000,COLUMN(E$9)+10))),
SUMIF(INDIRECT(Equipo!$D$4&amp;"!B10:B1000"),$B17,INDIRECT(Equipo!$D$4&amp;"!"&amp;ADDRESS(10,COLUMN(E$9)+10)&amp;":"&amp;ADDRESS(1000,COLUMN(E$9)+10))),
SUMIF(INDIRECT(Equipo!$E$4&amp;"!B10:B1000"),$B17,INDIRECT(Equipo!$E$4&amp;"!"&amp;ADDRESS(10,COLUMN(E$9)+10)&amp;":"&amp;ADDRESS(1000,COLUMN(E$9)+10))),
SUMIF(INDIRECT(Equipo!$F$4&amp;"!B10:B1000"),$B17,INDIRECT(Equipo!$F$4&amp;"!"&amp;ADDRESS(10,COLUMN(E$9)+10)&amp;":"&amp;ADDRESS(1000,COLUMN(E$9)+10))),
SUMIF(INDIRECT(Equipo!$G$4&amp;"!B10:B1000"),$B17,INDIRECT(Equipo!$G$4&amp;"!"&amp;ADDRESS(10,COLUMN(E$9)+10)&amp;":"&amp;ADDRESS(1000,COLUMN(E$9)+10)))
))</f>
        <v>0</v>
      </c>
      <c r="F17" s="19">
        <f t="array" ref="F17">IF(ISBLANK(Tareas!$B13),"-",
SUM(
SUMIF(INDIRECT(Equipo!$C$4&amp;"!B10:B1000"),$B17,INDIRECT(Equipo!$C$4&amp;"!"&amp;ADDRESS(10,COLUMN(F$9)+10)&amp;":"&amp;ADDRESS(1000,COLUMN(F$9)+10))),
SUMIF(INDIRECT(Equipo!$D$4&amp;"!B10:B1000"),$B17,INDIRECT(Equipo!$D$4&amp;"!"&amp;ADDRESS(10,COLUMN(F$9)+10)&amp;":"&amp;ADDRESS(1000,COLUMN(F$9)+10))),
SUMIF(INDIRECT(Equipo!$E$4&amp;"!B10:B1000"),$B17,INDIRECT(Equipo!$E$4&amp;"!"&amp;ADDRESS(10,COLUMN(F$9)+10)&amp;":"&amp;ADDRESS(1000,COLUMN(F$9)+10))),
SUMIF(INDIRECT(Equipo!$F$4&amp;"!B10:B1000"),$B17,INDIRECT(Equipo!$F$4&amp;"!"&amp;ADDRESS(10,COLUMN(F$9)+10)&amp;":"&amp;ADDRESS(1000,COLUMN(F$9)+10))),
SUMIF(INDIRECT(Equipo!$G$4&amp;"!B10:B1000"),$B17,INDIRECT(Equipo!$G$4&amp;"!"&amp;ADDRESS(10,COLUMN(F$9)+10)&amp;":"&amp;ADDRESS(1000,COLUMN(F$9)+10)))
))</f>
        <v>4.5</v>
      </c>
      <c r="G17" s="19">
        <f t="array" ref="G17">IF(ISBLANK(Tareas!$B13),"-",
SUM(
SUMIF(INDIRECT(Equipo!$C$4&amp;"!B10:B1000"),$B17,INDIRECT(Equipo!$C$4&amp;"!"&amp;ADDRESS(10,COLUMN(G$9)+10)&amp;":"&amp;ADDRESS(1000,COLUMN(G$9)+10))),
SUMIF(INDIRECT(Equipo!$D$4&amp;"!B10:B1000"),$B17,INDIRECT(Equipo!$D$4&amp;"!"&amp;ADDRESS(10,COLUMN(G$9)+10)&amp;":"&amp;ADDRESS(1000,COLUMN(G$9)+10))),
SUMIF(INDIRECT(Equipo!$E$4&amp;"!B10:B1000"),$B17,INDIRECT(Equipo!$E$4&amp;"!"&amp;ADDRESS(10,COLUMN(G$9)+10)&amp;":"&amp;ADDRESS(1000,COLUMN(G$9)+10))),
SUMIF(INDIRECT(Equipo!$F$4&amp;"!B10:B1000"),$B17,INDIRECT(Equipo!$F$4&amp;"!"&amp;ADDRESS(10,COLUMN(G$9)+10)&amp;":"&amp;ADDRESS(1000,COLUMN(G$9)+10))),
SUMIF(INDIRECT(Equipo!$G$4&amp;"!B10:B1000"),$B17,INDIRECT(Equipo!$G$4&amp;"!"&amp;ADDRESS(10,COLUMN(G$9)+10)&amp;":"&amp;ADDRESS(1000,COLUMN(G$9)+10)))
))</f>
        <v>0</v>
      </c>
      <c r="H17" s="19">
        <f t="array" ref="H17">IF(ISBLANK(Tareas!$B13),"-",
SUM(
SUMIF(INDIRECT(Equipo!$C$4&amp;"!B10:B1000"),$B17,INDIRECT(Equipo!$C$4&amp;"!"&amp;ADDRESS(10,COLUMN(H$9)+10)&amp;":"&amp;ADDRESS(1000,COLUMN(H$9)+10))),
SUMIF(INDIRECT(Equipo!$D$4&amp;"!B10:B1000"),$B17,INDIRECT(Equipo!$D$4&amp;"!"&amp;ADDRESS(10,COLUMN(H$9)+10)&amp;":"&amp;ADDRESS(1000,COLUMN(H$9)+10))),
SUMIF(INDIRECT(Equipo!$E$4&amp;"!B10:B1000"),$B17,INDIRECT(Equipo!$E$4&amp;"!"&amp;ADDRESS(10,COLUMN(H$9)+10)&amp;":"&amp;ADDRESS(1000,COLUMN(H$9)+10))),
SUMIF(INDIRECT(Equipo!$F$4&amp;"!B10:B1000"),$B17,INDIRECT(Equipo!$F$4&amp;"!"&amp;ADDRESS(10,COLUMN(H$9)+10)&amp;":"&amp;ADDRESS(1000,COLUMN(H$9)+10))),
SUMIF(INDIRECT(Equipo!$G$4&amp;"!B10:B1000"),$B17,INDIRECT(Equipo!$G$4&amp;"!"&amp;ADDRESS(10,COLUMN(H$9)+10)&amp;":"&amp;ADDRESS(1000,COLUMN(H$9)+10)))
))</f>
        <v>0</v>
      </c>
      <c r="I17" s="19">
        <f t="array" ref="I17">IF(ISBLANK(Tareas!$B13),"-",
SUM(
SUMIF(INDIRECT(Equipo!$C$4&amp;"!B10:B1000"),$B17,INDIRECT(Equipo!$C$4&amp;"!"&amp;ADDRESS(10,COLUMN(I$9)+10)&amp;":"&amp;ADDRESS(1000,COLUMN(I$9)+10))),
SUMIF(INDIRECT(Equipo!$D$4&amp;"!B10:B1000"),$B17,INDIRECT(Equipo!$D$4&amp;"!"&amp;ADDRESS(10,COLUMN(I$9)+10)&amp;":"&amp;ADDRESS(1000,COLUMN(I$9)+10))),
SUMIF(INDIRECT(Equipo!$E$4&amp;"!B10:B1000"),$B17,INDIRECT(Equipo!$E$4&amp;"!"&amp;ADDRESS(10,COLUMN(I$9)+10)&amp;":"&amp;ADDRESS(1000,COLUMN(I$9)+10))),
SUMIF(INDIRECT(Equipo!$F$4&amp;"!B10:B1000"),$B17,INDIRECT(Equipo!$F$4&amp;"!"&amp;ADDRESS(10,COLUMN(I$9)+10)&amp;":"&amp;ADDRESS(1000,COLUMN(I$9)+10))),
SUMIF(INDIRECT(Equipo!$G$4&amp;"!B10:B1000"),$B17,INDIRECT(Equipo!$G$4&amp;"!"&amp;ADDRESS(10,COLUMN(I$9)+10)&amp;":"&amp;ADDRESS(1000,COLUMN(I$9)+10)))
))</f>
        <v>0</v>
      </c>
      <c r="J17" s="19">
        <f t="array" ref="J17">IF(ISBLANK(Tareas!$B13),"-",
SUM(
SUMIF(INDIRECT(Equipo!$C$4&amp;"!B10:B1000"),$B17,INDIRECT(Equipo!$C$4&amp;"!"&amp;ADDRESS(10,COLUMN(J$9)+10)&amp;":"&amp;ADDRESS(1000,COLUMN(J$9)+10))),
SUMIF(INDIRECT(Equipo!$D$4&amp;"!B10:B1000"),$B17,INDIRECT(Equipo!$D$4&amp;"!"&amp;ADDRESS(10,COLUMN(J$9)+10)&amp;":"&amp;ADDRESS(1000,COLUMN(J$9)+10))),
SUMIF(INDIRECT(Equipo!$E$4&amp;"!B10:B1000"),$B17,INDIRECT(Equipo!$E$4&amp;"!"&amp;ADDRESS(10,COLUMN(J$9)+10)&amp;":"&amp;ADDRESS(1000,COLUMN(J$9)+10))),
SUMIF(INDIRECT(Equipo!$F$4&amp;"!B10:B1000"),$B17,INDIRECT(Equipo!$F$4&amp;"!"&amp;ADDRESS(10,COLUMN(J$9)+10)&amp;":"&amp;ADDRESS(1000,COLUMN(J$9)+10))),
SUMIF(INDIRECT(Equipo!$G$4&amp;"!B10:B1000"),$B17,INDIRECT(Equipo!$G$4&amp;"!"&amp;ADDRESS(10,COLUMN(J$9)+10)&amp;":"&amp;ADDRESS(1000,COLUMN(J$9)+10)))
))</f>
        <v>0</v>
      </c>
      <c r="K17" s="19">
        <f t="array" ref="K17">IF(ISBLANK(Tareas!$B13),"-",
SUM(
SUMIF(INDIRECT(Equipo!$C$4&amp;"!B10:B1000"),$B17,INDIRECT(Equipo!$C$4&amp;"!"&amp;ADDRESS(10,COLUMN(K$9)+10)&amp;":"&amp;ADDRESS(1000,COLUMN(K$9)+10))),
SUMIF(INDIRECT(Equipo!$D$4&amp;"!B10:B1000"),$B17,INDIRECT(Equipo!$D$4&amp;"!"&amp;ADDRESS(10,COLUMN(K$9)+10)&amp;":"&amp;ADDRESS(1000,COLUMN(K$9)+10))),
SUMIF(INDIRECT(Equipo!$E$4&amp;"!B10:B1000"),$B17,INDIRECT(Equipo!$E$4&amp;"!"&amp;ADDRESS(10,COLUMN(K$9)+10)&amp;":"&amp;ADDRESS(1000,COLUMN(K$9)+10))),
SUMIF(INDIRECT(Equipo!$F$4&amp;"!B10:B1000"),$B17,INDIRECT(Equipo!$F$4&amp;"!"&amp;ADDRESS(10,COLUMN(K$9)+10)&amp;":"&amp;ADDRESS(1000,COLUMN(K$9)+10))),
SUMIF(INDIRECT(Equipo!$G$4&amp;"!B10:B1000"),$B17,INDIRECT(Equipo!$G$4&amp;"!"&amp;ADDRESS(10,COLUMN(K$9)+10)&amp;":"&amp;ADDRESS(1000,COLUMN(K$9)+10)))
))</f>
        <v>0</v>
      </c>
    </row>
    <row r="18" ht="15.75" customHeight="1">
      <c r="B18" s="1" t="str">
        <f>IF(ISBLANK(Tareas!B14)," - ",Tareas!B14)</f>
        <v>9. Revisión del análisis de requisitos</v>
      </c>
      <c r="C18" s="19">
        <f>IF(ISBLANK(Tareas!$B14),"-",SUM(D18:M18))</f>
        <v>1.4</v>
      </c>
      <c r="D18" s="19">
        <f t="array" ref="D18">IF(ISBLANK(Tareas!$B14),"-",
SUM(
SUMIF(INDIRECT(Equipo!$C$4&amp;"!B10:B1000"),$B18,INDIRECT(Equipo!$C$4&amp;"!"&amp;ADDRESS(10,COLUMN(D$9)+10)&amp;":"&amp;ADDRESS(1000,COLUMN(D$9)+10))),
SUMIF(INDIRECT(Equipo!$D$4&amp;"!B10:B1000"),$B18,INDIRECT(Equipo!$D$4&amp;"!"&amp;ADDRESS(10,COLUMN(D$9)+10)&amp;":"&amp;ADDRESS(1000,COLUMN(D$9)+10))),
SUMIF(INDIRECT(Equipo!$E$4&amp;"!B10:B1000"),$B18,INDIRECT(Equipo!$E$4&amp;"!"&amp;ADDRESS(10,COLUMN(D$9)+10)&amp;":"&amp;ADDRESS(1000,COLUMN(D$9)+10))),
SUMIF(INDIRECT(Equipo!$F$4&amp;"!B10:B1000"),$B18,INDIRECT(Equipo!$F$4&amp;"!"&amp;ADDRESS(10,COLUMN(D$9)+10)&amp;":"&amp;ADDRESS(1000,COLUMN(D$9)+10))),
SUMIF(INDIRECT(Equipo!$G$4&amp;"!B10:B1000"),$B18,INDIRECT(Equipo!$G$4&amp;"!"&amp;ADDRESS(10,COLUMN(D$9)+10)&amp;":"&amp;ADDRESS(1000,COLUMN(D$9)+10)))
))</f>
        <v>0</v>
      </c>
      <c r="E18" s="19">
        <f t="array" ref="E18">IF(ISBLANK(Tareas!$B14),"-",
SUM(
SUMIF(INDIRECT(Equipo!$C$4&amp;"!B10:B1000"),$B18,INDIRECT(Equipo!$C$4&amp;"!"&amp;ADDRESS(10,COLUMN(E$9)+10)&amp;":"&amp;ADDRESS(1000,COLUMN(E$9)+10))),
SUMIF(INDIRECT(Equipo!$D$4&amp;"!B10:B1000"),$B18,INDIRECT(Equipo!$D$4&amp;"!"&amp;ADDRESS(10,COLUMN(E$9)+10)&amp;":"&amp;ADDRESS(1000,COLUMN(E$9)+10))),
SUMIF(INDIRECT(Equipo!$E$4&amp;"!B10:B1000"),$B18,INDIRECT(Equipo!$E$4&amp;"!"&amp;ADDRESS(10,COLUMN(E$9)+10)&amp;":"&amp;ADDRESS(1000,COLUMN(E$9)+10))),
SUMIF(INDIRECT(Equipo!$F$4&amp;"!B10:B1000"),$B18,INDIRECT(Equipo!$F$4&amp;"!"&amp;ADDRESS(10,COLUMN(E$9)+10)&amp;":"&amp;ADDRESS(1000,COLUMN(E$9)+10))),
SUMIF(INDIRECT(Equipo!$G$4&amp;"!B10:B1000"),$B18,INDIRECT(Equipo!$G$4&amp;"!"&amp;ADDRESS(10,COLUMN(E$9)+10)&amp;":"&amp;ADDRESS(1000,COLUMN(E$9)+10)))
))</f>
        <v>0</v>
      </c>
      <c r="F18" s="19">
        <f t="array" ref="F18">IF(ISBLANK(Tareas!$B14),"-",
SUM(
SUMIF(INDIRECT(Equipo!$C$4&amp;"!B10:B1000"),$B18,INDIRECT(Equipo!$C$4&amp;"!"&amp;ADDRESS(10,COLUMN(F$9)+10)&amp;":"&amp;ADDRESS(1000,COLUMN(F$9)+10))),
SUMIF(INDIRECT(Equipo!$D$4&amp;"!B10:B1000"),$B18,INDIRECT(Equipo!$D$4&amp;"!"&amp;ADDRESS(10,COLUMN(F$9)+10)&amp;":"&amp;ADDRESS(1000,COLUMN(F$9)+10))),
SUMIF(INDIRECT(Equipo!$E$4&amp;"!B10:B1000"),$B18,INDIRECT(Equipo!$E$4&amp;"!"&amp;ADDRESS(10,COLUMN(F$9)+10)&amp;":"&amp;ADDRESS(1000,COLUMN(F$9)+10))),
SUMIF(INDIRECT(Equipo!$F$4&amp;"!B10:B1000"),$B18,INDIRECT(Equipo!$F$4&amp;"!"&amp;ADDRESS(10,COLUMN(F$9)+10)&amp;":"&amp;ADDRESS(1000,COLUMN(F$9)+10))),
SUMIF(INDIRECT(Equipo!$G$4&amp;"!B10:B1000"),$B18,INDIRECT(Equipo!$G$4&amp;"!"&amp;ADDRESS(10,COLUMN(F$9)+10)&amp;":"&amp;ADDRESS(1000,COLUMN(F$9)+10)))
))</f>
        <v>1.4</v>
      </c>
      <c r="G18" s="19">
        <f t="array" ref="G18">IF(ISBLANK(Tareas!$B14),"-",
SUM(
SUMIF(INDIRECT(Equipo!$C$4&amp;"!B10:B1000"),$B18,INDIRECT(Equipo!$C$4&amp;"!"&amp;ADDRESS(10,COLUMN(G$9)+10)&amp;":"&amp;ADDRESS(1000,COLUMN(G$9)+10))),
SUMIF(INDIRECT(Equipo!$D$4&amp;"!B10:B1000"),$B18,INDIRECT(Equipo!$D$4&amp;"!"&amp;ADDRESS(10,COLUMN(G$9)+10)&amp;":"&amp;ADDRESS(1000,COLUMN(G$9)+10))),
SUMIF(INDIRECT(Equipo!$E$4&amp;"!B10:B1000"),$B18,INDIRECT(Equipo!$E$4&amp;"!"&amp;ADDRESS(10,COLUMN(G$9)+10)&amp;":"&amp;ADDRESS(1000,COLUMN(G$9)+10))),
SUMIF(INDIRECT(Equipo!$F$4&amp;"!B10:B1000"),$B18,INDIRECT(Equipo!$F$4&amp;"!"&amp;ADDRESS(10,COLUMN(G$9)+10)&amp;":"&amp;ADDRESS(1000,COLUMN(G$9)+10))),
SUMIF(INDIRECT(Equipo!$G$4&amp;"!B10:B1000"),$B18,INDIRECT(Equipo!$G$4&amp;"!"&amp;ADDRESS(10,COLUMN(G$9)+10)&amp;":"&amp;ADDRESS(1000,COLUMN(G$9)+10)))
))</f>
        <v>0</v>
      </c>
      <c r="H18" s="19">
        <f t="array" ref="H18">IF(ISBLANK(Tareas!$B14),"-",
SUM(
SUMIF(INDIRECT(Equipo!$C$4&amp;"!B10:B1000"),$B18,INDIRECT(Equipo!$C$4&amp;"!"&amp;ADDRESS(10,COLUMN(H$9)+10)&amp;":"&amp;ADDRESS(1000,COLUMN(H$9)+10))),
SUMIF(INDIRECT(Equipo!$D$4&amp;"!B10:B1000"),$B18,INDIRECT(Equipo!$D$4&amp;"!"&amp;ADDRESS(10,COLUMN(H$9)+10)&amp;":"&amp;ADDRESS(1000,COLUMN(H$9)+10))),
SUMIF(INDIRECT(Equipo!$E$4&amp;"!B10:B1000"),$B18,INDIRECT(Equipo!$E$4&amp;"!"&amp;ADDRESS(10,COLUMN(H$9)+10)&amp;":"&amp;ADDRESS(1000,COLUMN(H$9)+10))),
SUMIF(INDIRECT(Equipo!$F$4&amp;"!B10:B1000"),$B18,INDIRECT(Equipo!$F$4&amp;"!"&amp;ADDRESS(10,COLUMN(H$9)+10)&amp;":"&amp;ADDRESS(1000,COLUMN(H$9)+10))),
SUMIF(INDIRECT(Equipo!$G$4&amp;"!B10:B1000"),$B18,INDIRECT(Equipo!$G$4&amp;"!"&amp;ADDRESS(10,COLUMN(H$9)+10)&amp;":"&amp;ADDRESS(1000,COLUMN(H$9)+10)))
))</f>
        <v>0</v>
      </c>
      <c r="I18" s="19">
        <f t="array" ref="I18">IF(ISBLANK(Tareas!$B14),"-",
SUM(
SUMIF(INDIRECT(Equipo!$C$4&amp;"!B10:B1000"),$B18,INDIRECT(Equipo!$C$4&amp;"!"&amp;ADDRESS(10,COLUMN(I$9)+10)&amp;":"&amp;ADDRESS(1000,COLUMN(I$9)+10))),
SUMIF(INDIRECT(Equipo!$D$4&amp;"!B10:B1000"),$B18,INDIRECT(Equipo!$D$4&amp;"!"&amp;ADDRESS(10,COLUMN(I$9)+10)&amp;":"&amp;ADDRESS(1000,COLUMN(I$9)+10))),
SUMIF(INDIRECT(Equipo!$E$4&amp;"!B10:B1000"),$B18,INDIRECT(Equipo!$E$4&amp;"!"&amp;ADDRESS(10,COLUMN(I$9)+10)&amp;":"&amp;ADDRESS(1000,COLUMN(I$9)+10))),
SUMIF(INDIRECT(Equipo!$F$4&amp;"!B10:B1000"),$B18,INDIRECT(Equipo!$F$4&amp;"!"&amp;ADDRESS(10,COLUMN(I$9)+10)&amp;":"&amp;ADDRESS(1000,COLUMN(I$9)+10))),
SUMIF(INDIRECT(Equipo!$G$4&amp;"!B10:B1000"),$B18,INDIRECT(Equipo!$G$4&amp;"!"&amp;ADDRESS(10,COLUMN(I$9)+10)&amp;":"&amp;ADDRESS(1000,COLUMN(I$9)+10)))
))</f>
        <v>0</v>
      </c>
      <c r="J18" s="19">
        <f t="array" ref="J18">IF(ISBLANK(Tareas!$B14),"-",
SUM(
SUMIF(INDIRECT(Equipo!$C$4&amp;"!B10:B1000"),$B18,INDIRECT(Equipo!$C$4&amp;"!"&amp;ADDRESS(10,COLUMN(J$9)+10)&amp;":"&amp;ADDRESS(1000,COLUMN(J$9)+10))),
SUMIF(INDIRECT(Equipo!$D$4&amp;"!B10:B1000"),$B18,INDIRECT(Equipo!$D$4&amp;"!"&amp;ADDRESS(10,COLUMN(J$9)+10)&amp;":"&amp;ADDRESS(1000,COLUMN(J$9)+10))),
SUMIF(INDIRECT(Equipo!$E$4&amp;"!B10:B1000"),$B18,INDIRECT(Equipo!$E$4&amp;"!"&amp;ADDRESS(10,COLUMN(J$9)+10)&amp;":"&amp;ADDRESS(1000,COLUMN(J$9)+10))),
SUMIF(INDIRECT(Equipo!$F$4&amp;"!B10:B1000"),$B18,INDIRECT(Equipo!$F$4&amp;"!"&amp;ADDRESS(10,COLUMN(J$9)+10)&amp;":"&amp;ADDRESS(1000,COLUMN(J$9)+10))),
SUMIF(INDIRECT(Equipo!$G$4&amp;"!B10:B1000"),$B18,INDIRECT(Equipo!$G$4&amp;"!"&amp;ADDRESS(10,COLUMN(J$9)+10)&amp;":"&amp;ADDRESS(1000,COLUMN(J$9)+10)))
))</f>
        <v>0</v>
      </c>
      <c r="K18" s="19">
        <f t="array" ref="K18">IF(ISBLANK(Tareas!$B14),"-",
SUM(
SUMIF(INDIRECT(Equipo!$C$4&amp;"!B10:B1000"),$B18,INDIRECT(Equipo!$C$4&amp;"!"&amp;ADDRESS(10,COLUMN(K$9)+10)&amp;":"&amp;ADDRESS(1000,COLUMN(K$9)+10))),
SUMIF(INDIRECT(Equipo!$D$4&amp;"!B10:B1000"),$B18,INDIRECT(Equipo!$D$4&amp;"!"&amp;ADDRESS(10,COLUMN(K$9)+10)&amp;":"&amp;ADDRESS(1000,COLUMN(K$9)+10))),
SUMIF(INDIRECT(Equipo!$E$4&amp;"!B10:B1000"),$B18,INDIRECT(Equipo!$E$4&amp;"!"&amp;ADDRESS(10,COLUMN(K$9)+10)&amp;":"&amp;ADDRESS(1000,COLUMN(K$9)+10))),
SUMIF(INDIRECT(Equipo!$F$4&amp;"!B10:B1000"),$B18,INDIRECT(Equipo!$F$4&amp;"!"&amp;ADDRESS(10,COLUMN(K$9)+10)&amp;":"&amp;ADDRESS(1000,COLUMN(K$9)+10))),
SUMIF(INDIRECT(Equipo!$G$4&amp;"!B10:B1000"),$B18,INDIRECT(Equipo!$G$4&amp;"!"&amp;ADDRESS(10,COLUMN(K$9)+10)&amp;":"&amp;ADDRESS(1000,COLUMN(K$9)+10)))
))</f>
        <v>0</v>
      </c>
    </row>
    <row r="19" ht="15.75" customHeight="1">
      <c r="B19" s="1" t="str">
        <f>IF(ISBLANK(Tareas!B15)," - ",Tareas!B15)</f>
        <v>10. Disposición del ERS en la línea base (GCS)</v>
      </c>
      <c r="C19" s="19">
        <f>IF(ISBLANK(Tareas!$B15),"-",SUM(D19:M19))</f>
        <v>0.3</v>
      </c>
      <c r="D19" s="19">
        <f t="array" ref="D19">IF(ISBLANK(Tareas!$B15),"-",
SUM(
SUMIF(INDIRECT(Equipo!$C$4&amp;"!B10:B1000"),$B19,INDIRECT(Equipo!$C$4&amp;"!"&amp;ADDRESS(10,COLUMN(D$9)+10)&amp;":"&amp;ADDRESS(1000,COLUMN(D$9)+10))),
SUMIF(INDIRECT(Equipo!$D$4&amp;"!B10:B1000"),$B19,INDIRECT(Equipo!$D$4&amp;"!"&amp;ADDRESS(10,COLUMN(D$9)+10)&amp;":"&amp;ADDRESS(1000,COLUMN(D$9)+10))),
SUMIF(INDIRECT(Equipo!$E$4&amp;"!B10:B1000"),$B19,INDIRECT(Equipo!$E$4&amp;"!"&amp;ADDRESS(10,COLUMN(D$9)+10)&amp;":"&amp;ADDRESS(1000,COLUMN(D$9)+10))),
SUMIF(INDIRECT(Equipo!$F$4&amp;"!B10:B1000"),$B19,INDIRECT(Equipo!$F$4&amp;"!"&amp;ADDRESS(10,COLUMN(D$9)+10)&amp;":"&amp;ADDRESS(1000,COLUMN(D$9)+10))),
SUMIF(INDIRECT(Equipo!$G$4&amp;"!B10:B1000"),$B19,INDIRECT(Equipo!$G$4&amp;"!"&amp;ADDRESS(10,COLUMN(D$9)+10)&amp;":"&amp;ADDRESS(1000,COLUMN(D$9)+10)))
))</f>
        <v>0</v>
      </c>
      <c r="E19" s="19">
        <f t="array" ref="E19">IF(ISBLANK(Tareas!$B15),"-",
SUM(
SUMIF(INDIRECT(Equipo!$C$4&amp;"!B10:B1000"),$B19,INDIRECT(Equipo!$C$4&amp;"!"&amp;ADDRESS(10,COLUMN(E$9)+10)&amp;":"&amp;ADDRESS(1000,COLUMN(E$9)+10))),
SUMIF(INDIRECT(Equipo!$D$4&amp;"!B10:B1000"),$B19,INDIRECT(Equipo!$D$4&amp;"!"&amp;ADDRESS(10,COLUMN(E$9)+10)&amp;":"&amp;ADDRESS(1000,COLUMN(E$9)+10))),
SUMIF(INDIRECT(Equipo!$E$4&amp;"!B10:B1000"),$B19,INDIRECT(Equipo!$E$4&amp;"!"&amp;ADDRESS(10,COLUMN(E$9)+10)&amp;":"&amp;ADDRESS(1000,COLUMN(E$9)+10))),
SUMIF(INDIRECT(Equipo!$F$4&amp;"!B10:B1000"),$B19,INDIRECT(Equipo!$F$4&amp;"!"&amp;ADDRESS(10,COLUMN(E$9)+10)&amp;":"&amp;ADDRESS(1000,COLUMN(E$9)+10))),
SUMIF(INDIRECT(Equipo!$G$4&amp;"!B10:B1000"),$B19,INDIRECT(Equipo!$G$4&amp;"!"&amp;ADDRESS(10,COLUMN(E$9)+10)&amp;":"&amp;ADDRESS(1000,COLUMN(E$9)+10)))
))</f>
        <v>0</v>
      </c>
      <c r="F19" s="19">
        <f t="array" ref="F19">IF(ISBLANK(Tareas!$B15),"-",
SUM(
SUMIF(INDIRECT(Equipo!$C$4&amp;"!B10:B1000"),$B19,INDIRECT(Equipo!$C$4&amp;"!"&amp;ADDRESS(10,COLUMN(F$9)+10)&amp;":"&amp;ADDRESS(1000,COLUMN(F$9)+10))),
SUMIF(INDIRECT(Equipo!$D$4&amp;"!B10:B1000"),$B19,INDIRECT(Equipo!$D$4&amp;"!"&amp;ADDRESS(10,COLUMN(F$9)+10)&amp;":"&amp;ADDRESS(1000,COLUMN(F$9)+10))),
SUMIF(INDIRECT(Equipo!$E$4&amp;"!B10:B1000"),$B19,INDIRECT(Equipo!$E$4&amp;"!"&amp;ADDRESS(10,COLUMN(F$9)+10)&amp;":"&amp;ADDRESS(1000,COLUMN(F$9)+10))),
SUMIF(INDIRECT(Equipo!$F$4&amp;"!B10:B1000"),$B19,INDIRECT(Equipo!$F$4&amp;"!"&amp;ADDRESS(10,COLUMN(F$9)+10)&amp;":"&amp;ADDRESS(1000,COLUMN(F$9)+10))),
SUMIF(INDIRECT(Equipo!$G$4&amp;"!B10:B1000"),$B19,INDIRECT(Equipo!$G$4&amp;"!"&amp;ADDRESS(10,COLUMN(F$9)+10)&amp;":"&amp;ADDRESS(1000,COLUMN(F$9)+10)))
))</f>
        <v>0.3</v>
      </c>
      <c r="G19" s="19">
        <f t="array" ref="G19">IF(ISBLANK(Tareas!$B15),"-",
SUM(
SUMIF(INDIRECT(Equipo!$C$4&amp;"!B10:B1000"),$B19,INDIRECT(Equipo!$C$4&amp;"!"&amp;ADDRESS(10,COLUMN(G$9)+10)&amp;":"&amp;ADDRESS(1000,COLUMN(G$9)+10))),
SUMIF(INDIRECT(Equipo!$D$4&amp;"!B10:B1000"),$B19,INDIRECT(Equipo!$D$4&amp;"!"&amp;ADDRESS(10,COLUMN(G$9)+10)&amp;":"&amp;ADDRESS(1000,COLUMN(G$9)+10))),
SUMIF(INDIRECT(Equipo!$E$4&amp;"!B10:B1000"),$B19,INDIRECT(Equipo!$E$4&amp;"!"&amp;ADDRESS(10,COLUMN(G$9)+10)&amp;":"&amp;ADDRESS(1000,COLUMN(G$9)+10))),
SUMIF(INDIRECT(Equipo!$F$4&amp;"!B10:B1000"),$B19,INDIRECT(Equipo!$F$4&amp;"!"&amp;ADDRESS(10,COLUMN(G$9)+10)&amp;":"&amp;ADDRESS(1000,COLUMN(G$9)+10))),
SUMIF(INDIRECT(Equipo!$G$4&amp;"!B10:B1000"),$B19,INDIRECT(Equipo!$G$4&amp;"!"&amp;ADDRESS(10,COLUMN(G$9)+10)&amp;":"&amp;ADDRESS(1000,COLUMN(G$9)+10)))
))</f>
        <v>0</v>
      </c>
      <c r="H19" s="19">
        <f t="array" ref="H19">IF(ISBLANK(Tareas!$B15),"-",
SUM(
SUMIF(INDIRECT(Equipo!$C$4&amp;"!B10:B1000"),$B19,INDIRECT(Equipo!$C$4&amp;"!"&amp;ADDRESS(10,COLUMN(H$9)+10)&amp;":"&amp;ADDRESS(1000,COLUMN(H$9)+10))),
SUMIF(INDIRECT(Equipo!$D$4&amp;"!B10:B1000"),$B19,INDIRECT(Equipo!$D$4&amp;"!"&amp;ADDRESS(10,COLUMN(H$9)+10)&amp;":"&amp;ADDRESS(1000,COLUMN(H$9)+10))),
SUMIF(INDIRECT(Equipo!$E$4&amp;"!B10:B1000"),$B19,INDIRECT(Equipo!$E$4&amp;"!"&amp;ADDRESS(10,COLUMN(H$9)+10)&amp;":"&amp;ADDRESS(1000,COLUMN(H$9)+10))),
SUMIF(INDIRECT(Equipo!$F$4&amp;"!B10:B1000"),$B19,INDIRECT(Equipo!$F$4&amp;"!"&amp;ADDRESS(10,COLUMN(H$9)+10)&amp;":"&amp;ADDRESS(1000,COLUMN(H$9)+10))),
SUMIF(INDIRECT(Equipo!$G$4&amp;"!B10:B1000"),$B19,INDIRECT(Equipo!$G$4&amp;"!"&amp;ADDRESS(10,COLUMN(H$9)+10)&amp;":"&amp;ADDRESS(1000,COLUMN(H$9)+10)))
))</f>
        <v>0</v>
      </c>
      <c r="I19" s="19">
        <f t="array" ref="I19">IF(ISBLANK(Tareas!$B15),"-",
SUM(
SUMIF(INDIRECT(Equipo!$C$4&amp;"!B10:B1000"),$B19,INDIRECT(Equipo!$C$4&amp;"!"&amp;ADDRESS(10,COLUMN(I$9)+10)&amp;":"&amp;ADDRESS(1000,COLUMN(I$9)+10))),
SUMIF(INDIRECT(Equipo!$D$4&amp;"!B10:B1000"),$B19,INDIRECT(Equipo!$D$4&amp;"!"&amp;ADDRESS(10,COLUMN(I$9)+10)&amp;":"&amp;ADDRESS(1000,COLUMN(I$9)+10))),
SUMIF(INDIRECT(Equipo!$E$4&amp;"!B10:B1000"),$B19,INDIRECT(Equipo!$E$4&amp;"!"&amp;ADDRESS(10,COLUMN(I$9)+10)&amp;":"&amp;ADDRESS(1000,COLUMN(I$9)+10))),
SUMIF(INDIRECT(Equipo!$F$4&amp;"!B10:B1000"),$B19,INDIRECT(Equipo!$F$4&amp;"!"&amp;ADDRESS(10,COLUMN(I$9)+10)&amp;":"&amp;ADDRESS(1000,COLUMN(I$9)+10))),
SUMIF(INDIRECT(Equipo!$G$4&amp;"!B10:B1000"),$B19,INDIRECT(Equipo!$G$4&amp;"!"&amp;ADDRESS(10,COLUMN(I$9)+10)&amp;":"&amp;ADDRESS(1000,COLUMN(I$9)+10)))
))</f>
        <v>0</v>
      </c>
      <c r="J19" s="19">
        <f t="array" ref="J19">IF(ISBLANK(Tareas!$B15),"-",
SUM(
SUMIF(INDIRECT(Equipo!$C$4&amp;"!B10:B1000"),$B19,INDIRECT(Equipo!$C$4&amp;"!"&amp;ADDRESS(10,COLUMN(J$9)+10)&amp;":"&amp;ADDRESS(1000,COLUMN(J$9)+10))),
SUMIF(INDIRECT(Equipo!$D$4&amp;"!B10:B1000"),$B19,INDIRECT(Equipo!$D$4&amp;"!"&amp;ADDRESS(10,COLUMN(J$9)+10)&amp;":"&amp;ADDRESS(1000,COLUMN(J$9)+10))),
SUMIF(INDIRECT(Equipo!$E$4&amp;"!B10:B1000"),$B19,INDIRECT(Equipo!$E$4&amp;"!"&amp;ADDRESS(10,COLUMN(J$9)+10)&amp;":"&amp;ADDRESS(1000,COLUMN(J$9)+10))),
SUMIF(INDIRECT(Equipo!$F$4&amp;"!B10:B1000"),$B19,INDIRECT(Equipo!$F$4&amp;"!"&amp;ADDRESS(10,COLUMN(J$9)+10)&amp;":"&amp;ADDRESS(1000,COLUMN(J$9)+10))),
SUMIF(INDIRECT(Equipo!$G$4&amp;"!B10:B1000"),$B19,INDIRECT(Equipo!$G$4&amp;"!"&amp;ADDRESS(10,COLUMN(J$9)+10)&amp;":"&amp;ADDRESS(1000,COLUMN(J$9)+10)))
))</f>
        <v>0</v>
      </c>
      <c r="K19" s="19">
        <f t="array" ref="K19">IF(ISBLANK(Tareas!$B15),"-",
SUM(
SUMIF(INDIRECT(Equipo!$C$4&amp;"!B10:B1000"),$B19,INDIRECT(Equipo!$C$4&amp;"!"&amp;ADDRESS(10,COLUMN(K$9)+10)&amp;":"&amp;ADDRESS(1000,COLUMN(K$9)+10))),
SUMIF(INDIRECT(Equipo!$D$4&amp;"!B10:B1000"),$B19,INDIRECT(Equipo!$D$4&amp;"!"&amp;ADDRESS(10,COLUMN(K$9)+10)&amp;":"&amp;ADDRESS(1000,COLUMN(K$9)+10))),
SUMIF(INDIRECT(Equipo!$E$4&amp;"!B10:B1000"),$B19,INDIRECT(Equipo!$E$4&amp;"!"&amp;ADDRESS(10,COLUMN(K$9)+10)&amp;":"&amp;ADDRESS(1000,COLUMN(K$9)+10))),
SUMIF(INDIRECT(Equipo!$F$4&amp;"!B10:B1000"),$B19,INDIRECT(Equipo!$F$4&amp;"!"&amp;ADDRESS(10,COLUMN(K$9)+10)&amp;":"&amp;ADDRESS(1000,COLUMN(K$9)+10))),
SUMIF(INDIRECT(Equipo!$G$4&amp;"!B10:B1000"),$B19,INDIRECT(Equipo!$G$4&amp;"!"&amp;ADDRESS(10,COLUMN(K$9)+10)&amp;":"&amp;ADDRESS(1000,COLUMN(K$9)+10)))
))</f>
        <v>0</v>
      </c>
    </row>
    <row r="20" ht="15.75" customHeight="1">
      <c r="B20" s="1" t="str">
        <f>IF(ISBLANK(Tareas!B16)," - ",Tareas!B16)</f>
        <v>11. Definición del plan para el ciclo de vida 1</v>
      </c>
      <c r="C20" s="19">
        <f>IF(ISBLANK(Tareas!$B16),"-",SUM(D20:M20))</f>
        <v>1.5</v>
      </c>
      <c r="D20" s="19">
        <f t="array" ref="D20">IF(ISBLANK(Tareas!$B16),"-",
SUM(
SUMIF(INDIRECT(Equipo!$C$4&amp;"!B10:B1000"),$B20,INDIRECT(Equipo!$C$4&amp;"!"&amp;ADDRESS(10,COLUMN(D$9)+10)&amp;":"&amp;ADDRESS(1000,COLUMN(D$9)+10))),
SUMIF(INDIRECT(Equipo!$D$4&amp;"!B10:B1000"),$B20,INDIRECT(Equipo!$D$4&amp;"!"&amp;ADDRESS(10,COLUMN(D$9)+10)&amp;":"&amp;ADDRESS(1000,COLUMN(D$9)+10))),
SUMIF(INDIRECT(Equipo!$E$4&amp;"!B10:B1000"),$B20,INDIRECT(Equipo!$E$4&amp;"!"&amp;ADDRESS(10,COLUMN(D$9)+10)&amp;":"&amp;ADDRESS(1000,COLUMN(D$9)+10))),
SUMIF(INDIRECT(Equipo!$F$4&amp;"!B10:B1000"),$B20,INDIRECT(Equipo!$F$4&amp;"!"&amp;ADDRESS(10,COLUMN(D$9)+10)&amp;":"&amp;ADDRESS(1000,COLUMN(D$9)+10))),
SUMIF(INDIRECT(Equipo!$G$4&amp;"!B10:B1000"),$B20,INDIRECT(Equipo!$G$4&amp;"!"&amp;ADDRESS(10,COLUMN(D$9)+10)&amp;":"&amp;ADDRESS(1000,COLUMN(D$9)+10)))
))</f>
        <v>0</v>
      </c>
      <c r="E20" s="19">
        <f t="array" ref="E20">IF(ISBLANK(Tareas!$B16),"-",
SUM(
SUMIF(INDIRECT(Equipo!$C$4&amp;"!B10:B1000"),$B20,INDIRECT(Equipo!$C$4&amp;"!"&amp;ADDRESS(10,COLUMN(E$9)+10)&amp;":"&amp;ADDRESS(1000,COLUMN(E$9)+10))),
SUMIF(INDIRECT(Equipo!$D$4&amp;"!B10:B1000"),$B20,INDIRECT(Equipo!$D$4&amp;"!"&amp;ADDRESS(10,COLUMN(E$9)+10)&amp;":"&amp;ADDRESS(1000,COLUMN(E$9)+10))),
SUMIF(INDIRECT(Equipo!$E$4&amp;"!B10:B1000"),$B20,INDIRECT(Equipo!$E$4&amp;"!"&amp;ADDRESS(10,COLUMN(E$9)+10)&amp;":"&amp;ADDRESS(1000,COLUMN(E$9)+10))),
SUMIF(INDIRECT(Equipo!$F$4&amp;"!B10:B1000"),$B20,INDIRECT(Equipo!$F$4&amp;"!"&amp;ADDRESS(10,COLUMN(E$9)+10)&amp;":"&amp;ADDRESS(1000,COLUMN(E$9)+10))),
SUMIF(INDIRECT(Equipo!$G$4&amp;"!B10:B1000"),$B20,INDIRECT(Equipo!$G$4&amp;"!"&amp;ADDRESS(10,COLUMN(E$9)+10)&amp;":"&amp;ADDRESS(1000,COLUMN(E$9)+10)))
))</f>
        <v>0</v>
      </c>
      <c r="F20" s="19">
        <f t="array" ref="F20">IF(ISBLANK(Tareas!$B16),"-",
SUM(
SUMIF(INDIRECT(Equipo!$C$4&amp;"!B10:B1000"),$B20,INDIRECT(Equipo!$C$4&amp;"!"&amp;ADDRESS(10,COLUMN(F$9)+10)&amp;":"&amp;ADDRESS(1000,COLUMN(F$9)+10))),
SUMIF(INDIRECT(Equipo!$D$4&amp;"!B10:B1000"),$B20,INDIRECT(Equipo!$D$4&amp;"!"&amp;ADDRESS(10,COLUMN(F$9)+10)&amp;":"&amp;ADDRESS(1000,COLUMN(F$9)+10))),
SUMIF(INDIRECT(Equipo!$E$4&amp;"!B10:B1000"),$B20,INDIRECT(Equipo!$E$4&amp;"!"&amp;ADDRESS(10,COLUMN(F$9)+10)&amp;":"&amp;ADDRESS(1000,COLUMN(F$9)+10))),
SUMIF(INDIRECT(Equipo!$F$4&amp;"!B10:B1000"),$B20,INDIRECT(Equipo!$F$4&amp;"!"&amp;ADDRESS(10,COLUMN(F$9)+10)&amp;":"&amp;ADDRESS(1000,COLUMN(F$9)+10))),
SUMIF(INDIRECT(Equipo!$G$4&amp;"!B10:B1000"),$B20,INDIRECT(Equipo!$G$4&amp;"!"&amp;ADDRESS(10,COLUMN(F$9)+10)&amp;":"&amp;ADDRESS(1000,COLUMN(F$9)+10)))
))</f>
        <v>1.5</v>
      </c>
      <c r="G20" s="19">
        <f t="array" ref="G20">IF(ISBLANK(Tareas!$B16),"-",
SUM(
SUMIF(INDIRECT(Equipo!$C$4&amp;"!B10:B1000"),$B20,INDIRECT(Equipo!$C$4&amp;"!"&amp;ADDRESS(10,COLUMN(G$9)+10)&amp;":"&amp;ADDRESS(1000,COLUMN(G$9)+10))),
SUMIF(INDIRECT(Equipo!$D$4&amp;"!B10:B1000"),$B20,INDIRECT(Equipo!$D$4&amp;"!"&amp;ADDRESS(10,COLUMN(G$9)+10)&amp;":"&amp;ADDRESS(1000,COLUMN(G$9)+10))),
SUMIF(INDIRECT(Equipo!$E$4&amp;"!B10:B1000"),$B20,INDIRECT(Equipo!$E$4&amp;"!"&amp;ADDRESS(10,COLUMN(G$9)+10)&amp;":"&amp;ADDRESS(1000,COLUMN(G$9)+10))),
SUMIF(INDIRECT(Equipo!$F$4&amp;"!B10:B1000"),$B20,INDIRECT(Equipo!$F$4&amp;"!"&amp;ADDRESS(10,COLUMN(G$9)+10)&amp;":"&amp;ADDRESS(1000,COLUMN(G$9)+10))),
SUMIF(INDIRECT(Equipo!$G$4&amp;"!B10:B1000"),$B20,INDIRECT(Equipo!$G$4&amp;"!"&amp;ADDRESS(10,COLUMN(G$9)+10)&amp;":"&amp;ADDRESS(1000,COLUMN(G$9)+10)))
))</f>
        <v>0</v>
      </c>
      <c r="H20" s="19">
        <f t="array" ref="H20">IF(ISBLANK(Tareas!$B16),"-",
SUM(
SUMIF(INDIRECT(Equipo!$C$4&amp;"!B10:B1000"),$B20,INDIRECT(Equipo!$C$4&amp;"!"&amp;ADDRESS(10,COLUMN(H$9)+10)&amp;":"&amp;ADDRESS(1000,COLUMN(H$9)+10))),
SUMIF(INDIRECT(Equipo!$D$4&amp;"!B10:B1000"),$B20,INDIRECT(Equipo!$D$4&amp;"!"&amp;ADDRESS(10,COLUMN(H$9)+10)&amp;":"&amp;ADDRESS(1000,COLUMN(H$9)+10))),
SUMIF(INDIRECT(Equipo!$E$4&amp;"!B10:B1000"),$B20,INDIRECT(Equipo!$E$4&amp;"!"&amp;ADDRESS(10,COLUMN(H$9)+10)&amp;":"&amp;ADDRESS(1000,COLUMN(H$9)+10))),
SUMIF(INDIRECT(Equipo!$F$4&amp;"!B10:B1000"),$B20,INDIRECT(Equipo!$F$4&amp;"!"&amp;ADDRESS(10,COLUMN(H$9)+10)&amp;":"&amp;ADDRESS(1000,COLUMN(H$9)+10))),
SUMIF(INDIRECT(Equipo!$G$4&amp;"!B10:B1000"),$B20,INDIRECT(Equipo!$G$4&amp;"!"&amp;ADDRESS(10,COLUMN(H$9)+10)&amp;":"&amp;ADDRESS(1000,COLUMN(H$9)+10)))
))</f>
        <v>0</v>
      </c>
      <c r="I20" s="19">
        <f t="array" ref="I20">IF(ISBLANK(Tareas!$B16),"-",
SUM(
SUMIF(INDIRECT(Equipo!$C$4&amp;"!B10:B1000"),$B20,INDIRECT(Equipo!$C$4&amp;"!"&amp;ADDRESS(10,COLUMN(I$9)+10)&amp;":"&amp;ADDRESS(1000,COLUMN(I$9)+10))),
SUMIF(INDIRECT(Equipo!$D$4&amp;"!B10:B1000"),$B20,INDIRECT(Equipo!$D$4&amp;"!"&amp;ADDRESS(10,COLUMN(I$9)+10)&amp;":"&amp;ADDRESS(1000,COLUMN(I$9)+10))),
SUMIF(INDIRECT(Equipo!$E$4&amp;"!B10:B1000"),$B20,INDIRECT(Equipo!$E$4&amp;"!"&amp;ADDRESS(10,COLUMN(I$9)+10)&amp;":"&amp;ADDRESS(1000,COLUMN(I$9)+10))),
SUMIF(INDIRECT(Equipo!$F$4&amp;"!B10:B1000"),$B20,INDIRECT(Equipo!$F$4&amp;"!"&amp;ADDRESS(10,COLUMN(I$9)+10)&amp;":"&amp;ADDRESS(1000,COLUMN(I$9)+10))),
SUMIF(INDIRECT(Equipo!$G$4&amp;"!B10:B1000"),$B20,INDIRECT(Equipo!$G$4&amp;"!"&amp;ADDRESS(10,COLUMN(I$9)+10)&amp;":"&amp;ADDRESS(1000,COLUMN(I$9)+10)))
))</f>
        <v>0</v>
      </c>
      <c r="J20" s="19">
        <f t="array" ref="J20">IF(ISBLANK(Tareas!$B16),"-",
SUM(
SUMIF(INDIRECT(Equipo!$C$4&amp;"!B10:B1000"),$B20,INDIRECT(Equipo!$C$4&amp;"!"&amp;ADDRESS(10,COLUMN(J$9)+10)&amp;":"&amp;ADDRESS(1000,COLUMN(J$9)+10))),
SUMIF(INDIRECT(Equipo!$D$4&amp;"!B10:B1000"),$B20,INDIRECT(Equipo!$D$4&amp;"!"&amp;ADDRESS(10,COLUMN(J$9)+10)&amp;":"&amp;ADDRESS(1000,COLUMN(J$9)+10))),
SUMIF(INDIRECT(Equipo!$E$4&amp;"!B10:B1000"),$B20,INDIRECT(Equipo!$E$4&amp;"!"&amp;ADDRESS(10,COLUMN(J$9)+10)&amp;":"&amp;ADDRESS(1000,COLUMN(J$9)+10))),
SUMIF(INDIRECT(Equipo!$F$4&amp;"!B10:B1000"),$B20,INDIRECT(Equipo!$F$4&amp;"!"&amp;ADDRESS(10,COLUMN(J$9)+10)&amp;":"&amp;ADDRESS(1000,COLUMN(J$9)+10))),
SUMIF(INDIRECT(Equipo!$G$4&amp;"!B10:B1000"),$B20,INDIRECT(Equipo!$G$4&amp;"!"&amp;ADDRESS(10,COLUMN(J$9)+10)&amp;":"&amp;ADDRESS(1000,COLUMN(J$9)+10)))
))</f>
        <v>0</v>
      </c>
      <c r="K20" s="19">
        <f t="array" ref="K20">IF(ISBLANK(Tareas!$B16),"-",
SUM(
SUMIF(INDIRECT(Equipo!$C$4&amp;"!B10:B1000"),$B20,INDIRECT(Equipo!$C$4&amp;"!"&amp;ADDRESS(10,COLUMN(K$9)+10)&amp;":"&amp;ADDRESS(1000,COLUMN(K$9)+10))),
SUMIF(INDIRECT(Equipo!$D$4&amp;"!B10:B1000"),$B20,INDIRECT(Equipo!$D$4&amp;"!"&amp;ADDRESS(10,COLUMN(K$9)+10)&amp;":"&amp;ADDRESS(1000,COLUMN(K$9)+10))),
SUMIF(INDIRECT(Equipo!$E$4&amp;"!B10:B1000"),$B20,INDIRECT(Equipo!$E$4&amp;"!"&amp;ADDRESS(10,COLUMN(K$9)+10)&amp;":"&amp;ADDRESS(1000,COLUMN(K$9)+10))),
SUMIF(INDIRECT(Equipo!$F$4&amp;"!B10:B1000"),$B20,INDIRECT(Equipo!$F$4&amp;"!"&amp;ADDRESS(10,COLUMN(K$9)+10)&amp;":"&amp;ADDRESS(1000,COLUMN(K$9)+10))),
SUMIF(INDIRECT(Equipo!$G$4&amp;"!B10:B1000"),$B20,INDIRECT(Equipo!$G$4&amp;"!"&amp;ADDRESS(10,COLUMN(K$9)+10)&amp;":"&amp;ADDRESS(1000,COLUMN(K$9)+10)))
))</f>
        <v>0</v>
      </c>
    </row>
    <row r="21" ht="15.75" customHeight="1">
      <c r="B21" s="1" t="str">
        <f>IF(ISBLANK(Tareas!B17)," - ",Tareas!B17)</f>
        <v>12. Definición de los casos de uso y el modelo E/R</v>
      </c>
      <c r="C21" s="19">
        <f>IF(ISBLANK(Tareas!$B17),"-",SUM(D21:M21))</f>
        <v>2</v>
      </c>
      <c r="D21" s="19">
        <f t="array" ref="D21">IF(ISBLANK(Tareas!$B17),"-",
SUM(
SUMIF(INDIRECT(Equipo!$C$4&amp;"!B10:B1000"),$B21,INDIRECT(Equipo!$C$4&amp;"!"&amp;ADDRESS(10,COLUMN(D$9)+10)&amp;":"&amp;ADDRESS(1000,COLUMN(D$9)+10))),
SUMIF(INDIRECT(Equipo!$D$4&amp;"!B10:B1000"),$B21,INDIRECT(Equipo!$D$4&amp;"!"&amp;ADDRESS(10,COLUMN(D$9)+10)&amp;":"&amp;ADDRESS(1000,COLUMN(D$9)+10))),
SUMIF(INDIRECT(Equipo!$E$4&amp;"!B10:B1000"),$B21,INDIRECT(Equipo!$E$4&amp;"!"&amp;ADDRESS(10,COLUMN(D$9)+10)&amp;":"&amp;ADDRESS(1000,COLUMN(D$9)+10))),
SUMIF(INDIRECT(Equipo!$F$4&amp;"!B10:B1000"),$B21,INDIRECT(Equipo!$F$4&amp;"!"&amp;ADDRESS(10,COLUMN(D$9)+10)&amp;":"&amp;ADDRESS(1000,COLUMN(D$9)+10))),
SUMIF(INDIRECT(Equipo!$G$4&amp;"!B10:B1000"),$B21,INDIRECT(Equipo!$G$4&amp;"!"&amp;ADDRESS(10,COLUMN(D$9)+10)&amp;":"&amp;ADDRESS(1000,COLUMN(D$9)+10)))
))</f>
        <v>0</v>
      </c>
      <c r="E21" s="19">
        <f t="array" ref="E21">IF(ISBLANK(Tareas!$B17),"-",
SUM(
SUMIF(INDIRECT(Equipo!$C$4&amp;"!B10:B1000"),$B21,INDIRECT(Equipo!$C$4&amp;"!"&amp;ADDRESS(10,COLUMN(E$9)+10)&amp;":"&amp;ADDRESS(1000,COLUMN(E$9)+10))),
SUMIF(INDIRECT(Equipo!$D$4&amp;"!B10:B1000"),$B21,INDIRECT(Equipo!$D$4&amp;"!"&amp;ADDRESS(10,COLUMN(E$9)+10)&amp;":"&amp;ADDRESS(1000,COLUMN(E$9)+10))),
SUMIF(INDIRECT(Equipo!$E$4&amp;"!B10:B1000"),$B21,INDIRECT(Equipo!$E$4&amp;"!"&amp;ADDRESS(10,COLUMN(E$9)+10)&amp;":"&amp;ADDRESS(1000,COLUMN(E$9)+10))),
SUMIF(INDIRECT(Equipo!$F$4&amp;"!B10:B1000"),$B21,INDIRECT(Equipo!$F$4&amp;"!"&amp;ADDRESS(10,COLUMN(E$9)+10)&amp;":"&amp;ADDRESS(1000,COLUMN(E$9)+10))),
SUMIF(INDIRECT(Equipo!$G$4&amp;"!B10:B1000"),$B21,INDIRECT(Equipo!$G$4&amp;"!"&amp;ADDRESS(10,COLUMN(E$9)+10)&amp;":"&amp;ADDRESS(1000,COLUMN(E$9)+10)))
))</f>
        <v>0</v>
      </c>
      <c r="F21" s="19">
        <f t="array" ref="F21">IF(ISBLANK(Tareas!$B17),"-",
SUM(
SUMIF(INDIRECT(Equipo!$C$4&amp;"!B10:B1000"),$B21,INDIRECT(Equipo!$C$4&amp;"!"&amp;ADDRESS(10,COLUMN(F$9)+10)&amp;":"&amp;ADDRESS(1000,COLUMN(F$9)+10))),
SUMIF(INDIRECT(Equipo!$D$4&amp;"!B10:B1000"),$B21,INDIRECT(Equipo!$D$4&amp;"!"&amp;ADDRESS(10,COLUMN(F$9)+10)&amp;":"&amp;ADDRESS(1000,COLUMN(F$9)+10))),
SUMIF(INDIRECT(Equipo!$E$4&amp;"!B10:B1000"),$B21,INDIRECT(Equipo!$E$4&amp;"!"&amp;ADDRESS(10,COLUMN(F$9)+10)&amp;":"&amp;ADDRESS(1000,COLUMN(F$9)+10))),
SUMIF(INDIRECT(Equipo!$F$4&amp;"!B10:B1000"),$B21,INDIRECT(Equipo!$F$4&amp;"!"&amp;ADDRESS(10,COLUMN(F$9)+10)&amp;":"&amp;ADDRESS(1000,COLUMN(F$9)+10))),
SUMIF(INDIRECT(Equipo!$G$4&amp;"!B10:B1000"),$B21,INDIRECT(Equipo!$G$4&amp;"!"&amp;ADDRESS(10,COLUMN(F$9)+10)&amp;":"&amp;ADDRESS(1000,COLUMN(F$9)+10)))
))</f>
        <v>2</v>
      </c>
      <c r="G21" s="19">
        <f t="array" ref="G21">IF(ISBLANK(Tareas!$B17),"-",
SUM(
SUMIF(INDIRECT(Equipo!$C$4&amp;"!B10:B1000"),$B21,INDIRECT(Equipo!$C$4&amp;"!"&amp;ADDRESS(10,COLUMN(G$9)+10)&amp;":"&amp;ADDRESS(1000,COLUMN(G$9)+10))),
SUMIF(INDIRECT(Equipo!$D$4&amp;"!B10:B1000"),$B21,INDIRECT(Equipo!$D$4&amp;"!"&amp;ADDRESS(10,COLUMN(G$9)+10)&amp;":"&amp;ADDRESS(1000,COLUMN(G$9)+10))),
SUMIF(INDIRECT(Equipo!$E$4&amp;"!B10:B1000"),$B21,INDIRECT(Equipo!$E$4&amp;"!"&amp;ADDRESS(10,COLUMN(G$9)+10)&amp;":"&amp;ADDRESS(1000,COLUMN(G$9)+10))),
SUMIF(INDIRECT(Equipo!$F$4&amp;"!B10:B1000"),$B21,INDIRECT(Equipo!$F$4&amp;"!"&amp;ADDRESS(10,COLUMN(G$9)+10)&amp;":"&amp;ADDRESS(1000,COLUMN(G$9)+10))),
SUMIF(INDIRECT(Equipo!$G$4&amp;"!B10:B1000"),$B21,INDIRECT(Equipo!$G$4&amp;"!"&amp;ADDRESS(10,COLUMN(G$9)+10)&amp;":"&amp;ADDRESS(1000,COLUMN(G$9)+10)))
))</f>
        <v>0</v>
      </c>
      <c r="H21" s="19">
        <f t="array" ref="H21">IF(ISBLANK(Tareas!$B17),"-",
SUM(
SUMIF(INDIRECT(Equipo!$C$4&amp;"!B10:B1000"),$B21,INDIRECT(Equipo!$C$4&amp;"!"&amp;ADDRESS(10,COLUMN(H$9)+10)&amp;":"&amp;ADDRESS(1000,COLUMN(H$9)+10))),
SUMIF(INDIRECT(Equipo!$D$4&amp;"!B10:B1000"),$B21,INDIRECT(Equipo!$D$4&amp;"!"&amp;ADDRESS(10,COLUMN(H$9)+10)&amp;":"&amp;ADDRESS(1000,COLUMN(H$9)+10))),
SUMIF(INDIRECT(Equipo!$E$4&amp;"!B10:B1000"),$B21,INDIRECT(Equipo!$E$4&amp;"!"&amp;ADDRESS(10,COLUMN(H$9)+10)&amp;":"&amp;ADDRESS(1000,COLUMN(H$9)+10))),
SUMIF(INDIRECT(Equipo!$F$4&amp;"!B10:B1000"),$B21,INDIRECT(Equipo!$F$4&amp;"!"&amp;ADDRESS(10,COLUMN(H$9)+10)&amp;":"&amp;ADDRESS(1000,COLUMN(H$9)+10))),
SUMIF(INDIRECT(Equipo!$G$4&amp;"!B10:B1000"),$B21,INDIRECT(Equipo!$G$4&amp;"!"&amp;ADDRESS(10,COLUMN(H$9)+10)&amp;":"&amp;ADDRESS(1000,COLUMN(H$9)+10)))
))</f>
        <v>0</v>
      </c>
      <c r="I21" s="19">
        <f t="array" ref="I21">IF(ISBLANK(Tareas!$B17),"-",
SUM(
SUMIF(INDIRECT(Equipo!$C$4&amp;"!B10:B1000"),$B21,INDIRECT(Equipo!$C$4&amp;"!"&amp;ADDRESS(10,COLUMN(I$9)+10)&amp;":"&amp;ADDRESS(1000,COLUMN(I$9)+10))),
SUMIF(INDIRECT(Equipo!$D$4&amp;"!B10:B1000"),$B21,INDIRECT(Equipo!$D$4&amp;"!"&amp;ADDRESS(10,COLUMN(I$9)+10)&amp;":"&amp;ADDRESS(1000,COLUMN(I$9)+10))),
SUMIF(INDIRECT(Equipo!$E$4&amp;"!B10:B1000"),$B21,INDIRECT(Equipo!$E$4&amp;"!"&amp;ADDRESS(10,COLUMN(I$9)+10)&amp;":"&amp;ADDRESS(1000,COLUMN(I$9)+10))),
SUMIF(INDIRECT(Equipo!$F$4&amp;"!B10:B1000"),$B21,INDIRECT(Equipo!$F$4&amp;"!"&amp;ADDRESS(10,COLUMN(I$9)+10)&amp;":"&amp;ADDRESS(1000,COLUMN(I$9)+10))),
SUMIF(INDIRECT(Equipo!$G$4&amp;"!B10:B1000"),$B21,INDIRECT(Equipo!$G$4&amp;"!"&amp;ADDRESS(10,COLUMN(I$9)+10)&amp;":"&amp;ADDRESS(1000,COLUMN(I$9)+10)))
))</f>
        <v>0</v>
      </c>
      <c r="J21" s="19">
        <f t="array" ref="J21">IF(ISBLANK(Tareas!$B17),"-",
SUM(
SUMIF(INDIRECT(Equipo!$C$4&amp;"!B10:B1000"),$B21,INDIRECT(Equipo!$C$4&amp;"!"&amp;ADDRESS(10,COLUMN(J$9)+10)&amp;":"&amp;ADDRESS(1000,COLUMN(J$9)+10))),
SUMIF(INDIRECT(Equipo!$D$4&amp;"!B10:B1000"),$B21,INDIRECT(Equipo!$D$4&amp;"!"&amp;ADDRESS(10,COLUMN(J$9)+10)&amp;":"&amp;ADDRESS(1000,COLUMN(J$9)+10))),
SUMIF(INDIRECT(Equipo!$E$4&amp;"!B10:B1000"),$B21,INDIRECT(Equipo!$E$4&amp;"!"&amp;ADDRESS(10,COLUMN(J$9)+10)&amp;":"&amp;ADDRESS(1000,COLUMN(J$9)+10))),
SUMIF(INDIRECT(Equipo!$F$4&amp;"!B10:B1000"),$B21,INDIRECT(Equipo!$F$4&amp;"!"&amp;ADDRESS(10,COLUMN(J$9)+10)&amp;":"&amp;ADDRESS(1000,COLUMN(J$9)+10))),
SUMIF(INDIRECT(Equipo!$G$4&amp;"!B10:B1000"),$B21,INDIRECT(Equipo!$G$4&amp;"!"&amp;ADDRESS(10,COLUMN(J$9)+10)&amp;":"&amp;ADDRESS(1000,COLUMN(J$9)+10)))
))</f>
        <v>0</v>
      </c>
      <c r="K21" s="19">
        <f t="array" ref="K21">IF(ISBLANK(Tareas!$B17),"-",
SUM(
SUMIF(INDIRECT(Equipo!$C$4&amp;"!B10:B1000"),$B21,INDIRECT(Equipo!$C$4&amp;"!"&amp;ADDRESS(10,COLUMN(K$9)+10)&amp;":"&amp;ADDRESS(1000,COLUMN(K$9)+10))),
SUMIF(INDIRECT(Equipo!$D$4&amp;"!B10:B1000"),$B21,INDIRECT(Equipo!$D$4&amp;"!"&amp;ADDRESS(10,COLUMN(K$9)+10)&amp;":"&amp;ADDRESS(1000,COLUMN(K$9)+10))),
SUMIF(INDIRECT(Equipo!$E$4&amp;"!B10:B1000"),$B21,INDIRECT(Equipo!$E$4&amp;"!"&amp;ADDRESS(10,COLUMN(K$9)+10)&amp;":"&amp;ADDRESS(1000,COLUMN(K$9)+10))),
SUMIF(INDIRECT(Equipo!$F$4&amp;"!B10:B1000"),$B21,INDIRECT(Equipo!$F$4&amp;"!"&amp;ADDRESS(10,COLUMN(K$9)+10)&amp;":"&amp;ADDRESS(1000,COLUMN(K$9)+10))),
SUMIF(INDIRECT(Equipo!$G$4&amp;"!B10:B1000"),$B21,INDIRECT(Equipo!$G$4&amp;"!"&amp;ADDRESS(10,COLUMN(K$9)+10)&amp;":"&amp;ADDRESS(1000,COLUMN(K$9)+10)))
))</f>
        <v>0</v>
      </c>
    </row>
    <row r="22" ht="15.75" customHeight="1">
      <c r="B22" s="1" t="str">
        <f>IF(ISBLANK(Tareas!B18)," - ",Tareas!B18)</f>
        <v>13. Definición del plan de calidad (PCAL)</v>
      </c>
      <c r="C22" s="19">
        <f>IF(ISBLANK(Tareas!$B18),"-",SUM(D22:M22))</f>
        <v>2</v>
      </c>
      <c r="D22" s="19">
        <f t="array" ref="D22">IF(ISBLANK(Tareas!$B18),"-",
SUM(
SUMIF(INDIRECT(Equipo!$C$4&amp;"!B10:B1000"),$B22,INDIRECT(Equipo!$C$4&amp;"!"&amp;ADDRESS(10,COLUMN(D$9)+10)&amp;":"&amp;ADDRESS(1000,COLUMN(D$9)+10))),
SUMIF(INDIRECT(Equipo!$D$4&amp;"!B10:B1000"),$B22,INDIRECT(Equipo!$D$4&amp;"!"&amp;ADDRESS(10,COLUMN(D$9)+10)&amp;":"&amp;ADDRESS(1000,COLUMN(D$9)+10))),
SUMIF(INDIRECT(Equipo!$E$4&amp;"!B10:B1000"),$B22,INDIRECT(Equipo!$E$4&amp;"!"&amp;ADDRESS(10,COLUMN(D$9)+10)&amp;":"&amp;ADDRESS(1000,COLUMN(D$9)+10))),
SUMIF(INDIRECT(Equipo!$F$4&amp;"!B10:B1000"),$B22,INDIRECT(Equipo!$F$4&amp;"!"&amp;ADDRESS(10,COLUMN(D$9)+10)&amp;":"&amp;ADDRESS(1000,COLUMN(D$9)+10))),
SUMIF(INDIRECT(Equipo!$G$4&amp;"!B10:B1000"),$B22,INDIRECT(Equipo!$G$4&amp;"!"&amp;ADDRESS(10,COLUMN(D$9)+10)&amp;":"&amp;ADDRESS(1000,COLUMN(D$9)+10)))
))</f>
        <v>0</v>
      </c>
      <c r="E22" s="19">
        <f t="array" ref="E22">IF(ISBLANK(Tareas!$B18),"-",
SUM(
SUMIF(INDIRECT(Equipo!$C$4&amp;"!B10:B1000"),$B22,INDIRECT(Equipo!$C$4&amp;"!"&amp;ADDRESS(10,COLUMN(E$9)+10)&amp;":"&amp;ADDRESS(1000,COLUMN(E$9)+10))),
SUMIF(INDIRECT(Equipo!$D$4&amp;"!B10:B1000"),$B22,INDIRECT(Equipo!$D$4&amp;"!"&amp;ADDRESS(10,COLUMN(E$9)+10)&amp;":"&amp;ADDRESS(1000,COLUMN(E$9)+10))),
SUMIF(INDIRECT(Equipo!$E$4&amp;"!B10:B1000"),$B22,INDIRECT(Equipo!$E$4&amp;"!"&amp;ADDRESS(10,COLUMN(E$9)+10)&amp;":"&amp;ADDRESS(1000,COLUMN(E$9)+10))),
SUMIF(INDIRECT(Equipo!$F$4&amp;"!B10:B1000"),$B22,INDIRECT(Equipo!$F$4&amp;"!"&amp;ADDRESS(10,COLUMN(E$9)+10)&amp;":"&amp;ADDRESS(1000,COLUMN(E$9)+10))),
SUMIF(INDIRECT(Equipo!$G$4&amp;"!B10:B1000"),$B22,INDIRECT(Equipo!$G$4&amp;"!"&amp;ADDRESS(10,COLUMN(E$9)+10)&amp;":"&amp;ADDRESS(1000,COLUMN(E$9)+10)))
))</f>
        <v>0</v>
      </c>
      <c r="F22" s="19">
        <f t="array" ref="F22">IF(ISBLANK(Tareas!$B18),"-",
SUM(
SUMIF(INDIRECT(Equipo!$C$4&amp;"!B10:B1000"),$B22,INDIRECT(Equipo!$C$4&amp;"!"&amp;ADDRESS(10,COLUMN(F$9)+10)&amp;":"&amp;ADDRESS(1000,COLUMN(F$9)+10))),
SUMIF(INDIRECT(Equipo!$D$4&amp;"!B10:B1000"),$B22,INDIRECT(Equipo!$D$4&amp;"!"&amp;ADDRESS(10,COLUMN(F$9)+10)&amp;":"&amp;ADDRESS(1000,COLUMN(F$9)+10))),
SUMIF(INDIRECT(Equipo!$E$4&amp;"!B10:B1000"),$B22,INDIRECT(Equipo!$E$4&amp;"!"&amp;ADDRESS(10,COLUMN(F$9)+10)&amp;":"&amp;ADDRESS(1000,COLUMN(F$9)+10))),
SUMIF(INDIRECT(Equipo!$F$4&amp;"!B10:B1000"),$B22,INDIRECT(Equipo!$F$4&amp;"!"&amp;ADDRESS(10,COLUMN(F$9)+10)&amp;":"&amp;ADDRESS(1000,COLUMN(F$9)+10))),
SUMIF(INDIRECT(Equipo!$G$4&amp;"!B10:B1000"),$B22,INDIRECT(Equipo!$G$4&amp;"!"&amp;ADDRESS(10,COLUMN(F$9)+10)&amp;":"&amp;ADDRESS(1000,COLUMN(F$9)+10)))
))</f>
        <v>2</v>
      </c>
      <c r="G22" s="19">
        <f t="array" ref="G22">IF(ISBLANK(Tareas!$B18),"-",
SUM(
SUMIF(INDIRECT(Equipo!$C$4&amp;"!B10:B1000"),$B22,INDIRECT(Equipo!$C$4&amp;"!"&amp;ADDRESS(10,COLUMN(G$9)+10)&amp;":"&amp;ADDRESS(1000,COLUMN(G$9)+10))),
SUMIF(INDIRECT(Equipo!$D$4&amp;"!B10:B1000"),$B22,INDIRECT(Equipo!$D$4&amp;"!"&amp;ADDRESS(10,COLUMN(G$9)+10)&amp;":"&amp;ADDRESS(1000,COLUMN(G$9)+10))),
SUMIF(INDIRECT(Equipo!$E$4&amp;"!B10:B1000"),$B22,INDIRECT(Equipo!$E$4&amp;"!"&amp;ADDRESS(10,COLUMN(G$9)+10)&amp;":"&amp;ADDRESS(1000,COLUMN(G$9)+10))),
SUMIF(INDIRECT(Equipo!$F$4&amp;"!B10:B1000"),$B22,INDIRECT(Equipo!$F$4&amp;"!"&amp;ADDRESS(10,COLUMN(G$9)+10)&amp;":"&amp;ADDRESS(1000,COLUMN(G$9)+10))),
SUMIF(INDIRECT(Equipo!$G$4&amp;"!B10:B1000"),$B22,INDIRECT(Equipo!$G$4&amp;"!"&amp;ADDRESS(10,COLUMN(G$9)+10)&amp;":"&amp;ADDRESS(1000,COLUMN(G$9)+10)))
))</f>
        <v>0</v>
      </c>
      <c r="H22" s="19">
        <f t="array" ref="H22">IF(ISBLANK(Tareas!$B18),"-",
SUM(
SUMIF(INDIRECT(Equipo!$C$4&amp;"!B10:B1000"),$B22,INDIRECT(Equipo!$C$4&amp;"!"&amp;ADDRESS(10,COLUMN(H$9)+10)&amp;":"&amp;ADDRESS(1000,COLUMN(H$9)+10))),
SUMIF(INDIRECT(Equipo!$D$4&amp;"!B10:B1000"),$B22,INDIRECT(Equipo!$D$4&amp;"!"&amp;ADDRESS(10,COLUMN(H$9)+10)&amp;":"&amp;ADDRESS(1000,COLUMN(H$9)+10))),
SUMIF(INDIRECT(Equipo!$E$4&amp;"!B10:B1000"),$B22,INDIRECT(Equipo!$E$4&amp;"!"&amp;ADDRESS(10,COLUMN(H$9)+10)&amp;":"&amp;ADDRESS(1000,COLUMN(H$9)+10))),
SUMIF(INDIRECT(Equipo!$F$4&amp;"!B10:B1000"),$B22,INDIRECT(Equipo!$F$4&amp;"!"&amp;ADDRESS(10,COLUMN(H$9)+10)&amp;":"&amp;ADDRESS(1000,COLUMN(H$9)+10))),
SUMIF(INDIRECT(Equipo!$G$4&amp;"!B10:B1000"),$B22,INDIRECT(Equipo!$G$4&amp;"!"&amp;ADDRESS(10,COLUMN(H$9)+10)&amp;":"&amp;ADDRESS(1000,COLUMN(H$9)+10)))
))</f>
        <v>0</v>
      </c>
      <c r="I22" s="19">
        <f t="array" ref="I22">IF(ISBLANK(Tareas!$B18),"-",
SUM(
SUMIF(INDIRECT(Equipo!$C$4&amp;"!B10:B1000"),$B22,INDIRECT(Equipo!$C$4&amp;"!"&amp;ADDRESS(10,COLUMN(I$9)+10)&amp;":"&amp;ADDRESS(1000,COLUMN(I$9)+10))),
SUMIF(INDIRECT(Equipo!$D$4&amp;"!B10:B1000"),$B22,INDIRECT(Equipo!$D$4&amp;"!"&amp;ADDRESS(10,COLUMN(I$9)+10)&amp;":"&amp;ADDRESS(1000,COLUMN(I$9)+10))),
SUMIF(INDIRECT(Equipo!$E$4&amp;"!B10:B1000"),$B22,INDIRECT(Equipo!$E$4&amp;"!"&amp;ADDRESS(10,COLUMN(I$9)+10)&amp;":"&amp;ADDRESS(1000,COLUMN(I$9)+10))),
SUMIF(INDIRECT(Equipo!$F$4&amp;"!B10:B1000"),$B22,INDIRECT(Equipo!$F$4&amp;"!"&amp;ADDRESS(10,COLUMN(I$9)+10)&amp;":"&amp;ADDRESS(1000,COLUMN(I$9)+10))),
SUMIF(INDIRECT(Equipo!$G$4&amp;"!B10:B1000"),$B22,INDIRECT(Equipo!$G$4&amp;"!"&amp;ADDRESS(10,COLUMN(I$9)+10)&amp;":"&amp;ADDRESS(1000,COLUMN(I$9)+10)))
))</f>
        <v>0</v>
      </c>
      <c r="J22" s="19">
        <f t="array" ref="J22">IF(ISBLANK(Tareas!$B18),"-",
SUM(
SUMIF(INDIRECT(Equipo!$C$4&amp;"!B10:B1000"),$B22,INDIRECT(Equipo!$C$4&amp;"!"&amp;ADDRESS(10,COLUMN(J$9)+10)&amp;":"&amp;ADDRESS(1000,COLUMN(J$9)+10))),
SUMIF(INDIRECT(Equipo!$D$4&amp;"!B10:B1000"),$B22,INDIRECT(Equipo!$D$4&amp;"!"&amp;ADDRESS(10,COLUMN(J$9)+10)&amp;":"&amp;ADDRESS(1000,COLUMN(J$9)+10))),
SUMIF(INDIRECT(Equipo!$E$4&amp;"!B10:B1000"),$B22,INDIRECT(Equipo!$E$4&amp;"!"&amp;ADDRESS(10,COLUMN(J$9)+10)&amp;":"&amp;ADDRESS(1000,COLUMN(J$9)+10))),
SUMIF(INDIRECT(Equipo!$F$4&amp;"!B10:B1000"),$B22,INDIRECT(Equipo!$F$4&amp;"!"&amp;ADDRESS(10,COLUMN(J$9)+10)&amp;":"&amp;ADDRESS(1000,COLUMN(J$9)+10))),
SUMIF(INDIRECT(Equipo!$G$4&amp;"!B10:B1000"),$B22,INDIRECT(Equipo!$G$4&amp;"!"&amp;ADDRESS(10,COLUMN(J$9)+10)&amp;":"&amp;ADDRESS(1000,COLUMN(J$9)+10)))
))</f>
        <v>0</v>
      </c>
      <c r="K22" s="19">
        <f t="array" ref="K22">IF(ISBLANK(Tareas!$B18),"-",
SUM(
SUMIF(INDIRECT(Equipo!$C$4&amp;"!B10:B1000"),$B22,INDIRECT(Equipo!$C$4&amp;"!"&amp;ADDRESS(10,COLUMN(K$9)+10)&amp;":"&amp;ADDRESS(1000,COLUMN(K$9)+10))),
SUMIF(INDIRECT(Equipo!$D$4&amp;"!B10:B1000"),$B22,INDIRECT(Equipo!$D$4&amp;"!"&amp;ADDRESS(10,COLUMN(K$9)+10)&amp;":"&amp;ADDRESS(1000,COLUMN(K$9)+10))),
SUMIF(INDIRECT(Equipo!$E$4&amp;"!B10:B1000"),$B22,INDIRECT(Equipo!$E$4&amp;"!"&amp;ADDRESS(10,COLUMN(K$9)+10)&amp;":"&amp;ADDRESS(1000,COLUMN(K$9)+10))),
SUMIF(INDIRECT(Equipo!$F$4&amp;"!B10:B1000"),$B22,INDIRECT(Equipo!$F$4&amp;"!"&amp;ADDRESS(10,COLUMN(K$9)+10)&amp;":"&amp;ADDRESS(1000,COLUMN(K$9)+10))),
SUMIF(INDIRECT(Equipo!$G$4&amp;"!B10:B1000"),$B22,INDIRECT(Equipo!$G$4&amp;"!"&amp;ADDRESS(10,COLUMN(K$9)+10)&amp;":"&amp;ADDRESS(1000,COLUMN(K$9)+10)))
))</f>
        <v>0</v>
      </c>
    </row>
    <row r="23" ht="15.75" customHeight="1">
      <c r="B23" s="1" t="str">
        <f>IF(ISBLANK(Tareas!B19)," - ",Tareas!B19)</f>
        <v>14. Cálculo de los puntos de función</v>
      </c>
      <c r="C23" s="19">
        <f>IF(ISBLANK(Tareas!$B19),"-",SUM(D23:M23))</f>
        <v>1</v>
      </c>
      <c r="D23" s="19">
        <f t="array" ref="D23">IF(ISBLANK(Tareas!$B19),"-",
SUM(
SUMIF(INDIRECT(Equipo!$C$4&amp;"!B10:B1000"),$B23,INDIRECT(Equipo!$C$4&amp;"!"&amp;ADDRESS(10,COLUMN(D$9)+10)&amp;":"&amp;ADDRESS(1000,COLUMN(D$9)+10))),
SUMIF(INDIRECT(Equipo!$D$4&amp;"!B10:B1000"),$B23,INDIRECT(Equipo!$D$4&amp;"!"&amp;ADDRESS(10,COLUMN(D$9)+10)&amp;":"&amp;ADDRESS(1000,COLUMN(D$9)+10))),
SUMIF(INDIRECT(Equipo!$E$4&amp;"!B10:B1000"),$B23,INDIRECT(Equipo!$E$4&amp;"!"&amp;ADDRESS(10,COLUMN(D$9)+10)&amp;":"&amp;ADDRESS(1000,COLUMN(D$9)+10))),
SUMIF(INDIRECT(Equipo!$F$4&amp;"!B10:B1000"),$B23,INDIRECT(Equipo!$F$4&amp;"!"&amp;ADDRESS(10,COLUMN(D$9)+10)&amp;":"&amp;ADDRESS(1000,COLUMN(D$9)+10))),
SUMIF(INDIRECT(Equipo!$G$4&amp;"!B10:B1000"),$B23,INDIRECT(Equipo!$G$4&amp;"!"&amp;ADDRESS(10,COLUMN(D$9)+10)&amp;":"&amp;ADDRESS(1000,COLUMN(D$9)+10)))
))</f>
        <v>0</v>
      </c>
      <c r="E23" s="19">
        <f t="array" ref="E23">IF(ISBLANK(Tareas!$B19),"-",
SUM(
SUMIF(INDIRECT(Equipo!$C$4&amp;"!B10:B1000"),$B23,INDIRECT(Equipo!$C$4&amp;"!"&amp;ADDRESS(10,COLUMN(E$9)+10)&amp;":"&amp;ADDRESS(1000,COLUMN(E$9)+10))),
SUMIF(INDIRECT(Equipo!$D$4&amp;"!B10:B1000"),$B23,INDIRECT(Equipo!$D$4&amp;"!"&amp;ADDRESS(10,COLUMN(E$9)+10)&amp;":"&amp;ADDRESS(1000,COLUMN(E$9)+10))),
SUMIF(INDIRECT(Equipo!$E$4&amp;"!B10:B1000"),$B23,INDIRECT(Equipo!$E$4&amp;"!"&amp;ADDRESS(10,COLUMN(E$9)+10)&amp;":"&amp;ADDRESS(1000,COLUMN(E$9)+10))),
SUMIF(INDIRECT(Equipo!$F$4&amp;"!B10:B1000"),$B23,INDIRECT(Equipo!$F$4&amp;"!"&amp;ADDRESS(10,COLUMN(E$9)+10)&amp;":"&amp;ADDRESS(1000,COLUMN(E$9)+10))),
SUMIF(INDIRECT(Equipo!$G$4&amp;"!B10:B1000"),$B23,INDIRECT(Equipo!$G$4&amp;"!"&amp;ADDRESS(10,COLUMN(E$9)+10)&amp;":"&amp;ADDRESS(1000,COLUMN(E$9)+10)))
))</f>
        <v>0</v>
      </c>
      <c r="F23" s="19">
        <f t="array" ref="F23">IF(ISBLANK(Tareas!$B19),"-",
SUM(
SUMIF(INDIRECT(Equipo!$C$4&amp;"!B10:B1000"),$B23,INDIRECT(Equipo!$C$4&amp;"!"&amp;ADDRESS(10,COLUMN(F$9)+10)&amp;":"&amp;ADDRESS(1000,COLUMN(F$9)+10))),
SUMIF(INDIRECT(Equipo!$D$4&amp;"!B10:B1000"),$B23,INDIRECT(Equipo!$D$4&amp;"!"&amp;ADDRESS(10,COLUMN(F$9)+10)&amp;":"&amp;ADDRESS(1000,COLUMN(F$9)+10))),
SUMIF(INDIRECT(Equipo!$E$4&amp;"!B10:B1000"),$B23,INDIRECT(Equipo!$E$4&amp;"!"&amp;ADDRESS(10,COLUMN(F$9)+10)&amp;":"&amp;ADDRESS(1000,COLUMN(F$9)+10))),
SUMIF(INDIRECT(Equipo!$F$4&amp;"!B10:B1000"),$B23,INDIRECT(Equipo!$F$4&amp;"!"&amp;ADDRESS(10,COLUMN(F$9)+10)&amp;":"&amp;ADDRESS(1000,COLUMN(F$9)+10))),
SUMIF(INDIRECT(Equipo!$G$4&amp;"!B10:B1000"),$B23,INDIRECT(Equipo!$G$4&amp;"!"&amp;ADDRESS(10,COLUMN(F$9)+10)&amp;":"&amp;ADDRESS(1000,COLUMN(F$9)+10)))
))</f>
        <v>1</v>
      </c>
      <c r="G23" s="19">
        <f t="array" ref="G23">IF(ISBLANK(Tareas!$B19),"-",
SUM(
SUMIF(INDIRECT(Equipo!$C$4&amp;"!B10:B1000"),$B23,INDIRECT(Equipo!$C$4&amp;"!"&amp;ADDRESS(10,COLUMN(G$9)+10)&amp;":"&amp;ADDRESS(1000,COLUMN(G$9)+10))),
SUMIF(INDIRECT(Equipo!$D$4&amp;"!B10:B1000"),$B23,INDIRECT(Equipo!$D$4&amp;"!"&amp;ADDRESS(10,COLUMN(G$9)+10)&amp;":"&amp;ADDRESS(1000,COLUMN(G$9)+10))),
SUMIF(INDIRECT(Equipo!$E$4&amp;"!B10:B1000"),$B23,INDIRECT(Equipo!$E$4&amp;"!"&amp;ADDRESS(10,COLUMN(G$9)+10)&amp;":"&amp;ADDRESS(1000,COLUMN(G$9)+10))),
SUMIF(INDIRECT(Equipo!$F$4&amp;"!B10:B1000"),$B23,INDIRECT(Equipo!$F$4&amp;"!"&amp;ADDRESS(10,COLUMN(G$9)+10)&amp;":"&amp;ADDRESS(1000,COLUMN(G$9)+10))),
SUMIF(INDIRECT(Equipo!$G$4&amp;"!B10:B1000"),$B23,INDIRECT(Equipo!$G$4&amp;"!"&amp;ADDRESS(10,COLUMN(G$9)+10)&amp;":"&amp;ADDRESS(1000,COLUMN(G$9)+10)))
))</f>
        <v>0</v>
      </c>
      <c r="H23" s="19">
        <f t="array" ref="H23">IF(ISBLANK(Tareas!$B19),"-",
SUM(
SUMIF(INDIRECT(Equipo!$C$4&amp;"!B10:B1000"),$B23,INDIRECT(Equipo!$C$4&amp;"!"&amp;ADDRESS(10,COLUMN(H$9)+10)&amp;":"&amp;ADDRESS(1000,COLUMN(H$9)+10))),
SUMIF(INDIRECT(Equipo!$D$4&amp;"!B10:B1000"),$B23,INDIRECT(Equipo!$D$4&amp;"!"&amp;ADDRESS(10,COLUMN(H$9)+10)&amp;":"&amp;ADDRESS(1000,COLUMN(H$9)+10))),
SUMIF(INDIRECT(Equipo!$E$4&amp;"!B10:B1000"),$B23,INDIRECT(Equipo!$E$4&amp;"!"&amp;ADDRESS(10,COLUMN(H$9)+10)&amp;":"&amp;ADDRESS(1000,COLUMN(H$9)+10))),
SUMIF(INDIRECT(Equipo!$F$4&amp;"!B10:B1000"),$B23,INDIRECT(Equipo!$F$4&amp;"!"&amp;ADDRESS(10,COLUMN(H$9)+10)&amp;":"&amp;ADDRESS(1000,COLUMN(H$9)+10))),
SUMIF(INDIRECT(Equipo!$G$4&amp;"!B10:B1000"),$B23,INDIRECT(Equipo!$G$4&amp;"!"&amp;ADDRESS(10,COLUMN(H$9)+10)&amp;":"&amp;ADDRESS(1000,COLUMN(H$9)+10)))
))</f>
        <v>0</v>
      </c>
      <c r="I23" s="19">
        <f t="array" ref="I23">IF(ISBLANK(Tareas!$B19),"-",
SUM(
SUMIF(INDIRECT(Equipo!$C$4&amp;"!B10:B1000"),$B23,INDIRECT(Equipo!$C$4&amp;"!"&amp;ADDRESS(10,COLUMN(I$9)+10)&amp;":"&amp;ADDRESS(1000,COLUMN(I$9)+10))),
SUMIF(INDIRECT(Equipo!$D$4&amp;"!B10:B1000"),$B23,INDIRECT(Equipo!$D$4&amp;"!"&amp;ADDRESS(10,COLUMN(I$9)+10)&amp;":"&amp;ADDRESS(1000,COLUMN(I$9)+10))),
SUMIF(INDIRECT(Equipo!$E$4&amp;"!B10:B1000"),$B23,INDIRECT(Equipo!$E$4&amp;"!"&amp;ADDRESS(10,COLUMN(I$9)+10)&amp;":"&amp;ADDRESS(1000,COLUMN(I$9)+10))),
SUMIF(INDIRECT(Equipo!$F$4&amp;"!B10:B1000"),$B23,INDIRECT(Equipo!$F$4&amp;"!"&amp;ADDRESS(10,COLUMN(I$9)+10)&amp;":"&amp;ADDRESS(1000,COLUMN(I$9)+10))),
SUMIF(INDIRECT(Equipo!$G$4&amp;"!B10:B1000"),$B23,INDIRECT(Equipo!$G$4&amp;"!"&amp;ADDRESS(10,COLUMN(I$9)+10)&amp;":"&amp;ADDRESS(1000,COLUMN(I$9)+10)))
))</f>
        <v>0</v>
      </c>
      <c r="J23" s="19">
        <f t="array" ref="J23">IF(ISBLANK(Tareas!$B19),"-",
SUM(
SUMIF(INDIRECT(Equipo!$C$4&amp;"!B10:B1000"),$B23,INDIRECT(Equipo!$C$4&amp;"!"&amp;ADDRESS(10,COLUMN(J$9)+10)&amp;":"&amp;ADDRESS(1000,COLUMN(J$9)+10))),
SUMIF(INDIRECT(Equipo!$D$4&amp;"!B10:B1000"),$B23,INDIRECT(Equipo!$D$4&amp;"!"&amp;ADDRESS(10,COLUMN(J$9)+10)&amp;":"&amp;ADDRESS(1000,COLUMN(J$9)+10))),
SUMIF(INDIRECT(Equipo!$E$4&amp;"!B10:B1000"),$B23,INDIRECT(Equipo!$E$4&amp;"!"&amp;ADDRESS(10,COLUMN(J$9)+10)&amp;":"&amp;ADDRESS(1000,COLUMN(J$9)+10))),
SUMIF(INDIRECT(Equipo!$F$4&amp;"!B10:B1000"),$B23,INDIRECT(Equipo!$F$4&amp;"!"&amp;ADDRESS(10,COLUMN(J$9)+10)&amp;":"&amp;ADDRESS(1000,COLUMN(J$9)+10))),
SUMIF(INDIRECT(Equipo!$G$4&amp;"!B10:B1000"),$B23,INDIRECT(Equipo!$G$4&amp;"!"&amp;ADDRESS(10,COLUMN(J$9)+10)&amp;":"&amp;ADDRESS(1000,COLUMN(J$9)+10)))
))</f>
        <v>0</v>
      </c>
      <c r="K23" s="19">
        <f t="array" ref="K23">IF(ISBLANK(Tareas!$B19),"-",
SUM(
SUMIF(INDIRECT(Equipo!$C$4&amp;"!B10:B1000"),$B23,INDIRECT(Equipo!$C$4&amp;"!"&amp;ADDRESS(10,COLUMN(K$9)+10)&amp;":"&amp;ADDRESS(1000,COLUMN(K$9)+10))),
SUMIF(INDIRECT(Equipo!$D$4&amp;"!B10:B1000"),$B23,INDIRECT(Equipo!$D$4&amp;"!"&amp;ADDRESS(10,COLUMN(K$9)+10)&amp;":"&amp;ADDRESS(1000,COLUMN(K$9)+10))),
SUMIF(INDIRECT(Equipo!$E$4&amp;"!B10:B1000"),$B23,INDIRECT(Equipo!$E$4&amp;"!"&amp;ADDRESS(10,COLUMN(K$9)+10)&amp;":"&amp;ADDRESS(1000,COLUMN(K$9)+10))),
SUMIF(INDIRECT(Equipo!$F$4&amp;"!B10:B1000"),$B23,INDIRECT(Equipo!$F$4&amp;"!"&amp;ADDRESS(10,COLUMN(K$9)+10)&amp;":"&amp;ADDRESS(1000,COLUMN(K$9)+10))),
SUMIF(INDIRECT(Equipo!$G$4&amp;"!B10:B1000"),$B23,INDIRECT(Equipo!$G$4&amp;"!"&amp;ADDRESS(10,COLUMN(K$9)+10)&amp;":"&amp;ADDRESS(1000,COLUMN(K$9)+10)))
))</f>
        <v>0</v>
      </c>
    </row>
    <row r="24" ht="15.75" customHeight="1">
      <c r="B24" s="1" t="str">
        <f>IF(ISBLANK(Tareas!B20)," - ",Tareas!B20)</f>
        <v>15. Realización del diagrama Gantt</v>
      </c>
      <c r="C24" s="19">
        <f>IF(ISBLANK(Tareas!$B20),"-",SUM(D24:M24))</f>
        <v>1.5</v>
      </c>
      <c r="D24" s="19">
        <f t="array" ref="D24">IF(ISBLANK(Tareas!$B20),"-",
SUM(
SUMIF(INDIRECT(Equipo!$C$4&amp;"!B10:B1000"),$B24,INDIRECT(Equipo!$C$4&amp;"!"&amp;ADDRESS(10,COLUMN(D$9)+10)&amp;":"&amp;ADDRESS(1000,COLUMN(D$9)+10))),
SUMIF(INDIRECT(Equipo!$D$4&amp;"!B10:B1000"),$B24,INDIRECT(Equipo!$D$4&amp;"!"&amp;ADDRESS(10,COLUMN(D$9)+10)&amp;":"&amp;ADDRESS(1000,COLUMN(D$9)+10))),
SUMIF(INDIRECT(Equipo!$E$4&amp;"!B10:B1000"),$B24,INDIRECT(Equipo!$E$4&amp;"!"&amp;ADDRESS(10,COLUMN(D$9)+10)&amp;":"&amp;ADDRESS(1000,COLUMN(D$9)+10))),
SUMIF(INDIRECT(Equipo!$F$4&amp;"!B10:B1000"),$B24,INDIRECT(Equipo!$F$4&amp;"!"&amp;ADDRESS(10,COLUMN(D$9)+10)&amp;":"&amp;ADDRESS(1000,COLUMN(D$9)+10))),
SUMIF(INDIRECT(Equipo!$G$4&amp;"!B10:B1000"),$B24,INDIRECT(Equipo!$G$4&amp;"!"&amp;ADDRESS(10,COLUMN(D$9)+10)&amp;":"&amp;ADDRESS(1000,COLUMN(D$9)+10)))
))</f>
        <v>0</v>
      </c>
      <c r="E24" s="19">
        <f t="array" ref="E24">IF(ISBLANK(Tareas!$B20),"-",
SUM(
SUMIF(INDIRECT(Equipo!$C$4&amp;"!B10:B1000"),$B24,INDIRECT(Equipo!$C$4&amp;"!"&amp;ADDRESS(10,COLUMN(E$9)+10)&amp;":"&amp;ADDRESS(1000,COLUMN(E$9)+10))),
SUMIF(INDIRECT(Equipo!$D$4&amp;"!B10:B1000"),$B24,INDIRECT(Equipo!$D$4&amp;"!"&amp;ADDRESS(10,COLUMN(E$9)+10)&amp;":"&amp;ADDRESS(1000,COLUMN(E$9)+10))),
SUMIF(INDIRECT(Equipo!$E$4&amp;"!B10:B1000"),$B24,INDIRECT(Equipo!$E$4&amp;"!"&amp;ADDRESS(10,COLUMN(E$9)+10)&amp;":"&amp;ADDRESS(1000,COLUMN(E$9)+10))),
SUMIF(INDIRECT(Equipo!$F$4&amp;"!B10:B1000"),$B24,INDIRECT(Equipo!$F$4&amp;"!"&amp;ADDRESS(10,COLUMN(E$9)+10)&amp;":"&amp;ADDRESS(1000,COLUMN(E$9)+10))),
SUMIF(INDIRECT(Equipo!$G$4&amp;"!B10:B1000"),$B24,INDIRECT(Equipo!$G$4&amp;"!"&amp;ADDRESS(10,COLUMN(E$9)+10)&amp;":"&amp;ADDRESS(1000,COLUMN(E$9)+10)))
))</f>
        <v>0</v>
      </c>
      <c r="F24" s="19">
        <f t="array" ref="F24">IF(ISBLANK(Tareas!$B20),"-",
SUM(
SUMIF(INDIRECT(Equipo!$C$4&amp;"!B10:B1000"),$B24,INDIRECT(Equipo!$C$4&amp;"!"&amp;ADDRESS(10,COLUMN(F$9)+10)&amp;":"&amp;ADDRESS(1000,COLUMN(F$9)+10))),
SUMIF(INDIRECT(Equipo!$D$4&amp;"!B10:B1000"),$B24,INDIRECT(Equipo!$D$4&amp;"!"&amp;ADDRESS(10,COLUMN(F$9)+10)&amp;":"&amp;ADDRESS(1000,COLUMN(F$9)+10))),
SUMIF(INDIRECT(Equipo!$E$4&amp;"!B10:B1000"),$B24,INDIRECT(Equipo!$E$4&amp;"!"&amp;ADDRESS(10,COLUMN(F$9)+10)&amp;":"&amp;ADDRESS(1000,COLUMN(F$9)+10))),
SUMIF(INDIRECT(Equipo!$F$4&amp;"!B10:B1000"),$B24,INDIRECT(Equipo!$F$4&amp;"!"&amp;ADDRESS(10,COLUMN(F$9)+10)&amp;":"&amp;ADDRESS(1000,COLUMN(F$9)+10))),
SUMIF(INDIRECT(Equipo!$G$4&amp;"!B10:B1000"),$B24,INDIRECT(Equipo!$G$4&amp;"!"&amp;ADDRESS(10,COLUMN(F$9)+10)&amp;":"&amp;ADDRESS(1000,COLUMN(F$9)+10)))
))</f>
        <v>1.5</v>
      </c>
      <c r="G24" s="19">
        <f t="array" ref="G24">IF(ISBLANK(Tareas!$B20),"-",
SUM(
SUMIF(INDIRECT(Equipo!$C$4&amp;"!B10:B1000"),$B24,INDIRECT(Equipo!$C$4&amp;"!"&amp;ADDRESS(10,COLUMN(G$9)+10)&amp;":"&amp;ADDRESS(1000,COLUMN(G$9)+10))),
SUMIF(INDIRECT(Equipo!$D$4&amp;"!B10:B1000"),$B24,INDIRECT(Equipo!$D$4&amp;"!"&amp;ADDRESS(10,COLUMN(G$9)+10)&amp;":"&amp;ADDRESS(1000,COLUMN(G$9)+10))),
SUMIF(INDIRECT(Equipo!$E$4&amp;"!B10:B1000"),$B24,INDIRECT(Equipo!$E$4&amp;"!"&amp;ADDRESS(10,COLUMN(G$9)+10)&amp;":"&amp;ADDRESS(1000,COLUMN(G$9)+10))),
SUMIF(INDIRECT(Equipo!$F$4&amp;"!B10:B1000"),$B24,INDIRECT(Equipo!$F$4&amp;"!"&amp;ADDRESS(10,COLUMN(G$9)+10)&amp;":"&amp;ADDRESS(1000,COLUMN(G$9)+10))),
SUMIF(INDIRECT(Equipo!$G$4&amp;"!B10:B1000"),$B24,INDIRECT(Equipo!$G$4&amp;"!"&amp;ADDRESS(10,COLUMN(G$9)+10)&amp;":"&amp;ADDRESS(1000,COLUMN(G$9)+10)))
))</f>
        <v>0</v>
      </c>
      <c r="H24" s="19">
        <f t="array" ref="H24">IF(ISBLANK(Tareas!$B20),"-",
SUM(
SUMIF(INDIRECT(Equipo!$C$4&amp;"!B10:B1000"),$B24,INDIRECT(Equipo!$C$4&amp;"!"&amp;ADDRESS(10,COLUMN(H$9)+10)&amp;":"&amp;ADDRESS(1000,COLUMN(H$9)+10))),
SUMIF(INDIRECT(Equipo!$D$4&amp;"!B10:B1000"),$B24,INDIRECT(Equipo!$D$4&amp;"!"&amp;ADDRESS(10,COLUMN(H$9)+10)&amp;":"&amp;ADDRESS(1000,COLUMN(H$9)+10))),
SUMIF(INDIRECT(Equipo!$E$4&amp;"!B10:B1000"),$B24,INDIRECT(Equipo!$E$4&amp;"!"&amp;ADDRESS(10,COLUMN(H$9)+10)&amp;":"&amp;ADDRESS(1000,COLUMN(H$9)+10))),
SUMIF(INDIRECT(Equipo!$F$4&amp;"!B10:B1000"),$B24,INDIRECT(Equipo!$F$4&amp;"!"&amp;ADDRESS(10,COLUMN(H$9)+10)&amp;":"&amp;ADDRESS(1000,COLUMN(H$9)+10))),
SUMIF(INDIRECT(Equipo!$G$4&amp;"!B10:B1000"),$B24,INDIRECT(Equipo!$G$4&amp;"!"&amp;ADDRESS(10,COLUMN(H$9)+10)&amp;":"&amp;ADDRESS(1000,COLUMN(H$9)+10)))
))</f>
        <v>0</v>
      </c>
      <c r="I24" s="19">
        <f t="array" ref="I24">IF(ISBLANK(Tareas!$B20),"-",
SUM(
SUMIF(INDIRECT(Equipo!$C$4&amp;"!B10:B1000"),$B24,INDIRECT(Equipo!$C$4&amp;"!"&amp;ADDRESS(10,COLUMN(I$9)+10)&amp;":"&amp;ADDRESS(1000,COLUMN(I$9)+10))),
SUMIF(INDIRECT(Equipo!$D$4&amp;"!B10:B1000"),$B24,INDIRECT(Equipo!$D$4&amp;"!"&amp;ADDRESS(10,COLUMN(I$9)+10)&amp;":"&amp;ADDRESS(1000,COLUMN(I$9)+10))),
SUMIF(INDIRECT(Equipo!$E$4&amp;"!B10:B1000"),$B24,INDIRECT(Equipo!$E$4&amp;"!"&amp;ADDRESS(10,COLUMN(I$9)+10)&amp;":"&amp;ADDRESS(1000,COLUMN(I$9)+10))),
SUMIF(INDIRECT(Equipo!$F$4&amp;"!B10:B1000"),$B24,INDIRECT(Equipo!$F$4&amp;"!"&amp;ADDRESS(10,COLUMN(I$9)+10)&amp;":"&amp;ADDRESS(1000,COLUMN(I$9)+10))),
SUMIF(INDIRECT(Equipo!$G$4&amp;"!B10:B1000"),$B24,INDIRECT(Equipo!$G$4&amp;"!"&amp;ADDRESS(10,COLUMN(I$9)+10)&amp;":"&amp;ADDRESS(1000,COLUMN(I$9)+10)))
))</f>
        <v>0</v>
      </c>
      <c r="J24" s="19">
        <f t="array" ref="J24">IF(ISBLANK(Tareas!$B20),"-",
SUM(
SUMIF(INDIRECT(Equipo!$C$4&amp;"!B10:B1000"),$B24,INDIRECT(Equipo!$C$4&amp;"!"&amp;ADDRESS(10,COLUMN(J$9)+10)&amp;":"&amp;ADDRESS(1000,COLUMN(J$9)+10))),
SUMIF(INDIRECT(Equipo!$D$4&amp;"!B10:B1000"),$B24,INDIRECT(Equipo!$D$4&amp;"!"&amp;ADDRESS(10,COLUMN(J$9)+10)&amp;":"&amp;ADDRESS(1000,COLUMN(J$9)+10))),
SUMIF(INDIRECT(Equipo!$E$4&amp;"!B10:B1000"),$B24,INDIRECT(Equipo!$E$4&amp;"!"&amp;ADDRESS(10,COLUMN(J$9)+10)&amp;":"&amp;ADDRESS(1000,COLUMN(J$9)+10))),
SUMIF(INDIRECT(Equipo!$F$4&amp;"!B10:B1000"),$B24,INDIRECT(Equipo!$F$4&amp;"!"&amp;ADDRESS(10,COLUMN(J$9)+10)&amp;":"&amp;ADDRESS(1000,COLUMN(J$9)+10))),
SUMIF(INDIRECT(Equipo!$G$4&amp;"!B10:B1000"),$B24,INDIRECT(Equipo!$G$4&amp;"!"&amp;ADDRESS(10,COLUMN(J$9)+10)&amp;":"&amp;ADDRESS(1000,COLUMN(J$9)+10)))
))</f>
        <v>0</v>
      </c>
      <c r="K24" s="19">
        <f t="array" ref="K24">IF(ISBLANK(Tareas!$B20),"-",
SUM(
SUMIF(INDIRECT(Equipo!$C$4&amp;"!B10:B1000"),$B24,INDIRECT(Equipo!$C$4&amp;"!"&amp;ADDRESS(10,COLUMN(K$9)+10)&amp;":"&amp;ADDRESS(1000,COLUMN(K$9)+10))),
SUMIF(INDIRECT(Equipo!$D$4&amp;"!B10:B1000"),$B24,INDIRECT(Equipo!$D$4&amp;"!"&amp;ADDRESS(10,COLUMN(K$9)+10)&amp;":"&amp;ADDRESS(1000,COLUMN(K$9)+10))),
SUMIF(INDIRECT(Equipo!$E$4&amp;"!B10:B1000"),$B24,INDIRECT(Equipo!$E$4&amp;"!"&amp;ADDRESS(10,COLUMN(K$9)+10)&amp;":"&amp;ADDRESS(1000,COLUMN(K$9)+10))),
SUMIF(INDIRECT(Equipo!$F$4&amp;"!B10:B1000"),$B24,INDIRECT(Equipo!$F$4&amp;"!"&amp;ADDRESS(10,COLUMN(K$9)+10)&amp;":"&amp;ADDRESS(1000,COLUMN(K$9)+10))),
SUMIF(INDIRECT(Equipo!$G$4&amp;"!B10:B1000"),$B24,INDIRECT(Equipo!$G$4&amp;"!"&amp;ADDRESS(10,COLUMN(K$9)+10)&amp;":"&amp;ADDRESS(1000,COLUMN(K$9)+10)))
))</f>
        <v>0</v>
      </c>
    </row>
    <row r="25" ht="15.75" customHeight="1">
      <c r="B25" s="1" t="str">
        <f>IF(ISBLANK(Tareas!B21)," - ",Tareas!B21)</f>
        <v>16. Reunión 4</v>
      </c>
      <c r="C25" s="19">
        <f>IF(ISBLANK(Tareas!$B21),"-",SUM(D25:M25))</f>
        <v>5</v>
      </c>
      <c r="D25" s="19">
        <f t="array" ref="D25">IF(ISBLANK(Tareas!$B21),"-",
SUM(
SUMIF(INDIRECT(Equipo!$C$4&amp;"!B10:B1000"),$B25,INDIRECT(Equipo!$C$4&amp;"!"&amp;ADDRESS(10,COLUMN(D$9)+10)&amp;":"&amp;ADDRESS(1000,COLUMN(D$9)+10))),
SUMIF(INDIRECT(Equipo!$D$4&amp;"!B10:B1000"),$B25,INDIRECT(Equipo!$D$4&amp;"!"&amp;ADDRESS(10,COLUMN(D$9)+10)&amp;":"&amp;ADDRESS(1000,COLUMN(D$9)+10))),
SUMIF(INDIRECT(Equipo!$E$4&amp;"!B10:B1000"),$B25,INDIRECT(Equipo!$E$4&amp;"!"&amp;ADDRESS(10,COLUMN(D$9)+10)&amp;":"&amp;ADDRESS(1000,COLUMN(D$9)+10))),
SUMIF(INDIRECT(Equipo!$F$4&amp;"!B10:B1000"),$B25,INDIRECT(Equipo!$F$4&amp;"!"&amp;ADDRESS(10,COLUMN(D$9)+10)&amp;":"&amp;ADDRESS(1000,COLUMN(D$9)+10))),
SUMIF(INDIRECT(Equipo!$G$4&amp;"!B10:B1000"),$B25,INDIRECT(Equipo!$G$4&amp;"!"&amp;ADDRESS(10,COLUMN(D$9)+10)&amp;":"&amp;ADDRESS(1000,COLUMN(D$9)+10)))
))</f>
        <v>0</v>
      </c>
      <c r="E25" s="19">
        <f t="array" ref="E25">IF(ISBLANK(Tareas!$B21),"-",
SUM(
SUMIF(INDIRECT(Equipo!$C$4&amp;"!B10:B1000"),$B25,INDIRECT(Equipo!$C$4&amp;"!"&amp;ADDRESS(10,COLUMN(E$9)+10)&amp;":"&amp;ADDRESS(1000,COLUMN(E$9)+10))),
SUMIF(INDIRECT(Equipo!$D$4&amp;"!B10:B1000"),$B25,INDIRECT(Equipo!$D$4&amp;"!"&amp;ADDRESS(10,COLUMN(E$9)+10)&amp;":"&amp;ADDRESS(1000,COLUMN(E$9)+10))),
SUMIF(INDIRECT(Equipo!$E$4&amp;"!B10:B1000"),$B25,INDIRECT(Equipo!$E$4&amp;"!"&amp;ADDRESS(10,COLUMN(E$9)+10)&amp;":"&amp;ADDRESS(1000,COLUMN(E$9)+10))),
SUMIF(INDIRECT(Equipo!$F$4&amp;"!B10:B1000"),$B25,INDIRECT(Equipo!$F$4&amp;"!"&amp;ADDRESS(10,COLUMN(E$9)+10)&amp;":"&amp;ADDRESS(1000,COLUMN(E$9)+10))),
SUMIF(INDIRECT(Equipo!$G$4&amp;"!B10:B1000"),$B25,INDIRECT(Equipo!$G$4&amp;"!"&amp;ADDRESS(10,COLUMN(E$9)+10)&amp;":"&amp;ADDRESS(1000,COLUMN(E$9)+10)))
))</f>
        <v>0</v>
      </c>
      <c r="F25" s="19">
        <f t="array" ref="F25">IF(ISBLANK(Tareas!$B21),"-",
SUM(
SUMIF(INDIRECT(Equipo!$C$4&amp;"!B10:B1000"),$B25,INDIRECT(Equipo!$C$4&amp;"!"&amp;ADDRESS(10,COLUMN(F$9)+10)&amp;":"&amp;ADDRESS(1000,COLUMN(F$9)+10))),
SUMIF(INDIRECT(Equipo!$D$4&amp;"!B10:B1000"),$B25,INDIRECT(Equipo!$D$4&amp;"!"&amp;ADDRESS(10,COLUMN(F$9)+10)&amp;":"&amp;ADDRESS(1000,COLUMN(F$9)+10))),
SUMIF(INDIRECT(Equipo!$E$4&amp;"!B10:B1000"),$B25,INDIRECT(Equipo!$E$4&amp;"!"&amp;ADDRESS(10,COLUMN(F$9)+10)&amp;":"&amp;ADDRESS(1000,COLUMN(F$9)+10))),
SUMIF(INDIRECT(Equipo!$F$4&amp;"!B10:B1000"),$B25,INDIRECT(Equipo!$F$4&amp;"!"&amp;ADDRESS(10,COLUMN(F$9)+10)&amp;":"&amp;ADDRESS(1000,COLUMN(F$9)+10))),
SUMIF(INDIRECT(Equipo!$G$4&amp;"!B10:B1000"),$B25,INDIRECT(Equipo!$G$4&amp;"!"&amp;ADDRESS(10,COLUMN(F$9)+10)&amp;":"&amp;ADDRESS(1000,COLUMN(F$9)+10)))
))</f>
        <v>0</v>
      </c>
      <c r="G25" s="19">
        <f t="array" ref="G25">IF(ISBLANK(Tareas!$B21),"-",
SUM(
SUMIF(INDIRECT(Equipo!$C$4&amp;"!B10:B1000"),$B25,INDIRECT(Equipo!$C$4&amp;"!"&amp;ADDRESS(10,COLUMN(G$9)+10)&amp;":"&amp;ADDRESS(1000,COLUMN(G$9)+10))),
SUMIF(INDIRECT(Equipo!$D$4&amp;"!B10:B1000"),$B25,INDIRECT(Equipo!$D$4&amp;"!"&amp;ADDRESS(10,COLUMN(G$9)+10)&amp;":"&amp;ADDRESS(1000,COLUMN(G$9)+10))),
SUMIF(INDIRECT(Equipo!$E$4&amp;"!B10:B1000"),$B25,INDIRECT(Equipo!$E$4&amp;"!"&amp;ADDRESS(10,COLUMN(G$9)+10)&amp;":"&amp;ADDRESS(1000,COLUMN(G$9)+10))),
SUMIF(INDIRECT(Equipo!$F$4&amp;"!B10:B1000"),$B25,INDIRECT(Equipo!$F$4&amp;"!"&amp;ADDRESS(10,COLUMN(G$9)+10)&amp;":"&amp;ADDRESS(1000,COLUMN(G$9)+10))),
SUMIF(INDIRECT(Equipo!$G$4&amp;"!B10:B1000"),$B25,INDIRECT(Equipo!$G$4&amp;"!"&amp;ADDRESS(10,COLUMN(G$9)+10)&amp;":"&amp;ADDRESS(1000,COLUMN(G$9)+10)))
))</f>
        <v>5</v>
      </c>
      <c r="H25" s="19">
        <f t="array" ref="H25">IF(ISBLANK(Tareas!$B21),"-",
SUM(
SUMIF(INDIRECT(Equipo!$C$4&amp;"!B10:B1000"),$B25,INDIRECT(Equipo!$C$4&amp;"!"&amp;ADDRESS(10,COLUMN(H$9)+10)&amp;":"&amp;ADDRESS(1000,COLUMN(H$9)+10))),
SUMIF(INDIRECT(Equipo!$D$4&amp;"!B10:B1000"),$B25,INDIRECT(Equipo!$D$4&amp;"!"&amp;ADDRESS(10,COLUMN(H$9)+10)&amp;":"&amp;ADDRESS(1000,COLUMN(H$9)+10))),
SUMIF(INDIRECT(Equipo!$E$4&amp;"!B10:B1000"),$B25,INDIRECT(Equipo!$E$4&amp;"!"&amp;ADDRESS(10,COLUMN(H$9)+10)&amp;":"&amp;ADDRESS(1000,COLUMN(H$9)+10))),
SUMIF(INDIRECT(Equipo!$F$4&amp;"!B10:B1000"),$B25,INDIRECT(Equipo!$F$4&amp;"!"&amp;ADDRESS(10,COLUMN(H$9)+10)&amp;":"&amp;ADDRESS(1000,COLUMN(H$9)+10))),
SUMIF(INDIRECT(Equipo!$G$4&amp;"!B10:B1000"),$B25,INDIRECT(Equipo!$G$4&amp;"!"&amp;ADDRESS(10,COLUMN(H$9)+10)&amp;":"&amp;ADDRESS(1000,COLUMN(H$9)+10)))
))</f>
        <v>0</v>
      </c>
      <c r="I25" s="19">
        <f t="array" ref="I25">IF(ISBLANK(Tareas!$B21),"-",
SUM(
SUMIF(INDIRECT(Equipo!$C$4&amp;"!B10:B1000"),$B25,INDIRECT(Equipo!$C$4&amp;"!"&amp;ADDRESS(10,COLUMN(I$9)+10)&amp;":"&amp;ADDRESS(1000,COLUMN(I$9)+10))),
SUMIF(INDIRECT(Equipo!$D$4&amp;"!B10:B1000"),$B25,INDIRECT(Equipo!$D$4&amp;"!"&amp;ADDRESS(10,COLUMN(I$9)+10)&amp;":"&amp;ADDRESS(1000,COLUMN(I$9)+10))),
SUMIF(INDIRECT(Equipo!$E$4&amp;"!B10:B1000"),$B25,INDIRECT(Equipo!$E$4&amp;"!"&amp;ADDRESS(10,COLUMN(I$9)+10)&amp;":"&amp;ADDRESS(1000,COLUMN(I$9)+10))),
SUMIF(INDIRECT(Equipo!$F$4&amp;"!B10:B1000"),$B25,INDIRECT(Equipo!$F$4&amp;"!"&amp;ADDRESS(10,COLUMN(I$9)+10)&amp;":"&amp;ADDRESS(1000,COLUMN(I$9)+10))),
SUMIF(INDIRECT(Equipo!$G$4&amp;"!B10:B1000"),$B25,INDIRECT(Equipo!$G$4&amp;"!"&amp;ADDRESS(10,COLUMN(I$9)+10)&amp;":"&amp;ADDRESS(1000,COLUMN(I$9)+10)))
))</f>
        <v>0</v>
      </c>
      <c r="J25" s="19">
        <f t="array" ref="J25">IF(ISBLANK(Tareas!$B21),"-",
SUM(
SUMIF(INDIRECT(Equipo!$C$4&amp;"!B10:B1000"),$B25,INDIRECT(Equipo!$C$4&amp;"!"&amp;ADDRESS(10,COLUMN(J$9)+10)&amp;":"&amp;ADDRESS(1000,COLUMN(J$9)+10))),
SUMIF(INDIRECT(Equipo!$D$4&amp;"!B10:B1000"),$B25,INDIRECT(Equipo!$D$4&amp;"!"&amp;ADDRESS(10,COLUMN(J$9)+10)&amp;":"&amp;ADDRESS(1000,COLUMN(J$9)+10))),
SUMIF(INDIRECT(Equipo!$E$4&amp;"!B10:B1000"),$B25,INDIRECT(Equipo!$E$4&amp;"!"&amp;ADDRESS(10,COLUMN(J$9)+10)&amp;":"&amp;ADDRESS(1000,COLUMN(J$9)+10))),
SUMIF(INDIRECT(Equipo!$F$4&amp;"!B10:B1000"),$B25,INDIRECT(Equipo!$F$4&amp;"!"&amp;ADDRESS(10,COLUMN(J$9)+10)&amp;":"&amp;ADDRESS(1000,COLUMN(J$9)+10))),
SUMIF(INDIRECT(Equipo!$G$4&amp;"!B10:B1000"),$B25,INDIRECT(Equipo!$G$4&amp;"!"&amp;ADDRESS(10,COLUMN(J$9)+10)&amp;":"&amp;ADDRESS(1000,COLUMN(J$9)+10)))
))</f>
        <v>0</v>
      </c>
      <c r="K25" s="19">
        <f t="array" ref="K25">IF(ISBLANK(Tareas!$B21),"-",
SUM(
SUMIF(INDIRECT(Equipo!$C$4&amp;"!B10:B1000"),$B25,INDIRECT(Equipo!$C$4&amp;"!"&amp;ADDRESS(10,COLUMN(K$9)+10)&amp;":"&amp;ADDRESS(1000,COLUMN(K$9)+10))),
SUMIF(INDIRECT(Equipo!$D$4&amp;"!B10:B1000"),$B25,INDIRECT(Equipo!$D$4&amp;"!"&amp;ADDRESS(10,COLUMN(K$9)+10)&amp;":"&amp;ADDRESS(1000,COLUMN(K$9)+10))),
SUMIF(INDIRECT(Equipo!$E$4&amp;"!B10:B1000"),$B25,INDIRECT(Equipo!$E$4&amp;"!"&amp;ADDRESS(10,COLUMN(K$9)+10)&amp;":"&amp;ADDRESS(1000,COLUMN(K$9)+10))),
SUMIF(INDIRECT(Equipo!$F$4&amp;"!B10:B1000"),$B25,INDIRECT(Equipo!$F$4&amp;"!"&amp;ADDRESS(10,COLUMN(K$9)+10)&amp;":"&amp;ADDRESS(1000,COLUMN(K$9)+10))),
SUMIF(INDIRECT(Equipo!$G$4&amp;"!B10:B1000"),$B25,INDIRECT(Equipo!$G$4&amp;"!"&amp;ADDRESS(10,COLUMN(K$9)+10)&amp;":"&amp;ADDRESS(1000,COLUMN(K$9)+10)))
))</f>
        <v>0</v>
      </c>
    </row>
    <row r="26" ht="15.75" customHeight="1">
      <c r="B26" s="1" t="str">
        <f>IF(ISBLANK(Tareas!B22)," - ",Tareas!B22)</f>
        <v>17. Definición del plan de gestión de configuración software (GCS)</v>
      </c>
      <c r="C26" s="19">
        <f>IF(ISBLANK(Tareas!$B22),"-",SUM(D26:M26))</f>
        <v>3</v>
      </c>
      <c r="D26" s="19">
        <f t="array" ref="D26">IF(ISBLANK(Tareas!$B22),"-",
SUM(
SUMIF(INDIRECT(Equipo!$C$4&amp;"!B10:B1000"),$B26,INDIRECT(Equipo!$C$4&amp;"!"&amp;ADDRESS(10,COLUMN(D$9)+10)&amp;":"&amp;ADDRESS(1000,COLUMN(D$9)+10))),
SUMIF(INDIRECT(Equipo!$D$4&amp;"!B10:B1000"),$B26,INDIRECT(Equipo!$D$4&amp;"!"&amp;ADDRESS(10,COLUMN(D$9)+10)&amp;":"&amp;ADDRESS(1000,COLUMN(D$9)+10))),
SUMIF(INDIRECT(Equipo!$E$4&amp;"!B10:B1000"),$B26,INDIRECT(Equipo!$E$4&amp;"!"&amp;ADDRESS(10,COLUMN(D$9)+10)&amp;":"&amp;ADDRESS(1000,COLUMN(D$9)+10))),
SUMIF(INDIRECT(Equipo!$F$4&amp;"!B10:B1000"),$B26,INDIRECT(Equipo!$F$4&amp;"!"&amp;ADDRESS(10,COLUMN(D$9)+10)&amp;":"&amp;ADDRESS(1000,COLUMN(D$9)+10))),
SUMIF(INDIRECT(Equipo!$G$4&amp;"!B10:B1000"),$B26,INDIRECT(Equipo!$G$4&amp;"!"&amp;ADDRESS(10,COLUMN(D$9)+10)&amp;":"&amp;ADDRESS(1000,COLUMN(D$9)+10)))
))</f>
        <v>0</v>
      </c>
      <c r="E26" s="19">
        <f t="array" ref="E26">IF(ISBLANK(Tareas!$B22),"-",
SUM(
SUMIF(INDIRECT(Equipo!$C$4&amp;"!B10:B1000"),$B26,INDIRECT(Equipo!$C$4&amp;"!"&amp;ADDRESS(10,COLUMN(E$9)+10)&amp;":"&amp;ADDRESS(1000,COLUMN(E$9)+10))),
SUMIF(INDIRECT(Equipo!$D$4&amp;"!B10:B1000"),$B26,INDIRECT(Equipo!$D$4&amp;"!"&amp;ADDRESS(10,COLUMN(E$9)+10)&amp;":"&amp;ADDRESS(1000,COLUMN(E$9)+10))),
SUMIF(INDIRECT(Equipo!$E$4&amp;"!B10:B1000"),$B26,INDIRECT(Equipo!$E$4&amp;"!"&amp;ADDRESS(10,COLUMN(E$9)+10)&amp;":"&amp;ADDRESS(1000,COLUMN(E$9)+10))),
SUMIF(INDIRECT(Equipo!$F$4&amp;"!B10:B1000"),$B26,INDIRECT(Equipo!$F$4&amp;"!"&amp;ADDRESS(10,COLUMN(E$9)+10)&amp;":"&amp;ADDRESS(1000,COLUMN(E$9)+10))),
SUMIF(INDIRECT(Equipo!$G$4&amp;"!B10:B1000"),$B26,INDIRECT(Equipo!$G$4&amp;"!"&amp;ADDRESS(10,COLUMN(E$9)+10)&amp;":"&amp;ADDRESS(1000,COLUMN(E$9)+10)))
))</f>
        <v>0</v>
      </c>
      <c r="F26" s="19">
        <f t="array" ref="F26">IF(ISBLANK(Tareas!$B22),"-",
SUM(
SUMIF(INDIRECT(Equipo!$C$4&amp;"!B10:B1000"),$B26,INDIRECT(Equipo!$C$4&amp;"!"&amp;ADDRESS(10,COLUMN(F$9)+10)&amp;":"&amp;ADDRESS(1000,COLUMN(F$9)+10))),
SUMIF(INDIRECT(Equipo!$D$4&amp;"!B10:B1000"),$B26,INDIRECT(Equipo!$D$4&amp;"!"&amp;ADDRESS(10,COLUMN(F$9)+10)&amp;":"&amp;ADDRESS(1000,COLUMN(F$9)+10))),
SUMIF(INDIRECT(Equipo!$E$4&amp;"!B10:B1000"),$B26,INDIRECT(Equipo!$E$4&amp;"!"&amp;ADDRESS(10,COLUMN(F$9)+10)&amp;":"&amp;ADDRESS(1000,COLUMN(F$9)+10))),
SUMIF(INDIRECT(Equipo!$F$4&amp;"!B10:B1000"),$B26,INDIRECT(Equipo!$F$4&amp;"!"&amp;ADDRESS(10,COLUMN(F$9)+10)&amp;":"&amp;ADDRESS(1000,COLUMN(F$9)+10))),
SUMIF(INDIRECT(Equipo!$G$4&amp;"!B10:B1000"),$B26,INDIRECT(Equipo!$G$4&amp;"!"&amp;ADDRESS(10,COLUMN(F$9)+10)&amp;":"&amp;ADDRESS(1000,COLUMN(F$9)+10)))
))</f>
        <v>0</v>
      </c>
      <c r="G26" s="19">
        <f t="array" ref="G26">IF(ISBLANK(Tareas!$B22),"-",
SUM(
SUMIF(INDIRECT(Equipo!$C$4&amp;"!B10:B1000"),$B26,INDIRECT(Equipo!$C$4&amp;"!"&amp;ADDRESS(10,COLUMN(G$9)+10)&amp;":"&amp;ADDRESS(1000,COLUMN(G$9)+10))),
SUMIF(INDIRECT(Equipo!$D$4&amp;"!B10:B1000"),$B26,INDIRECT(Equipo!$D$4&amp;"!"&amp;ADDRESS(10,COLUMN(G$9)+10)&amp;":"&amp;ADDRESS(1000,COLUMN(G$9)+10))),
SUMIF(INDIRECT(Equipo!$E$4&amp;"!B10:B1000"),$B26,INDIRECT(Equipo!$E$4&amp;"!"&amp;ADDRESS(10,COLUMN(G$9)+10)&amp;":"&amp;ADDRESS(1000,COLUMN(G$9)+10))),
SUMIF(INDIRECT(Equipo!$F$4&amp;"!B10:B1000"),$B26,INDIRECT(Equipo!$F$4&amp;"!"&amp;ADDRESS(10,COLUMN(G$9)+10)&amp;":"&amp;ADDRESS(1000,COLUMN(G$9)+10))),
SUMIF(INDIRECT(Equipo!$G$4&amp;"!B10:B1000"),$B26,INDIRECT(Equipo!$G$4&amp;"!"&amp;ADDRESS(10,COLUMN(G$9)+10)&amp;":"&amp;ADDRESS(1000,COLUMN(G$9)+10)))
))</f>
        <v>3</v>
      </c>
      <c r="H26" s="19">
        <f t="array" ref="H26">IF(ISBLANK(Tareas!$B22),"-",
SUM(
SUMIF(INDIRECT(Equipo!$C$4&amp;"!B10:B1000"),$B26,INDIRECT(Equipo!$C$4&amp;"!"&amp;ADDRESS(10,COLUMN(H$9)+10)&amp;":"&amp;ADDRESS(1000,COLUMN(H$9)+10))),
SUMIF(INDIRECT(Equipo!$D$4&amp;"!B10:B1000"),$B26,INDIRECT(Equipo!$D$4&amp;"!"&amp;ADDRESS(10,COLUMN(H$9)+10)&amp;":"&amp;ADDRESS(1000,COLUMN(H$9)+10))),
SUMIF(INDIRECT(Equipo!$E$4&amp;"!B10:B1000"),$B26,INDIRECT(Equipo!$E$4&amp;"!"&amp;ADDRESS(10,COLUMN(H$9)+10)&amp;":"&amp;ADDRESS(1000,COLUMN(H$9)+10))),
SUMIF(INDIRECT(Equipo!$F$4&amp;"!B10:B1000"),$B26,INDIRECT(Equipo!$F$4&amp;"!"&amp;ADDRESS(10,COLUMN(H$9)+10)&amp;":"&amp;ADDRESS(1000,COLUMN(H$9)+10))),
SUMIF(INDIRECT(Equipo!$G$4&amp;"!B10:B1000"),$B26,INDIRECT(Equipo!$G$4&amp;"!"&amp;ADDRESS(10,COLUMN(H$9)+10)&amp;":"&amp;ADDRESS(1000,COLUMN(H$9)+10)))
))</f>
        <v>0</v>
      </c>
      <c r="I26" s="19">
        <f t="array" ref="I26">IF(ISBLANK(Tareas!$B22),"-",
SUM(
SUMIF(INDIRECT(Equipo!$C$4&amp;"!B10:B1000"),$B26,INDIRECT(Equipo!$C$4&amp;"!"&amp;ADDRESS(10,COLUMN(I$9)+10)&amp;":"&amp;ADDRESS(1000,COLUMN(I$9)+10))),
SUMIF(INDIRECT(Equipo!$D$4&amp;"!B10:B1000"),$B26,INDIRECT(Equipo!$D$4&amp;"!"&amp;ADDRESS(10,COLUMN(I$9)+10)&amp;":"&amp;ADDRESS(1000,COLUMN(I$9)+10))),
SUMIF(INDIRECT(Equipo!$E$4&amp;"!B10:B1000"),$B26,INDIRECT(Equipo!$E$4&amp;"!"&amp;ADDRESS(10,COLUMN(I$9)+10)&amp;":"&amp;ADDRESS(1000,COLUMN(I$9)+10))),
SUMIF(INDIRECT(Equipo!$F$4&amp;"!B10:B1000"),$B26,INDIRECT(Equipo!$F$4&amp;"!"&amp;ADDRESS(10,COLUMN(I$9)+10)&amp;":"&amp;ADDRESS(1000,COLUMN(I$9)+10))),
SUMIF(INDIRECT(Equipo!$G$4&amp;"!B10:B1000"),$B26,INDIRECT(Equipo!$G$4&amp;"!"&amp;ADDRESS(10,COLUMN(I$9)+10)&amp;":"&amp;ADDRESS(1000,COLUMN(I$9)+10)))
))</f>
        <v>0</v>
      </c>
      <c r="J26" s="19">
        <f t="array" ref="J26">IF(ISBLANK(Tareas!$B22),"-",
SUM(
SUMIF(INDIRECT(Equipo!$C$4&amp;"!B10:B1000"),$B26,INDIRECT(Equipo!$C$4&amp;"!"&amp;ADDRESS(10,COLUMN(J$9)+10)&amp;":"&amp;ADDRESS(1000,COLUMN(J$9)+10))),
SUMIF(INDIRECT(Equipo!$D$4&amp;"!B10:B1000"),$B26,INDIRECT(Equipo!$D$4&amp;"!"&amp;ADDRESS(10,COLUMN(J$9)+10)&amp;":"&amp;ADDRESS(1000,COLUMN(J$9)+10))),
SUMIF(INDIRECT(Equipo!$E$4&amp;"!B10:B1000"),$B26,INDIRECT(Equipo!$E$4&amp;"!"&amp;ADDRESS(10,COLUMN(J$9)+10)&amp;":"&amp;ADDRESS(1000,COLUMN(J$9)+10))),
SUMIF(INDIRECT(Equipo!$F$4&amp;"!B10:B1000"),$B26,INDIRECT(Equipo!$F$4&amp;"!"&amp;ADDRESS(10,COLUMN(J$9)+10)&amp;":"&amp;ADDRESS(1000,COLUMN(J$9)+10))),
SUMIF(INDIRECT(Equipo!$G$4&amp;"!B10:B1000"),$B26,INDIRECT(Equipo!$G$4&amp;"!"&amp;ADDRESS(10,COLUMN(J$9)+10)&amp;":"&amp;ADDRESS(1000,COLUMN(J$9)+10)))
))</f>
        <v>0</v>
      </c>
      <c r="K26" s="19">
        <f t="array" ref="K26">IF(ISBLANK(Tareas!$B22),"-",
SUM(
SUMIF(INDIRECT(Equipo!$C$4&amp;"!B10:B1000"),$B26,INDIRECT(Equipo!$C$4&amp;"!"&amp;ADDRESS(10,COLUMN(K$9)+10)&amp;":"&amp;ADDRESS(1000,COLUMN(K$9)+10))),
SUMIF(INDIRECT(Equipo!$D$4&amp;"!B10:B1000"),$B26,INDIRECT(Equipo!$D$4&amp;"!"&amp;ADDRESS(10,COLUMN(K$9)+10)&amp;":"&amp;ADDRESS(1000,COLUMN(K$9)+10))),
SUMIF(INDIRECT(Equipo!$E$4&amp;"!B10:B1000"),$B26,INDIRECT(Equipo!$E$4&amp;"!"&amp;ADDRESS(10,COLUMN(K$9)+10)&amp;":"&amp;ADDRESS(1000,COLUMN(K$9)+10))),
SUMIF(INDIRECT(Equipo!$F$4&amp;"!B10:B1000"),$B26,INDIRECT(Equipo!$F$4&amp;"!"&amp;ADDRESS(10,COLUMN(K$9)+10)&amp;":"&amp;ADDRESS(1000,COLUMN(K$9)+10))),
SUMIF(INDIRECT(Equipo!$G$4&amp;"!B10:B1000"),$B26,INDIRECT(Equipo!$G$4&amp;"!"&amp;ADDRESS(10,COLUMN(K$9)+10)&amp;":"&amp;ADDRESS(1000,COLUMN(K$9)+10)))
))</f>
        <v>0</v>
      </c>
    </row>
    <row r="27" ht="15.75" customHeight="1">
      <c r="B27" s="1" t="str">
        <f>IF(ISBLANK(Tareas!B23)," - ",Tareas!B23)</f>
        <v>18. Inicialización de la hoja de valor ganado (EVM)</v>
      </c>
      <c r="C27" s="19">
        <f>IF(ISBLANK(Tareas!$B23),"-",SUM(D27:M27))</f>
        <v>0.5</v>
      </c>
      <c r="D27" s="19">
        <f t="array" ref="D27">IF(ISBLANK(Tareas!$B23),"-",
SUM(
SUMIF(INDIRECT(Equipo!$C$4&amp;"!B10:B1000"),$B27,INDIRECT(Equipo!$C$4&amp;"!"&amp;ADDRESS(10,COLUMN(D$9)+10)&amp;":"&amp;ADDRESS(1000,COLUMN(D$9)+10))),
SUMIF(INDIRECT(Equipo!$D$4&amp;"!B10:B1000"),$B27,INDIRECT(Equipo!$D$4&amp;"!"&amp;ADDRESS(10,COLUMN(D$9)+10)&amp;":"&amp;ADDRESS(1000,COLUMN(D$9)+10))),
SUMIF(INDIRECT(Equipo!$E$4&amp;"!B10:B1000"),$B27,INDIRECT(Equipo!$E$4&amp;"!"&amp;ADDRESS(10,COLUMN(D$9)+10)&amp;":"&amp;ADDRESS(1000,COLUMN(D$9)+10))),
SUMIF(INDIRECT(Equipo!$F$4&amp;"!B10:B1000"),$B27,INDIRECT(Equipo!$F$4&amp;"!"&amp;ADDRESS(10,COLUMN(D$9)+10)&amp;":"&amp;ADDRESS(1000,COLUMN(D$9)+10))),
SUMIF(INDIRECT(Equipo!$G$4&amp;"!B10:B1000"),$B27,INDIRECT(Equipo!$G$4&amp;"!"&amp;ADDRESS(10,COLUMN(D$9)+10)&amp;":"&amp;ADDRESS(1000,COLUMN(D$9)+10)))
))</f>
        <v>0</v>
      </c>
      <c r="E27" s="19">
        <f t="array" ref="E27">IF(ISBLANK(Tareas!$B23),"-",
SUM(
SUMIF(INDIRECT(Equipo!$C$4&amp;"!B10:B1000"),$B27,INDIRECT(Equipo!$C$4&amp;"!"&amp;ADDRESS(10,COLUMN(E$9)+10)&amp;":"&amp;ADDRESS(1000,COLUMN(E$9)+10))),
SUMIF(INDIRECT(Equipo!$D$4&amp;"!B10:B1000"),$B27,INDIRECT(Equipo!$D$4&amp;"!"&amp;ADDRESS(10,COLUMN(E$9)+10)&amp;":"&amp;ADDRESS(1000,COLUMN(E$9)+10))),
SUMIF(INDIRECT(Equipo!$E$4&amp;"!B10:B1000"),$B27,INDIRECT(Equipo!$E$4&amp;"!"&amp;ADDRESS(10,COLUMN(E$9)+10)&amp;":"&amp;ADDRESS(1000,COLUMN(E$9)+10))),
SUMIF(INDIRECT(Equipo!$F$4&amp;"!B10:B1000"),$B27,INDIRECT(Equipo!$F$4&amp;"!"&amp;ADDRESS(10,COLUMN(E$9)+10)&amp;":"&amp;ADDRESS(1000,COLUMN(E$9)+10))),
SUMIF(INDIRECT(Equipo!$G$4&amp;"!B10:B1000"),$B27,INDIRECT(Equipo!$G$4&amp;"!"&amp;ADDRESS(10,COLUMN(E$9)+10)&amp;":"&amp;ADDRESS(1000,COLUMN(E$9)+10)))
))</f>
        <v>0</v>
      </c>
      <c r="F27" s="19">
        <f t="array" ref="F27">IF(ISBLANK(Tareas!$B23),"-",
SUM(
SUMIF(INDIRECT(Equipo!$C$4&amp;"!B10:B1000"),$B27,INDIRECT(Equipo!$C$4&amp;"!"&amp;ADDRESS(10,COLUMN(F$9)+10)&amp;":"&amp;ADDRESS(1000,COLUMN(F$9)+10))),
SUMIF(INDIRECT(Equipo!$D$4&amp;"!B10:B1000"),$B27,INDIRECT(Equipo!$D$4&amp;"!"&amp;ADDRESS(10,COLUMN(F$9)+10)&amp;":"&amp;ADDRESS(1000,COLUMN(F$9)+10))),
SUMIF(INDIRECT(Equipo!$E$4&amp;"!B10:B1000"),$B27,INDIRECT(Equipo!$E$4&amp;"!"&amp;ADDRESS(10,COLUMN(F$9)+10)&amp;":"&amp;ADDRESS(1000,COLUMN(F$9)+10))),
SUMIF(INDIRECT(Equipo!$F$4&amp;"!B10:B1000"),$B27,INDIRECT(Equipo!$F$4&amp;"!"&amp;ADDRESS(10,COLUMN(F$9)+10)&amp;":"&amp;ADDRESS(1000,COLUMN(F$9)+10))),
SUMIF(INDIRECT(Equipo!$G$4&amp;"!B10:B1000"),$B27,INDIRECT(Equipo!$G$4&amp;"!"&amp;ADDRESS(10,COLUMN(F$9)+10)&amp;":"&amp;ADDRESS(1000,COLUMN(F$9)+10)))
))</f>
        <v>0</v>
      </c>
      <c r="G27" s="19">
        <f t="array" ref="G27">IF(ISBLANK(Tareas!$B23),"-",
SUM(
SUMIF(INDIRECT(Equipo!$C$4&amp;"!B10:B1000"),$B27,INDIRECT(Equipo!$C$4&amp;"!"&amp;ADDRESS(10,COLUMN(G$9)+10)&amp;":"&amp;ADDRESS(1000,COLUMN(G$9)+10))),
SUMIF(INDIRECT(Equipo!$D$4&amp;"!B10:B1000"),$B27,INDIRECT(Equipo!$D$4&amp;"!"&amp;ADDRESS(10,COLUMN(G$9)+10)&amp;":"&amp;ADDRESS(1000,COLUMN(G$9)+10))),
SUMIF(INDIRECT(Equipo!$E$4&amp;"!B10:B1000"),$B27,INDIRECT(Equipo!$E$4&amp;"!"&amp;ADDRESS(10,COLUMN(G$9)+10)&amp;":"&amp;ADDRESS(1000,COLUMN(G$9)+10))),
SUMIF(INDIRECT(Equipo!$F$4&amp;"!B10:B1000"),$B27,INDIRECT(Equipo!$F$4&amp;"!"&amp;ADDRESS(10,COLUMN(G$9)+10)&amp;":"&amp;ADDRESS(1000,COLUMN(G$9)+10))),
SUMIF(INDIRECT(Equipo!$G$4&amp;"!B10:B1000"),$B27,INDIRECT(Equipo!$G$4&amp;"!"&amp;ADDRESS(10,COLUMN(G$9)+10)&amp;":"&amp;ADDRESS(1000,COLUMN(G$9)+10)))
))</f>
        <v>0.5</v>
      </c>
      <c r="H27" s="19">
        <f t="array" ref="H27">IF(ISBLANK(Tareas!$B23),"-",
SUM(
SUMIF(INDIRECT(Equipo!$C$4&amp;"!B10:B1000"),$B27,INDIRECT(Equipo!$C$4&amp;"!"&amp;ADDRESS(10,COLUMN(H$9)+10)&amp;":"&amp;ADDRESS(1000,COLUMN(H$9)+10))),
SUMIF(INDIRECT(Equipo!$D$4&amp;"!B10:B1000"),$B27,INDIRECT(Equipo!$D$4&amp;"!"&amp;ADDRESS(10,COLUMN(H$9)+10)&amp;":"&amp;ADDRESS(1000,COLUMN(H$9)+10))),
SUMIF(INDIRECT(Equipo!$E$4&amp;"!B10:B1000"),$B27,INDIRECT(Equipo!$E$4&amp;"!"&amp;ADDRESS(10,COLUMN(H$9)+10)&amp;":"&amp;ADDRESS(1000,COLUMN(H$9)+10))),
SUMIF(INDIRECT(Equipo!$F$4&amp;"!B10:B1000"),$B27,INDIRECT(Equipo!$F$4&amp;"!"&amp;ADDRESS(10,COLUMN(H$9)+10)&amp;":"&amp;ADDRESS(1000,COLUMN(H$9)+10))),
SUMIF(INDIRECT(Equipo!$G$4&amp;"!B10:B1000"),$B27,INDIRECT(Equipo!$G$4&amp;"!"&amp;ADDRESS(10,COLUMN(H$9)+10)&amp;":"&amp;ADDRESS(1000,COLUMN(H$9)+10)))
))</f>
        <v>0</v>
      </c>
      <c r="I27" s="19">
        <f t="array" ref="I27">IF(ISBLANK(Tareas!$B23),"-",
SUM(
SUMIF(INDIRECT(Equipo!$C$4&amp;"!B10:B1000"),$B27,INDIRECT(Equipo!$C$4&amp;"!"&amp;ADDRESS(10,COLUMN(I$9)+10)&amp;":"&amp;ADDRESS(1000,COLUMN(I$9)+10))),
SUMIF(INDIRECT(Equipo!$D$4&amp;"!B10:B1000"),$B27,INDIRECT(Equipo!$D$4&amp;"!"&amp;ADDRESS(10,COLUMN(I$9)+10)&amp;":"&amp;ADDRESS(1000,COLUMN(I$9)+10))),
SUMIF(INDIRECT(Equipo!$E$4&amp;"!B10:B1000"),$B27,INDIRECT(Equipo!$E$4&amp;"!"&amp;ADDRESS(10,COLUMN(I$9)+10)&amp;":"&amp;ADDRESS(1000,COLUMN(I$9)+10))),
SUMIF(INDIRECT(Equipo!$F$4&amp;"!B10:B1000"),$B27,INDIRECT(Equipo!$F$4&amp;"!"&amp;ADDRESS(10,COLUMN(I$9)+10)&amp;":"&amp;ADDRESS(1000,COLUMN(I$9)+10))),
SUMIF(INDIRECT(Equipo!$G$4&amp;"!B10:B1000"),$B27,INDIRECT(Equipo!$G$4&amp;"!"&amp;ADDRESS(10,COLUMN(I$9)+10)&amp;":"&amp;ADDRESS(1000,COLUMN(I$9)+10)))
))</f>
        <v>0</v>
      </c>
      <c r="J27" s="19">
        <f t="array" ref="J27">IF(ISBLANK(Tareas!$B23),"-",
SUM(
SUMIF(INDIRECT(Equipo!$C$4&amp;"!B10:B1000"),$B27,INDIRECT(Equipo!$C$4&amp;"!"&amp;ADDRESS(10,COLUMN(J$9)+10)&amp;":"&amp;ADDRESS(1000,COLUMN(J$9)+10))),
SUMIF(INDIRECT(Equipo!$D$4&amp;"!B10:B1000"),$B27,INDIRECT(Equipo!$D$4&amp;"!"&amp;ADDRESS(10,COLUMN(J$9)+10)&amp;":"&amp;ADDRESS(1000,COLUMN(J$9)+10))),
SUMIF(INDIRECT(Equipo!$E$4&amp;"!B10:B1000"),$B27,INDIRECT(Equipo!$E$4&amp;"!"&amp;ADDRESS(10,COLUMN(J$9)+10)&amp;":"&amp;ADDRESS(1000,COLUMN(J$9)+10))),
SUMIF(INDIRECT(Equipo!$F$4&amp;"!B10:B1000"),$B27,INDIRECT(Equipo!$F$4&amp;"!"&amp;ADDRESS(10,COLUMN(J$9)+10)&amp;":"&amp;ADDRESS(1000,COLUMN(J$9)+10))),
SUMIF(INDIRECT(Equipo!$G$4&amp;"!B10:B1000"),$B27,INDIRECT(Equipo!$G$4&amp;"!"&amp;ADDRESS(10,COLUMN(J$9)+10)&amp;":"&amp;ADDRESS(1000,COLUMN(J$9)+10)))
))</f>
        <v>0</v>
      </c>
      <c r="K27" s="19">
        <f t="array" ref="K27">IF(ISBLANK(Tareas!$B23),"-",
SUM(
SUMIF(INDIRECT(Equipo!$C$4&amp;"!B10:B1000"),$B27,INDIRECT(Equipo!$C$4&amp;"!"&amp;ADDRESS(10,COLUMN(K$9)+10)&amp;":"&amp;ADDRESS(1000,COLUMN(K$9)+10))),
SUMIF(INDIRECT(Equipo!$D$4&amp;"!B10:B1000"),$B27,INDIRECT(Equipo!$D$4&amp;"!"&amp;ADDRESS(10,COLUMN(K$9)+10)&amp;":"&amp;ADDRESS(1000,COLUMN(K$9)+10))),
SUMIF(INDIRECT(Equipo!$E$4&amp;"!B10:B1000"),$B27,INDIRECT(Equipo!$E$4&amp;"!"&amp;ADDRESS(10,COLUMN(K$9)+10)&amp;":"&amp;ADDRESS(1000,COLUMN(K$9)+10))),
SUMIF(INDIRECT(Equipo!$F$4&amp;"!B10:B1000"),$B27,INDIRECT(Equipo!$F$4&amp;"!"&amp;ADDRESS(10,COLUMN(K$9)+10)&amp;":"&amp;ADDRESS(1000,COLUMN(K$9)+10))),
SUMIF(INDIRECT(Equipo!$G$4&amp;"!B10:B1000"),$B27,INDIRECT(Equipo!$G$4&amp;"!"&amp;ADDRESS(10,COLUMN(K$9)+10)&amp;":"&amp;ADDRESS(1000,COLUMN(K$9)+10)))
))</f>
        <v>0</v>
      </c>
    </row>
    <row r="28" ht="15.75" customHeight="1">
      <c r="B28" s="1" t="str">
        <f>IF(ISBLANK(Tareas!B24)," - ",Tareas!B24)</f>
        <v>19. Introducción de los datos en EVM</v>
      </c>
      <c r="C28" s="19">
        <f>IF(ISBLANK(Tareas!$B24),"-",SUM(D28:M28))</f>
        <v>2.5</v>
      </c>
      <c r="D28" s="19">
        <f t="array" ref="D28">IF(ISBLANK(Tareas!$B24),"-",
SUM(
SUMIF(INDIRECT(Equipo!$C$4&amp;"!B10:B1000"),$B28,INDIRECT(Equipo!$C$4&amp;"!"&amp;ADDRESS(10,COLUMN(D$9)+10)&amp;":"&amp;ADDRESS(1000,COLUMN(D$9)+10))),
SUMIF(INDIRECT(Equipo!$D$4&amp;"!B10:B1000"),$B28,INDIRECT(Equipo!$D$4&amp;"!"&amp;ADDRESS(10,COLUMN(D$9)+10)&amp;":"&amp;ADDRESS(1000,COLUMN(D$9)+10))),
SUMIF(INDIRECT(Equipo!$E$4&amp;"!B10:B1000"),$B28,INDIRECT(Equipo!$E$4&amp;"!"&amp;ADDRESS(10,COLUMN(D$9)+10)&amp;":"&amp;ADDRESS(1000,COLUMN(D$9)+10))),
SUMIF(INDIRECT(Equipo!$F$4&amp;"!B10:B1000"),$B28,INDIRECT(Equipo!$F$4&amp;"!"&amp;ADDRESS(10,COLUMN(D$9)+10)&amp;":"&amp;ADDRESS(1000,COLUMN(D$9)+10))),
SUMIF(INDIRECT(Equipo!$G$4&amp;"!B10:B1000"),$B28,INDIRECT(Equipo!$G$4&amp;"!"&amp;ADDRESS(10,COLUMN(D$9)+10)&amp;":"&amp;ADDRESS(1000,COLUMN(D$9)+10)))
))</f>
        <v>0</v>
      </c>
      <c r="E28" s="19">
        <f t="array" ref="E28">IF(ISBLANK(Tareas!$B24),"-",
SUM(
SUMIF(INDIRECT(Equipo!$C$4&amp;"!B10:B1000"),$B28,INDIRECT(Equipo!$C$4&amp;"!"&amp;ADDRESS(10,COLUMN(E$9)+10)&amp;":"&amp;ADDRESS(1000,COLUMN(E$9)+10))),
SUMIF(INDIRECT(Equipo!$D$4&amp;"!B10:B1000"),$B28,INDIRECT(Equipo!$D$4&amp;"!"&amp;ADDRESS(10,COLUMN(E$9)+10)&amp;":"&amp;ADDRESS(1000,COLUMN(E$9)+10))),
SUMIF(INDIRECT(Equipo!$E$4&amp;"!B10:B1000"),$B28,INDIRECT(Equipo!$E$4&amp;"!"&amp;ADDRESS(10,COLUMN(E$9)+10)&amp;":"&amp;ADDRESS(1000,COLUMN(E$9)+10))),
SUMIF(INDIRECT(Equipo!$F$4&amp;"!B10:B1000"),$B28,INDIRECT(Equipo!$F$4&amp;"!"&amp;ADDRESS(10,COLUMN(E$9)+10)&amp;":"&amp;ADDRESS(1000,COLUMN(E$9)+10))),
SUMIF(INDIRECT(Equipo!$G$4&amp;"!B10:B1000"),$B28,INDIRECT(Equipo!$G$4&amp;"!"&amp;ADDRESS(10,COLUMN(E$9)+10)&amp;":"&amp;ADDRESS(1000,COLUMN(E$9)+10)))
))</f>
        <v>0</v>
      </c>
      <c r="F28" s="19">
        <f t="array" ref="F28">IF(ISBLANK(Tareas!$B24),"-",
SUM(
SUMIF(INDIRECT(Equipo!$C$4&amp;"!B10:B1000"),$B28,INDIRECT(Equipo!$C$4&amp;"!"&amp;ADDRESS(10,COLUMN(F$9)+10)&amp;":"&amp;ADDRESS(1000,COLUMN(F$9)+10))),
SUMIF(INDIRECT(Equipo!$D$4&amp;"!B10:B1000"),$B28,INDIRECT(Equipo!$D$4&amp;"!"&amp;ADDRESS(10,COLUMN(F$9)+10)&amp;":"&amp;ADDRESS(1000,COLUMN(F$9)+10))),
SUMIF(INDIRECT(Equipo!$E$4&amp;"!B10:B1000"),$B28,INDIRECT(Equipo!$E$4&amp;"!"&amp;ADDRESS(10,COLUMN(F$9)+10)&amp;":"&amp;ADDRESS(1000,COLUMN(F$9)+10))),
SUMIF(INDIRECT(Equipo!$F$4&amp;"!B10:B1000"),$B28,INDIRECT(Equipo!$F$4&amp;"!"&amp;ADDRESS(10,COLUMN(F$9)+10)&amp;":"&amp;ADDRESS(1000,COLUMN(F$9)+10))),
SUMIF(INDIRECT(Equipo!$G$4&amp;"!B10:B1000"),$B28,INDIRECT(Equipo!$G$4&amp;"!"&amp;ADDRESS(10,COLUMN(F$9)+10)&amp;":"&amp;ADDRESS(1000,COLUMN(F$9)+10)))
))</f>
        <v>0</v>
      </c>
      <c r="G28" s="19">
        <f t="array" ref="G28">IF(ISBLANK(Tareas!$B24),"-",
SUM(
SUMIF(INDIRECT(Equipo!$C$4&amp;"!B10:B1000"),$B28,INDIRECT(Equipo!$C$4&amp;"!"&amp;ADDRESS(10,COLUMN(G$9)+10)&amp;":"&amp;ADDRESS(1000,COLUMN(G$9)+10))),
SUMIF(INDIRECT(Equipo!$D$4&amp;"!B10:B1000"),$B28,INDIRECT(Equipo!$D$4&amp;"!"&amp;ADDRESS(10,COLUMN(G$9)+10)&amp;":"&amp;ADDRESS(1000,COLUMN(G$9)+10))),
SUMIF(INDIRECT(Equipo!$E$4&amp;"!B10:B1000"),$B28,INDIRECT(Equipo!$E$4&amp;"!"&amp;ADDRESS(10,COLUMN(G$9)+10)&amp;":"&amp;ADDRESS(1000,COLUMN(G$9)+10))),
SUMIF(INDIRECT(Equipo!$F$4&amp;"!B10:B1000"),$B28,INDIRECT(Equipo!$F$4&amp;"!"&amp;ADDRESS(10,COLUMN(G$9)+10)&amp;":"&amp;ADDRESS(1000,COLUMN(G$9)+10))),
SUMIF(INDIRECT(Equipo!$G$4&amp;"!B10:B1000"),$B28,INDIRECT(Equipo!$G$4&amp;"!"&amp;ADDRESS(10,COLUMN(G$9)+10)&amp;":"&amp;ADDRESS(1000,COLUMN(G$9)+10)))
))</f>
        <v>2.5</v>
      </c>
      <c r="H28" s="19">
        <f t="array" ref="H28">IF(ISBLANK(Tareas!$B24),"-",
SUM(
SUMIF(INDIRECT(Equipo!$C$4&amp;"!B10:B1000"),$B28,INDIRECT(Equipo!$C$4&amp;"!"&amp;ADDRESS(10,COLUMN(H$9)+10)&amp;":"&amp;ADDRESS(1000,COLUMN(H$9)+10))),
SUMIF(INDIRECT(Equipo!$D$4&amp;"!B10:B1000"),$B28,INDIRECT(Equipo!$D$4&amp;"!"&amp;ADDRESS(10,COLUMN(H$9)+10)&amp;":"&amp;ADDRESS(1000,COLUMN(H$9)+10))),
SUMIF(INDIRECT(Equipo!$E$4&amp;"!B10:B1000"),$B28,INDIRECT(Equipo!$E$4&amp;"!"&amp;ADDRESS(10,COLUMN(H$9)+10)&amp;":"&amp;ADDRESS(1000,COLUMN(H$9)+10))),
SUMIF(INDIRECT(Equipo!$F$4&amp;"!B10:B1000"),$B28,INDIRECT(Equipo!$F$4&amp;"!"&amp;ADDRESS(10,COLUMN(H$9)+10)&amp;":"&amp;ADDRESS(1000,COLUMN(H$9)+10))),
SUMIF(INDIRECT(Equipo!$G$4&amp;"!B10:B1000"),$B28,INDIRECT(Equipo!$G$4&amp;"!"&amp;ADDRESS(10,COLUMN(H$9)+10)&amp;":"&amp;ADDRESS(1000,COLUMN(H$9)+10)))
))</f>
        <v>0</v>
      </c>
      <c r="I28" s="19">
        <f t="array" ref="I28">IF(ISBLANK(Tareas!$B24),"-",
SUM(
SUMIF(INDIRECT(Equipo!$C$4&amp;"!B10:B1000"),$B28,INDIRECT(Equipo!$C$4&amp;"!"&amp;ADDRESS(10,COLUMN(I$9)+10)&amp;":"&amp;ADDRESS(1000,COLUMN(I$9)+10))),
SUMIF(INDIRECT(Equipo!$D$4&amp;"!B10:B1000"),$B28,INDIRECT(Equipo!$D$4&amp;"!"&amp;ADDRESS(10,COLUMN(I$9)+10)&amp;":"&amp;ADDRESS(1000,COLUMN(I$9)+10))),
SUMIF(INDIRECT(Equipo!$E$4&amp;"!B10:B1000"),$B28,INDIRECT(Equipo!$E$4&amp;"!"&amp;ADDRESS(10,COLUMN(I$9)+10)&amp;":"&amp;ADDRESS(1000,COLUMN(I$9)+10))),
SUMIF(INDIRECT(Equipo!$F$4&amp;"!B10:B1000"),$B28,INDIRECT(Equipo!$F$4&amp;"!"&amp;ADDRESS(10,COLUMN(I$9)+10)&amp;":"&amp;ADDRESS(1000,COLUMN(I$9)+10))),
SUMIF(INDIRECT(Equipo!$G$4&amp;"!B10:B1000"),$B28,INDIRECT(Equipo!$G$4&amp;"!"&amp;ADDRESS(10,COLUMN(I$9)+10)&amp;":"&amp;ADDRESS(1000,COLUMN(I$9)+10)))
))</f>
        <v>0</v>
      </c>
      <c r="J28" s="19">
        <f t="array" ref="J28">IF(ISBLANK(Tareas!$B24),"-",
SUM(
SUMIF(INDIRECT(Equipo!$C$4&amp;"!B10:B1000"),$B28,INDIRECT(Equipo!$C$4&amp;"!"&amp;ADDRESS(10,COLUMN(J$9)+10)&amp;":"&amp;ADDRESS(1000,COLUMN(J$9)+10))),
SUMIF(INDIRECT(Equipo!$D$4&amp;"!B10:B1000"),$B28,INDIRECT(Equipo!$D$4&amp;"!"&amp;ADDRESS(10,COLUMN(J$9)+10)&amp;":"&amp;ADDRESS(1000,COLUMN(J$9)+10))),
SUMIF(INDIRECT(Equipo!$E$4&amp;"!B10:B1000"),$B28,INDIRECT(Equipo!$E$4&amp;"!"&amp;ADDRESS(10,COLUMN(J$9)+10)&amp;":"&amp;ADDRESS(1000,COLUMN(J$9)+10))),
SUMIF(INDIRECT(Equipo!$F$4&amp;"!B10:B1000"),$B28,INDIRECT(Equipo!$F$4&amp;"!"&amp;ADDRESS(10,COLUMN(J$9)+10)&amp;":"&amp;ADDRESS(1000,COLUMN(J$9)+10))),
SUMIF(INDIRECT(Equipo!$G$4&amp;"!B10:B1000"),$B28,INDIRECT(Equipo!$G$4&amp;"!"&amp;ADDRESS(10,COLUMN(J$9)+10)&amp;":"&amp;ADDRESS(1000,COLUMN(J$9)+10)))
))</f>
        <v>0</v>
      </c>
      <c r="K28" s="19">
        <f t="array" ref="K28">IF(ISBLANK(Tareas!$B24),"-",
SUM(
SUMIF(INDIRECT(Equipo!$C$4&amp;"!B10:B1000"),$B28,INDIRECT(Equipo!$C$4&amp;"!"&amp;ADDRESS(10,COLUMN(K$9)+10)&amp;":"&amp;ADDRESS(1000,COLUMN(K$9)+10))),
SUMIF(INDIRECT(Equipo!$D$4&amp;"!B10:B1000"),$B28,INDIRECT(Equipo!$D$4&amp;"!"&amp;ADDRESS(10,COLUMN(K$9)+10)&amp;":"&amp;ADDRESS(1000,COLUMN(K$9)+10))),
SUMIF(INDIRECT(Equipo!$E$4&amp;"!B10:B1000"),$B28,INDIRECT(Equipo!$E$4&amp;"!"&amp;ADDRESS(10,COLUMN(K$9)+10)&amp;":"&amp;ADDRESS(1000,COLUMN(K$9)+10))),
SUMIF(INDIRECT(Equipo!$F$4&amp;"!B10:B1000"),$B28,INDIRECT(Equipo!$F$4&amp;"!"&amp;ADDRESS(10,COLUMN(K$9)+10)&amp;":"&amp;ADDRESS(1000,COLUMN(K$9)+10))),
SUMIF(INDIRECT(Equipo!$G$4&amp;"!B10:B1000"),$B28,INDIRECT(Equipo!$G$4&amp;"!"&amp;ADDRESS(10,COLUMN(K$9)+10)&amp;":"&amp;ADDRESS(1000,COLUMN(K$9)+10)))
))</f>
        <v>0</v>
      </c>
    </row>
    <row r="29" ht="15.75" customHeight="1">
      <c r="B29" s="1" t="str">
        <f>IF(ISBLANK(Tareas!B25)," - ",Tareas!B25)</f>
        <v>20. Definición del prototipo UI</v>
      </c>
      <c r="C29" s="19">
        <f>IF(ISBLANK(Tareas!$B25),"-",SUM(D29:M29))</f>
        <v>1</v>
      </c>
      <c r="D29" s="19">
        <f t="array" ref="D29">IF(ISBLANK(Tareas!$B25),"-",
SUM(
SUMIF(INDIRECT(Equipo!$C$4&amp;"!B10:B1000"),$B29,INDIRECT(Equipo!$C$4&amp;"!"&amp;ADDRESS(10,COLUMN(D$9)+10)&amp;":"&amp;ADDRESS(1000,COLUMN(D$9)+10))),
SUMIF(INDIRECT(Equipo!$D$4&amp;"!B10:B1000"),$B29,INDIRECT(Equipo!$D$4&amp;"!"&amp;ADDRESS(10,COLUMN(D$9)+10)&amp;":"&amp;ADDRESS(1000,COLUMN(D$9)+10))),
SUMIF(INDIRECT(Equipo!$E$4&amp;"!B10:B1000"),$B29,INDIRECT(Equipo!$E$4&amp;"!"&amp;ADDRESS(10,COLUMN(D$9)+10)&amp;":"&amp;ADDRESS(1000,COLUMN(D$9)+10))),
SUMIF(INDIRECT(Equipo!$F$4&amp;"!B10:B1000"),$B29,INDIRECT(Equipo!$F$4&amp;"!"&amp;ADDRESS(10,COLUMN(D$9)+10)&amp;":"&amp;ADDRESS(1000,COLUMN(D$9)+10))),
SUMIF(INDIRECT(Equipo!$G$4&amp;"!B10:B1000"),$B29,INDIRECT(Equipo!$G$4&amp;"!"&amp;ADDRESS(10,COLUMN(D$9)+10)&amp;":"&amp;ADDRESS(1000,COLUMN(D$9)+10)))
))</f>
        <v>0</v>
      </c>
      <c r="E29" s="19">
        <f t="array" ref="E29">IF(ISBLANK(Tareas!$B25),"-",
SUM(
SUMIF(INDIRECT(Equipo!$C$4&amp;"!B10:B1000"),$B29,INDIRECT(Equipo!$C$4&amp;"!"&amp;ADDRESS(10,COLUMN(E$9)+10)&amp;":"&amp;ADDRESS(1000,COLUMN(E$9)+10))),
SUMIF(INDIRECT(Equipo!$D$4&amp;"!B10:B1000"),$B29,INDIRECT(Equipo!$D$4&amp;"!"&amp;ADDRESS(10,COLUMN(E$9)+10)&amp;":"&amp;ADDRESS(1000,COLUMN(E$9)+10))),
SUMIF(INDIRECT(Equipo!$E$4&amp;"!B10:B1000"),$B29,INDIRECT(Equipo!$E$4&amp;"!"&amp;ADDRESS(10,COLUMN(E$9)+10)&amp;":"&amp;ADDRESS(1000,COLUMN(E$9)+10))),
SUMIF(INDIRECT(Equipo!$F$4&amp;"!B10:B1000"),$B29,INDIRECT(Equipo!$F$4&amp;"!"&amp;ADDRESS(10,COLUMN(E$9)+10)&amp;":"&amp;ADDRESS(1000,COLUMN(E$9)+10))),
SUMIF(INDIRECT(Equipo!$G$4&amp;"!B10:B1000"),$B29,INDIRECT(Equipo!$G$4&amp;"!"&amp;ADDRESS(10,COLUMN(E$9)+10)&amp;":"&amp;ADDRESS(1000,COLUMN(E$9)+10)))
))</f>
        <v>0</v>
      </c>
      <c r="F29" s="19">
        <f t="array" ref="F29">IF(ISBLANK(Tareas!$B25),"-",
SUM(
SUMIF(INDIRECT(Equipo!$C$4&amp;"!B10:B1000"),$B29,INDIRECT(Equipo!$C$4&amp;"!"&amp;ADDRESS(10,COLUMN(F$9)+10)&amp;":"&amp;ADDRESS(1000,COLUMN(F$9)+10))),
SUMIF(INDIRECT(Equipo!$D$4&amp;"!B10:B1000"),$B29,INDIRECT(Equipo!$D$4&amp;"!"&amp;ADDRESS(10,COLUMN(F$9)+10)&amp;":"&amp;ADDRESS(1000,COLUMN(F$9)+10))),
SUMIF(INDIRECT(Equipo!$E$4&amp;"!B10:B1000"),$B29,INDIRECT(Equipo!$E$4&amp;"!"&amp;ADDRESS(10,COLUMN(F$9)+10)&amp;":"&amp;ADDRESS(1000,COLUMN(F$9)+10))),
SUMIF(INDIRECT(Equipo!$F$4&amp;"!B10:B1000"),$B29,INDIRECT(Equipo!$F$4&amp;"!"&amp;ADDRESS(10,COLUMN(F$9)+10)&amp;":"&amp;ADDRESS(1000,COLUMN(F$9)+10))),
SUMIF(INDIRECT(Equipo!$G$4&amp;"!B10:B1000"),$B29,INDIRECT(Equipo!$G$4&amp;"!"&amp;ADDRESS(10,COLUMN(F$9)+10)&amp;":"&amp;ADDRESS(1000,COLUMN(F$9)+10)))
))</f>
        <v>0</v>
      </c>
      <c r="G29" s="19">
        <f t="array" ref="G29">IF(ISBLANK(Tareas!$B25),"-",
SUM(
SUMIF(INDIRECT(Equipo!$C$4&amp;"!B10:B1000"),$B29,INDIRECT(Equipo!$C$4&amp;"!"&amp;ADDRESS(10,COLUMN(G$9)+10)&amp;":"&amp;ADDRESS(1000,COLUMN(G$9)+10))),
SUMIF(INDIRECT(Equipo!$D$4&amp;"!B10:B1000"),$B29,INDIRECT(Equipo!$D$4&amp;"!"&amp;ADDRESS(10,COLUMN(G$9)+10)&amp;":"&amp;ADDRESS(1000,COLUMN(G$9)+10))),
SUMIF(INDIRECT(Equipo!$E$4&amp;"!B10:B1000"),$B29,INDIRECT(Equipo!$E$4&amp;"!"&amp;ADDRESS(10,COLUMN(G$9)+10)&amp;":"&amp;ADDRESS(1000,COLUMN(G$9)+10))),
SUMIF(INDIRECT(Equipo!$F$4&amp;"!B10:B1000"),$B29,INDIRECT(Equipo!$F$4&amp;"!"&amp;ADDRESS(10,COLUMN(G$9)+10)&amp;":"&amp;ADDRESS(1000,COLUMN(G$9)+10))),
SUMIF(INDIRECT(Equipo!$G$4&amp;"!B10:B1000"),$B29,INDIRECT(Equipo!$G$4&amp;"!"&amp;ADDRESS(10,COLUMN(G$9)+10)&amp;":"&amp;ADDRESS(1000,COLUMN(G$9)+10)))
))</f>
        <v>1</v>
      </c>
      <c r="H29" s="19">
        <f t="array" ref="H29">IF(ISBLANK(Tareas!$B25),"-",
SUM(
SUMIF(INDIRECT(Equipo!$C$4&amp;"!B10:B1000"),$B29,INDIRECT(Equipo!$C$4&amp;"!"&amp;ADDRESS(10,COLUMN(H$9)+10)&amp;":"&amp;ADDRESS(1000,COLUMN(H$9)+10))),
SUMIF(INDIRECT(Equipo!$D$4&amp;"!B10:B1000"),$B29,INDIRECT(Equipo!$D$4&amp;"!"&amp;ADDRESS(10,COLUMN(H$9)+10)&amp;":"&amp;ADDRESS(1000,COLUMN(H$9)+10))),
SUMIF(INDIRECT(Equipo!$E$4&amp;"!B10:B1000"),$B29,INDIRECT(Equipo!$E$4&amp;"!"&amp;ADDRESS(10,COLUMN(H$9)+10)&amp;":"&amp;ADDRESS(1000,COLUMN(H$9)+10))),
SUMIF(INDIRECT(Equipo!$F$4&amp;"!B10:B1000"),$B29,INDIRECT(Equipo!$F$4&amp;"!"&amp;ADDRESS(10,COLUMN(H$9)+10)&amp;":"&amp;ADDRESS(1000,COLUMN(H$9)+10))),
SUMIF(INDIRECT(Equipo!$G$4&amp;"!B10:B1000"),$B29,INDIRECT(Equipo!$G$4&amp;"!"&amp;ADDRESS(10,COLUMN(H$9)+10)&amp;":"&amp;ADDRESS(1000,COLUMN(H$9)+10)))
))</f>
        <v>0</v>
      </c>
      <c r="I29" s="19">
        <f t="array" ref="I29">IF(ISBLANK(Tareas!$B25),"-",
SUM(
SUMIF(INDIRECT(Equipo!$C$4&amp;"!B10:B1000"),$B29,INDIRECT(Equipo!$C$4&amp;"!"&amp;ADDRESS(10,COLUMN(I$9)+10)&amp;":"&amp;ADDRESS(1000,COLUMN(I$9)+10))),
SUMIF(INDIRECT(Equipo!$D$4&amp;"!B10:B1000"),$B29,INDIRECT(Equipo!$D$4&amp;"!"&amp;ADDRESS(10,COLUMN(I$9)+10)&amp;":"&amp;ADDRESS(1000,COLUMN(I$9)+10))),
SUMIF(INDIRECT(Equipo!$E$4&amp;"!B10:B1000"),$B29,INDIRECT(Equipo!$E$4&amp;"!"&amp;ADDRESS(10,COLUMN(I$9)+10)&amp;":"&amp;ADDRESS(1000,COLUMN(I$9)+10))),
SUMIF(INDIRECT(Equipo!$F$4&amp;"!B10:B1000"),$B29,INDIRECT(Equipo!$F$4&amp;"!"&amp;ADDRESS(10,COLUMN(I$9)+10)&amp;":"&amp;ADDRESS(1000,COLUMN(I$9)+10))),
SUMIF(INDIRECT(Equipo!$G$4&amp;"!B10:B1000"),$B29,INDIRECT(Equipo!$G$4&amp;"!"&amp;ADDRESS(10,COLUMN(I$9)+10)&amp;":"&amp;ADDRESS(1000,COLUMN(I$9)+10)))
))</f>
        <v>0</v>
      </c>
      <c r="J29" s="19">
        <f t="array" ref="J29">IF(ISBLANK(Tareas!$B25),"-",
SUM(
SUMIF(INDIRECT(Equipo!$C$4&amp;"!B10:B1000"),$B29,INDIRECT(Equipo!$C$4&amp;"!"&amp;ADDRESS(10,COLUMN(J$9)+10)&amp;":"&amp;ADDRESS(1000,COLUMN(J$9)+10))),
SUMIF(INDIRECT(Equipo!$D$4&amp;"!B10:B1000"),$B29,INDIRECT(Equipo!$D$4&amp;"!"&amp;ADDRESS(10,COLUMN(J$9)+10)&amp;":"&amp;ADDRESS(1000,COLUMN(J$9)+10))),
SUMIF(INDIRECT(Equipo!$E$4&amp;"!B10:B1000"),$B29,INDIRECT(Equipo!$E$4&amp;"!"&amp;ADDRESS(10,COLUMN(J$9)+10)&amp;":"&amp;ADDRESS(1000,COLUMN(J$9)+10))),
SUMIF(INDIRECT(Equipo!$F$4&amp;"!B10:B1000"),$B29,INDIRECT(Equipo!$F$4&amp;"!"&amp;ADDRESS(10,COLUMN(J$9)+10)&amp;":"&amp;ADDRESS(1000,COLUMN(J$9)+10))),
SUMIF(INDIRECT(Equipo!$G$4&amp;"!B10:B1000"),$B29,INDIRECT(Equipo!$G$4&amp;"!"&amp;ADDRESS(10,COLUMN(J$9)+10)&amp;":"&amp;ADDRESS(1000,COLUMN(J$9)+10)))
))</f>
        <v>0</v>
      </c>
      <c r="K29" s="19">
        <f t="array" ref="K29">IF(ISBLANK(Tareas!$B25),"-",
SUM(
SUMIF(INDIRECT(Equipo!$C$4&amp;"!B10:B1000"),$B29,INDIRECT(Equipo!$C$4&amp;"!"&amp;ADDRESS(10,COLUMN(K$9)+10)&amp;":"&amp;ADDRESS(1000,COLUMN(K$9)+10))),
SUMIF(INDIRECT(Equipo!$D$4&amp;"!B10:B1000"),$B29,INDIRECT(Equipo!$D$4&amp;"!"&amp;ADDRESS(10,COLUMN(K$9)+10)&amp;":"&amp;ADDRESS(1000,COLUMN(K$9)+10))),
SUMIF(INDIRECT(Equipo!$E$4&amp;"!B10:B1000"),$B29,INDIRECT(Equipo!$E$4&amp;"!"&amp;ADDRESS(10,COLUMN(K$9)+10)&amp;":"&amp;ADDRESS(1000,COLUMN(K$9)+10))),
SUMIF(INDIRECT(Equipo!$F$4&amp;"!B10:B1000"),$B29,INDIRECT(Equipo!$F$4&amp;"!"&amp;ADDRESS(10,COLUMN(K$9)+10)&amp;":"&amp;ADDRESS(1000,COLUMN(K$9)+10))),
SUMIF(INDIRECT(Equipo!$G$4&amp;"!B10:B1000"),$B29,INDIRECT(Equipo!$G$4&amp;"!"&amp;ADDRESS(10,COLUMN(K$9)+10)&amp;":"&amp;ADDRESS(1000,COLUMN(K$9)+10)))
))</f>
        <v>0</v>
      </c>
    </row>
    <row r="30" ht="15.75" customHeight="1">
      <c r="B30" s="1" t="str">
        <f>IF(ISBLANK(Tareas!B26)," - ",Tareas!B26)</f>
        <v>21. Reunión 5</v>
      </c>
      <c r="C30" s="19">
        <f>IF(ISBLANK(Tareas!$B26),"-",SUM(D30:M30))</f>
        <v>3.5</v>
      </c>
      <c r="D30" s="19">
        <f t="array" ref="D30">IF(ISBLANK(Tareas!$B26),"-",
SUM(
SUMIF(INDIRECT(Equipo!$C$4&amp;"!B10:B1000"),$B30,INDIRECT(Equipo!$C$4&amp;"!"&amp;ADDRESS(10,COLUMN(D$9)+10)&amp;":"&amp;ADDRESS(1000,COLUMN(D$9)+10))),
SUMIF(INDIRECT(Equipo!$D$4&amp;"!B10:B1000"),$B30,INDIRECT(Equipo!$D$4&amp;"!"&amp;ADDRESS(10,COLUMN(D$9)+10)&amp;":"&amp;ADDRESS(1000,COLUMN(D$9)+10))),
SUMIF(INDIRECT(Equipo!$E$4&amp;"!B10:B1000"),$B30,INDIRECT(Equipo!$E$4&amp;"!"&amp;ADDRESS(10,COLUMN(D$9)+10)&amp;":"&amp;ADDRESS(1000,COLUMN(D$9)+10))),
SUMIF(INDIRECT(Equipo!$F$4&amp;"!B10:B1000"),$B30,INDIRECT(Equipo!$F$4&amp;"!"&amp;ADDRESS(10,COLUMN(D$9)+10)&amp;":"&amp;ADDRESS(1000,COLUMN(D$9)+10))),
SUMIF(INDIRECT(Equipo!$G$4&amp;"!B10:B1000"),$B30,INDIRECT(Equipo!$G$4&amp;"!"&amp;ADDRESS(10,COLUMN(D$9)+10)&amp;":"&amp;ADDRESS(1000,COLUMN(D$9)+10)))
))</f>
        <v>0</v>
      </c>
      <c r="E30" s="19">
        <f t="array" ref="E30">IF(ISBLANK(Tareas!$B26),"-",
SUM(
SUMIF(INDIRECT(Equipo!$C$4&amp;"!B10:B1000"),$B30,INDIRECT(Equipo!$C$4&amp;"!"&amp;ADDRESS(10,COLUMN(E$9)+10)&amp;":"&amp;ADDRESS(1000,COLUMN(E$9)+10))),
SUMIF(INDIRECT(Equipo!$D$4&amp;"!B10:B1000"),$B30,INDIRECT(Equipo!$D$4&amp;"!"&amp;ADDRESS(10,COLUMN(E$9)+10)&amp;":"&amp;ADDRESS(1000,COLUMN(E$9)+10))),
SUMIF(INDIRECT(Equipo!$E$4&amp;"!B10:B1000"),$B30,INDIRECT(Equipo!$E$4&amp;"!"&amp;ADDRESS(10,COLUMN(E$9)+10)&amp;":"&amp;ADDRESS(1000,COLUMN(E$9)+10))),
SUMIF(INDIRECT(Equipo!$F$4&amp;"!B10:B1000"),$B30,INDIRECT(Equipo!$F$4&amp;"!"&amp;ADDRESS(10,COLUMN(E$9)+10)&amp;":"&amp;ADDRESS(1000,COLUMN(E$9)+10))),
SUMIF(INDIRECT(Equipo!$G$4&amp;"!B10:B1000"),$B30,INDIRECT(Equipo!$G$4&amp;"!"&amp;ADDRESS(10,COLUMN(E$9)+10)&amp;":"&amp;ADDRESS(1000,COLUMN(E$9)+10)))
))</f>
        <v>0</v>
      </c>
      <c r="F30" s="19">
        <f t="array" ref="F30">IF(ISBLANK(Tareas!$B26),"-",
SUM(
SUMIF(INDIRECT(Equipo!$C$4&amp;"!B10:B1000"),$B30,INDIRECT(Equipo!$C$4&amp;"!"&amp;ADDRESS(10,COLUMN(F$9)+10)&amp;":"&amp;ADDRESS(1000,COLUMN(F$9)+10))),
SUMIF(INDIRECT(Equipo!$D$4&amp;"!B10:B1000"),$B30,INDIRECT(Equipo!$D$4&amp;"!"&amp;ADDRESS(10,COLUMN(F$9)+10)&amp;":"&amp;ADDRESS(1000,COLUMN(F$9)+10))),
SUMIF(INDIRECT(Equipo!$E$4&amp;"!B10:B1000"),$B30,INDIRECT(Equipo!$E$4&amp;"!"&amp;ADDRESS(10,COLUMN(F$9)+10)&amp;":"&amp;ADDRESS(1000,COLUMN(F$9)+10))),
SUMIF(INDIRECT(Equipo!$F$4&amp;"!B10:B1000"),$B30,INDIRECT(Equipo!$F$4&amp;"!"&amp;ADDRESS(10,COLUMN(F$9)+10)&amp;":"&amp;ADDRESS(1000,COLUMN(F$9)+10))),
SUMIF(INDIRECT(Equipo!$G$4&amp;"!B10:B1000"),$B30,INDIRECT(Equipo!$G$4&amp;"!"&amp;ADDRESS(10,COLUMN(F$9)+10)&amp;":"&amp;ADDRESS(1000,COLUMN(F$9)+10)))
))</f>
        <v>0</v>
      </c>
      <c r="G30" s="19">
        <f t="array" ref="G30">IF(ISBLANK(Tareas!$B26),"-",
SUM(
SUMIF(INDIRECT(Equipo!$C$4&amp;"!B10:B1000"),$B30,INDIRECT(Equipo!$C$4&amp;"!"&amp;ADDRESS(10,COLUMN(G$9)+10)&amp;":"&amp;ADDRESS(1000,COLUMN(G$9)+10))),
SUMIF(INDIRECT(Equipo!$D$4&amp;"!B10:B1000"),$B30,INDIRECT(Equipo!$D$4&amp;"!"&amp;ADDRESS(10,COLUMN(G$9)+10)&amp;":"&amp;ADDRESS(1000,COLUMN(G$9)+10))),
SUMIF(INDIRECT(Equipo!$E$4&amp;"!B10:B1000"),$B30,INDIRECT(Equipo!$E$4&amp;"!"&amp;ADDRESS(10,COLUMN(G$9)+10)&amp;":"&amp;ADDRESS(1000,COLUMN(G$9)+10))),
SUMIF(INDIRECT(Equipo!$F$4&amp;"!B10:B1000"),$B30,INDIRECT(Equipo!$F$4&amp;"!"&amp;ADDRESS(10,COLUMN(G$9)+10)&amp;":"&amp;ADDRESS(1000,COLUMN(G$9)+10))),
SUMIF(INDIRECT(Equipo!$G$4&amp;"!B10:B1000"),$B30,INDIRECT(Equipo!$G$4&amp;"!"&amp;ADDRESS(10,COLUMN(G$9)+10)&amp;":"&amp;ADDRESS(1000,COLUMN(G$9)+10)))
))</f>
        <v>0</v>
      </c>
      <c r="H30" s="19">
        <f t="array" ref="H30">IF(ISBLANK(Tareas!$B26),"-",
SUM(
SUMIF(INDIRECT(Equipo!$C$4&amp;"!B10:B1000"),$B30,INDIRECT(Equipo!$C$4&amp;"!"&amp;ADDRESS(10,COLUMN(H$9)+10)&amp;":"&amp;ADDRESS(1000,COLUMN(H$9)+10))),
SUMIF(INDIRECT(Equipo!$D$4&amp;"!B10:B1000"),$B30,INDIRECT(Equipo!$D$4&amp;"!"&amp;ADDRESS(10,COLUMN(H$9)+10)&amp;":"&amp;ADDRESS(1000,COLUMN(H$9)+10))),
SUMIF(INDIRECT(Equipo!$E$4&amp;"!B10:B1000"),$B30,INDIRECT(Equipo!$E$4&amp;"!"&amp;ADDRESS(10,COLUMN(H$9)+10)&amp;":"&amp;ADDRESS(1000,COLUMN(H$9)+10))),
SUMIF(INDIRECT(Equipo!$F$4&amp;"!B10:B1000"),$B30,INDIRECT(Equipo!$F$4&amp;"!"&amp;ADDRESS(10,COLUMN(H$9)+10)&amp;":"&amp;ADDRESS(1000,COLUMN(H$9)+10))),
SUMIF(INDIRECT(Equipo!$G$4&amp;"!B10:B1000"),$B30,INDIRECT(Equipo!$G$4&amp;"!"&amp;ADDRESS(10,COLUMN(H$9)+10)&amp;":"&amp;ADDRESS(1000,COLUMN(H$9)+10)))
))</f>
        <v>3.5</v>
      </c>
      <c r="I30" s="19">
        <f t="array" ref="I30">IF(ISBLANK(Tareas!$B26),"-",
SUM(
SUMIF(INDIRECT(Equipo!$C$4&amp;"!B10:B1000"),$B30,INDIRECT(Equipo!$C$4&amp;"!"&amp;ADDRESS(10,COLUMN(I$9)+10)&amp;":"&amp;ADDRESS(1000,COLUMN(I$9)+10))),
SUMIF(INDIRECT(Equipo!$D$4&amp;"!B10:B1000"),$B30,INDIRECT(Equipo!$D$4&amp;"!"&amp;ADDRESS(10,COLUMN(I$9)+10)&amp;":"&amp;ADDRESS(1000,COLUMN(I$9)+10))),
SUMIF(INDIRECT(Equipo!$E$4&amp;"!B10:B1000"),$B30,INDIRECT(Equipo!$E$4&amp;"!"&amp;ADDRESS(10,COLUMN(I$9)+10)&amp;":"&amp;ADDRESS(1000,COLUMN(I$9)+10))),
SUMIF(INDIRECT(Equipo!$F$4&amp;"!B10:B1000"),$B30,INDIRECT(Equipo!$F$4&amp;"!"&amp;ADDRESS(10,COLUMN(I$9)+10)&amp;":"&amp;ADDRESS(1000,COLUMN(I$9)+10))),
SUMIF(INDIRECT(Equipo!$G$4&amp;"!B10:B1000"),$B30,INDIRECT(Equipo!$G$4&amp;"!"&amp;ADDRESS(10,COLUMN(I$9)+10)&amp;":"&amp;ADDRESS(1000,COLUMN(I$9)+10)))
))</f>
        <v>0</v>
      </c>
      <c r="J30" s="19">
        <f t="array" ref="J30">IF(ISBLANK(Tareas!$B26),"-",
SUM(
SUMIF(INDIRECT(Equipo!$C$4&amp;"!B10:B1000"),$B30,INDIRECT(Equipo!$C$4&amp;"!"&amp;ADDRESS(10,COLUMN(J$9)+10)&amp;":"&amp;ADDRESS(1000,COLUMN(J$9)+10))),
SUMIF(INDIRECT(Equipo!$D$4&amp;"!B10:B1000"),$B30,INDIRECT(Equipo!$D$4&amp;"!"&amp;ADDRESS(10,COLUMN(J$9)+10)&amp;":"&amp;ADDRESS(1000,COLUMN(J$9)+10))),
SUMIF(INDIRECT(Equipo!$E$4&amp;"!B10:B1000"),$B30,INDIRECT(Equipo!$E$4&amp;"!"&amp;ADDRESS(10,COLUMN(J$9)+10)&amp;":"&amp;ADDRESS(1000,COLUMN(J$9)+10))),
SUMIF(INDIRECT(Equipo!$F$4&amp;"!B10:B1000"),$B30,INDIRECT(Equipo!$F$4&amp;"!"&amp;ADDRESS(10,COLUMN(J$9)+10)&amp;":"&amp;ADDRESS(1000,COLUMN(J$9)+10))),
SUMIF(INDIRECT(Equipo!$G$4&amp;"!B10:B1000"),$B30,INDIRECT(Equipo!$G$4&amp;"!"&amp;ADDRESS(10,COLUMN(J$9)+10)&amp;":"&amp;ADDRESS(1000,COLUMN(J$9)+10)))
))</f>
        <v>0</v>
      </c>
      <c r="K30" s="19">
        <f t="array" ref="K30">IF(ISBLANK(Tareas!$B26),"-",
SUM(
SUMIF(INDIRECT(Equipo!$C$4&amp;"!B10:B1000"),$B30,INDIRECT(Equipo!$C$4&amp;"!"&amp;ADDRESS(10,COLUMN(K$9)+10)&amp;":"&amp;ADDRESS(1000,COLUMN(K$9)+10))),
SUMIF(INDIRECT(Equipo!$D$4&amp;"!B10:B1000"),$B30,INDIRECT(Equipo!$D$4&amp;"!"&amp;ADDRESS(10,COLUMN(K$9)+10)&amp;":"&amp;ADDRESS(1000,COLUMN(K$9)+10))),
SUMIF(INDIRECT(Equipo!$E$4&amp;"!B10:B1000"),$B30,INDIRECT(Equipo!$E$4&amp;"!"&amp;ADDRESS(10,COLUMN(K$9)+10)&amp;":"&amp;ADDRESS(1000,COLUMN(K$9)+10))),
SUMIF(INDIRECT(Equipo!$F$4&amp;"!B10:B1000"),$B30,INDIRECT(Equipo!$F$4&amp;"!"&amp;ADDRESS(10,COLUMN(K$9)+10)&amp;":"&amp;ADDRESS(1000,COLUMN(K$9)+10))),
SUMIF(INDIRECT(Equipo!$G$4&amp;"!B10:B1000"),$B30,INDIRECT(Equipo!$G$4&amp;"!"&amp;ADDRESS(10,COLUMN(K$9)+10)&amp;":"&amp;ADDRESS(1000,COLUMN(K$9)+10)))
))</f>
        <v>0</v>
      </c>
    </row>
    <row r="31" ht="15.75" customHeight="1">
      <c r="B31" s="1" t="str">
        <f>IF(ISBLANK(Tareas!B27)," - ",Tareas!B27)</f>
        <v>22. Actualización de EVM</v>
      </c>
      <c r="C31" s="19">
        <f>IF(ISBLANK(Tareas!$B27),"-",SUM(D31:M31))</f>
        <v>0.5</v>
      </c>
      <c r="D31" s="19">
        <f t="array" ref="D31">IF(ISBLANK(Tareas!$B27),"-",
SUM(
SUMIF(INDIRECT(Equipo!$C$4&amp;"!B10:B1000"),$B31,INDIRECT(Equipo!$C$4&amp;"!"&amp;ADDRESS(10,COLUMN(D$9)+10)&amp;":"&amp;ADDRESS(1000,COLUMN(D$9)+10))),
SUMIF(INDIRECT(Equipo!$D$4&amp;"!B10:B1000"),$B31,INDIRECT(Equipo!$D$4&amp;"!"&amp;ADDRESS(10,COLUMN(D$9)+10)&amp;":"&amp;ADDRESS(1000,COLUMN(D$9)+10))),
SUMIF(INDIRECT(Equipo!$E$4&amp;"!B10:B1000"),$B31,INDIRECT(Equipo!$E$4&amp;"!"&amp;ADDRESS(10,COLUMN(D$9)+10)&amp;":"&amp;ADDRESS(1000,COLUMN(D$9)+10))),
SUMIF(INDIRECT(Equipo!$F$4&amp;"!B10:B1000"),$B31,INDIRECT(Equipo!$F$4&amp;"!"&amp;ADDRESS(10,COLUMN(D$9)+10)&amp;":"&amp;ADDRESS(1000,COLUMN(D$9)+10))),
SUMIF(INDIRECT(Equipo!$G$4&amp;"!B10:B1000"),$B31,INDIRECT(Equipo!$G$4&amp;"!"&amp;ADDRESS(10,COLUMN(D$9)+10)&amp;":"&amp;ADDRESS(1000,COLUMN(D$9)+10)))
))</f>
        <v>0</v>
      </c>
      <c r="E31" s="19">
        <f t="array" ref="E31">IF(ISBLANK(Tareas!$B27),"-",
SUM(
SUMIF(INDIRECT(Equipo!$C$4&amp;"!B10:B1000"),$B31,INDIRECT(Equipo!$C$4&amp;"!"&amp;ADDRESS(10,COLUMN(E$9)+10)&amp;":"&amp;ADDRESS(1000,COLUMN(E$9)+10))),
SUMIF(INDIRECT(Equipo!$D$4&amp;"!B10:B1000"),$B31,INDIRECT(Equipo!$D$4&amp;"!"&amp;ADDRESS(10,COLUMN(E$9)+10)&amp;":"&amp;ADDRESS(1000,COLUMN(E$9)+10))),
SUMIF(INDIRECT(Equipo!$E$4&amp;"!B10:B1000"),$B31,INDIRECT(Equipo!$E$4&amp;"!"&amp;ADDRESS(10,COLUMN(E$9)+10)&amp;":"&amp;ADDRESS(1000,COLUMN(E$9)+10))),
SUMIF(INDIRECT(Equipo!$F$4&amp;"!B10:B1000"),$B31,INDIRECT(Equipo!$F$4&amp;"!"&amp;ADDRESS(10,COLUMN(E$9)+10)&amp;":"&amp;ADDRESS(1000,COLUMN(E$9)+10))),
SUMIF(INDIRECT(Equipo!$G$4&amp;"!B10:B1000"),$B31,INDIRECT(Equipo!$G$4&amp;"!"&amp;ADDRESS(10,COLUMN(E$9)+10)&amp;":"&amp;ADDRESS(1000,COLUMN(E$9)+10)))
))</f>
        <v>0</v>
      </c>
      <c r="F31" s="19">
        <f t="array" ref="F31">IF(ISBLANK(Tareas!$B27),"-",
SUM(
SUMIF(INDIRECT(Equipo!$C$4&amp;"!B10:B1000"),$B31,INDIRECT(Equipo!$C$4&amp;"!"&amp;ADDRESS(10,COLUMN(F$9)+10)&amp;":"&amp;ADDRESS(1000,COLUMN(F$9)+10))),
SUMIF(INDIRECT(Equipo!$D$4&amp;"!B10:B1000"),$B31,INDIRECT(Equipo!$D$4&amp;"!"&amp;ADDRESS(10,COLUMN(F$9)+10)&amp;":"&amp;ADDRESS(1000,COLUMN(F$9)+10))),
SUMIF(INDIRECT(Equipo!$E$4&amp;"!B10:B1000"),$B31,INDIRECT(Equipo!$E$4&amp;"!"&amp;ADDRESS(10,COLUMN(F$9)+10)&amp;":"&amp;ADDRESS(1000,COLUMN(F$9)+10))),
SUMIF(INDIRECT(Equipo!$F$4&amp;"!B10:B1000"),$B31,INDIRECT(Equipo!$F$4&amp;"!"&amp;ADDRESS(10,COLUMN(F$9)+10)&amp;":"&amp;ADDRESS(1000,COLUMN(F$9)+10))),
SUMIF(INDIRECT(Equipo!$G$4&amp;"!B10:B1000"),$B31,INDIRECT(Equipo!$G$4&amp;"!"&amp;ADDRESS(10,COLUMN(F$9)+10)&amp;":"&amp;ADDRESS(1000,COLUMN(F$9)+10)))
))</f>
        <v>0</v>
      </c>
      <c r="G31" s="19">
        <f t="array" ref="G31">IF(ISBLANK(Tareas!$B27),"-",
SUM(
SUMIF(INDIRECT(Equipo!$C$4&amp;"!B10:B1000"),$B31,INDIRECT(Equipo!$C$4&amp;"!"&amp;ADDRESS(10,COLUMN(G$9)+10)&amp;":"&amp;ADDRESS(1000,COLUMN(G$9)+10))),
SUMIF(INDIRECT(Equipo!$D$4&amp;"!B10:B1000"),$B31,INDIRECT(Equipo!$D$4&amp;"!"&amp;ADDRESS(10,COLUMN(G$9)+10)&amp;":"&amp;ADDRESS(1000,COLUMN(G$9)+10))),
SUMIF(INDIRECT(Equipo!$E$4&amp;"!B10:B1000"),$B31,INDIRECT(Equipo!$E$4&amp;"!"&amp;ADDRESS(10,COLUMN(G$9)+10)&amp;":"&amp;ADDRESS(1000,COLUMN(G$9)+10))),
SUMIF(INDIRECT(Equipo!$F$4&amp;"!B10:B1000"),$B31,INDIRECT(Equipo!$F$4&amp;"!"&amp;ADDRESS(10,COLUMN(G$9)+10)&amp;":"&amp;ADDRESS(1000,COLUMN(G$9)+10))),
SUMIF(INDIRECT(Equipo!$G$4&amp;"!B10:B1000"),$B31,INDIRECT(Equipo!$G$4&amp;"!"&amp;ADDRESS(10,COLUMN(G$9)+10)&amp;":"&amp;ADDRESS(1000,COLUMN(G$9)+10)))
))</f>
        <v>0</v>
      </c>
      <c r="H31" s="19">
        <f t="array" ref="H31">IF(ISBLANK(Tareas!$B27),"-",
SUM(
SUMIF(INDIRECT(Equipo!$C$4&amp;"!B10:B1000"),$B31,INDIRECT(Equipo!$C$4&amp;"!"&amp;ADDRESS(10,COLUMN(H$9)+10)&amp;":"&amp;ADDRESS(1000,COLUMN(H$9)+10))),
SUMIF(INDIRECT(Equipo!$D$4&amp;"!B10:B1000"),$B31,INDIRECT(Equipo!$D$4&amp;"!"&amp;ADDRESS(10,COLUMN(H$9)+10)&amp;":"&amp;ADDRESS(1000,COLUMN(H$9)+10))),
SUMIF(INDIRECT(Equipo!$E$4&amp;"!B10:B1000"),$B31,INDIRECT(Equipo!$E$4&amp;"!"&amp;ADDRESS(10,COLUMN(H$9)+10)&amp;":"&amp;ADDRESS(1000,COLUMN(H$9)+10))),
SUMIF(INDIRECT(Equipo!$F$4&amp;"!B10:B1000"),$B31,INDIRECT(Equipo!$F$4&amp;"!"&amp;ADDRESS(10,COLUMN(H$9)+10)&amp;":"&amp;ADDRESS(1000,COLUMN(H$9)+10))),
SUMIF(INDIRECT(Equipo!$G$4&amp;"!B10:B1000"),$B31,INDIRECT(Equipo!$G$4&amp;"!"&amp;ADDRESS(10,COLUMN(H$9)+10)&amp;":"&amp;ADDRESS(1000,COLUMN(H$9)+10)))
))</f>
        <v>0.5</v>
      </c>
      <c r="I31" s="19">
        <f t="array" ref="I31">IF(ISBLANK(Tareas!$B27),"-",
SUM(
SUMIF(INDIRECT(Equipo!$C$4&amp;"!B10:B1000"),$B31,INDIRECT(Equipo!$C$4&amp;"!"&amp;ADDRESS(10,COLUMN(I$9)+10)&amp;":"&amp;ADDRESS(1000,COLUMN(I$9)+10))),
SUMIF(INDIRECT(Equipo!$D$4&amp;"!B10:B1000"),$B31,INDIRECT(Equipo!$D$4&amp;"!"&amp;ADDRESS(10,COLUMN(I$9)+10)&amp;":"&amp;ADDRESS(1000,COLUMN(I$9)+10))),
SUMIF(INDIRECT(Equipo!$E$4&amp;"!B10:B1000"),$B31,INDIRECT(Equipo!$E$4&amp;"!"&amp;ADDRESS(10,COLUMN(I$9)+10)&amp;":"&amp;ADDRESS(1000,COLUMN(I$9)+10))),
SUMIF(INDIRECT(Equipo!$F$4&amp;"!B10:B1000"),$B31,INDIRECT(Equipo!$F$4&amp;"!"&amp;ADDRESS(10,COLUMN(I$9)+10)&amp;":"&amp;ADDRESS(1000,COLUMN(I$9)+10))),
SUMIF(INDIRECT(Equipo!$G$4&amp;"!B10:B1000"),$B31,INDIRECT(Equipo!$G$4&amp;"!"&amp;ADDRESS(10,COLUMN(I$9)+10)&amp;":"&amp;ADDRESS(1000,COLUMN(I$9)+10)))
))</f>
        <v>0</v>
      </c>
      <c r="J31" s="19">
        <f t="array" ref="J31">IF(ISBLANK(Tareas!$B27),"-",
SUM(
SUMIF(INDIRECT(Equipo!$C$4&amp;"!B10:B1000"),$B31,INDIRECT(Equipo!$C$4&amp;"!"&amp;ADDRESS(10,COLUMN(J$9)+10)&amp;":"&amp;ADDRESS(1000,COLUMN(J$9)+10))),
SUMIF(INDIRECT(Equipo!$D$4&amp;"!B10:B1000"),$B31,INDIRECT(Equipo!$D$4&amp;"!"&amp;ADDRESS(10,COLUMN(J$9)+10)&amp;":"&amp;ADDRESS(1000,COLUMN(J$9)+10))),
SUMIF(INDIRECT(Equipo!$E$4&amp;"!B10:B1000"),$B31,INDIRECT(Equipo!$E$4&amp;"!"&amp;ADDRESS(10,COLUMN(J$9)+10)&amp;":"&amp;ADDRESS(1000,COLUMN(J$9)+10))),
SUMIF(INDIRECT(Equipo!$F$4&amp;"!B10:B1000"),$B31,INDIRECT(Equipo!$F$4&amp;"!"&amp;ADDRESS(10,COLUMN(J$9)+10)&amp;":"&amp;ADDRESS(1000,COLUMN(J$9)+10))),
SUMIF(INDIRECT(Equipo!$G$4&amp;"!B10:B1000"),$B31,INDIRECT(Equipo!$G$4&amp;"!"&amp;ADDRESS(10,COLUMN(J$9)+10)&amp;":"&amp;ADDRESS(1000,COLUMN(J$9)+10)))
))</f>
        <v>0</v>
      </c>
      <c r="K31" s="19">
        <f t="array" ref="K31">IF(ISBLANK(Tareas!$B27),"-",
SUM(
SUMIF(INDIRECT(Equipo!$C$4&amp;"!B10:B1000"),$B31,INDIRECT(Equipo!$C$4&amp;"!"&amp;ADDRESS(10,COLUMN(K$9)+10)&amp;":"&amp;ADDRESS(1000,COLUMN(K$9)+10))),
SUMIF(INDIRECT(Equipo!$D$4&amp;"!B10:B1000"),$B31,INDIRECT(Equipo!$D$4&amp;"!"&amp;ADDRESS(10,COLUMN(K$9)+10)&amp;":"&amp;ADDRESS(1000,COLUMN(K$9)+10))),
SUMIF(INDIRECT(Equipo!$E$4&amp;"!B10:B1000"),$B31,INDIRECT(Equipo!$E$4&amp;"!"&amp;ADDRESS(10,COLUMN(K$9)+10)&amp;":"&amp;ADDRESS(1000,COLUMN(K$9)+10))),
SUMIF(INDIRECT(Equipo!$F$4&amp;"!B10:B1000"),$B31,INDIRECT(Equipo!$F$4&amp;"!"&amp;ADDRESS(10,COLUMN(K$9)+10)&amp;":"&amp;ADDRESS(1000,COLUMN(K$9)+10))),
SUMIF(INDIRECT(Equipo!$G$4&amp;"!B10:B1000"),$B31,INDIRECT(Equipo!$G$4&amp;"!"&amp;ADDRESS(10,COLUMN(K$9)+10)&amp;":"&amp;ADDRESS(1000,COLUMN(K$9)+10)))
))</f>
        <v>0</v>
      </c>
    </row>
    <row r="32" ht="15.75" customHeight="1">
      <c r="B32" s="1" t="str">
        <f>IF(ISBLANK(Tareas!B28)," - ",Tareas!B28)</f>
        <v>23. Revisión intermedia del diseño</v>
      </c>
      <c r="C32" s="19">
        <f>IF(ISBLANK(Tareas!$B28),"-",SUM(D32:M32))</f>
        <v>0.5</v>
      </c>
      <c r="D32" s="19">
        <f t="array" ref="D32">IF(ISBLANK(Tareas!$B28),"-",
SUM(
SUMIF(INDIRECT(Equipo!$C$4&amp;"!B10:B1000"),$B32,INDIRECT(Equipo!$C$4&amp;"!"&amp;ADDRESS(10,COLUMN(D$9)+10)&amp;":"&amp;ADDRESS(1000,COLUMN(D$9)+10))),
SUMIF(INDIRECT(Equipo!$D$4&amp;"!B10:B1000"),$B32,INDIRECT(Equipo!$D$4&amp;"!"&amp;ADDRESS(10,COLUMN(D$9)+10)&amp;":"&amp;ADDRESS(1000,COLUMN(D$9)+10))),
SUMIF(INDIRECT(Equipo!$E$4&amp;"!B10:B1000"),$B32,INDIRECT(Equipo!$E$4&amp;"!"&amp;ADDRESS(10,COLUMN(D$9)+10)&amp;":"&amp;ADDRESS(1000,COLUMN(D$9)+10))),
SUMIF(INDIRECT(Equipo!$F$4&amp;"!B10:B1000"),$B32,INDIRECT(Equipo!$F$4&amp;"!"&amp;ADDRESS(10,COLUMN(D$9)+10)&amp;":"&amp;ADDRESS(1000,COLUMN(D$9)+10))),
SUMIF(INDIRECT(Equipo!$G$4&amp;"!B10:B1000"),$B32,INDIRECT(Equipo!$G$4&amp;"!"&amp;ADDRESS(10,COLUMN(D$9)+10)&amp;":"&amp;ADDRESS(1000,COLUMN(D$9)+10)))
))</f>
        <v>0</v>
      </c>
      <c r="E32" s="19">
        <f t="array" ref="E32">IF(ISBLANK(Tareas!$B28),"-",
SUM(
SUMIF(INDIRECT(Equipo!$C$4&amp;"!B10:B1000"),$B32,INDIRECT(Equipo!$C$4&amp;"!"&amp;ADDRESS(10,COLUMN(E$9)+10)&amp;":"&amp;ADDRESS(1000,COLUMN(E$9)+10))),
SUMIF(INDIRECT(Equipo!$D$4&amp;"!B10:B1000"),$B32,INDIRECT(Equipo!$D$4&amp;"!"&amp;ADDRESS(10,COLUMN(E$9)+10)&amp;":"&amp;ADDRESS(1000,COLUMN(E$9)+10))),
SUMIF(INDIRECT(Equipo!$E$4&amp;"!B10:B1000"),$B32,INDIRECT(Equipo!$E$4&amp;"!"&amp;ADDRESS(10,COLUMN(E$9)+10)&amp;":"&amp;ADDRESS(1000,COLUMN(E$9)+10))),
SUMIF(INDIRECT(Equipo!$F$4&amp;"!B10:B1000"),$B32,INDIRECT(Equipo!$F$4&amp;"!"&amp;ADDRESS(10,COLUMN(E$9)+10)&amp;":"&amp;ADDRESS(1000,COLUMN(E$9)+10))),
SUMIF(INDIRECT(Equipo!$G$4&amp;"!B10:B1000"),$B32,INDIRECT(Equipo!$G$4&amp;"!"&amp;ADDRESS(10,COLUMN(E$9)+10)&amp;":"&amp;ADDRESS(1000,COLUMN(E$9)+10)))
))</f>
        <v>0</v>
      </c>
      <c r="F32" s="19">
        <f t="array" ref="F32">IF(ISBLANK(Tareas!$B28),"-",
SUM(
SUMIF(INDIRECT(Equipo!$C$4&amp;"!B10:B1000"),$B32,INDIRECT(Equipo!$C$4&amp;"!"&amp;ADDRESS(10,COLUMN(F$9)+10)&amp;":"&amp;ADDRESS(1000,COLUMN(F$9)+10))),
SUMIF(INDIRECT(Equipo!$D$4&amp;"!B10:B1000"),$B32,INDIRECT(Equipo!$D$4&amp;"!"&amp;ADDRESS(10,COLUMN(F$9)+10)&amp;":"&amp;ADDRESS(1000,COLUMN(F$9)+10))),
SUMIF(INDIRECT(Equipo!$E$4&amp;"!B10:B1000"),$B32,INDIRECT(Equipo!$E$4&amp;"!"&amp;ADDRESS(10,COLUMN(F$9)+10)&amp;":"&amp;ADDRESS(1000,COLUMN(F$9)+10))),
SUMIF(INDIRECT(Equipo!$F$4&amp;"!B10:B1000"),$B32,INDIRECT(Equipo!$F$4&amp;"!"&amp;ADDRESS(10,COLUMN(F$9)+10)&amp;":"&amp;ADDRESS(1000,COLUMN(F$9)+10))),
SUMIF(INDIRECT(Equipo!$G$4&amp;"!B10:B1000"),$B32,INDIRECT(Equipo!$G$4&amp;"!"&amp;ADDRESS(10,COLUMN(F$9)+10)&amp;":"&amp;ADDRESS(1000,COLUMN(F$9)+10)))
))</f>
        <v>0</v>
      </c>
      <c r="G32" s="19">
        <f t="array" ref="G32">IF(ISBLANK(Tareas!$B28),"-",
SUM(
SUMIF(INDIRECT(Equipo!$C$4&amp;"!B10:B1000"),$B32,INDIRECT(Equipo!$C$4&amp;"!"&amp;ADDRESS(10,COLUMN(G$9)+10)&amp;":"&amp;ADDRESS(1000,COLUMN(G$9)+10))),
SUMIF(INDIRECT(Equipo!$D$4&amp;"!B10:B1000"),$B32,INDIRECT(Equipo!$D$4&amp;"!"&amp;ADDRESS(10,COLUMN(G$9)+10)&amp;":"&amp;ADDRESS(1000,COLUMN(G$9)+10))),
SUMIF(INDIRECT(Equipo!$E$4&amp;"!B10:B1000"),$B32,INDIRECT(Equipo!$E$4&amp;"!"&amp;ADDRESS(10,COLUMN(G$9)+10)&amp;":"&amp;ADDRESS(1000,COLUMN(G$9)+10))),
SUMIF(INDIRECT(Equipo!$F$4&amp;"!B10:B1000"),$B32,INDIRECT(Equipo!$F$4&amp;"!"&amp;ADDRESS(10,COLUMN(G$9)+10)&amp;":"&amp;ADDRESS(1000,COLUMN(G$9)+10))),
SUMIF(INDIRECT(Equipo!$G$4&amp;"!B10:B1000"),$B32,INDIRECT(Equipo!$G$4&amp;"!"&amp;ADDRESS(10,COLUMN(G$9)+10)&amp;":"&amp;ADDRESS(1000,COLUMN(G$9)+10)))
))</f>
        <v>0</v>
      </c>
      <c r="H32" s="19">
        <f t="array" ref="H32">IF(ISBLANK(Tareas!$B28),"-",
SUM(
SUMIF(INDIRECT(Equipo!$C$4&amp;"!B10:B1000"),$B32,INDIRECT(Equipo!$C$4&amp;"!"&amp;ADDRESS(10,COLUMN(H$9)+10)&amp;":"&amp;ADDRESS(1000,COLUMN(H$9)+10))),
SUMIF(INDIRECT(Equipo!$D$4&amp;"!B10:B1000"),$B32,INDIRECT(Equipo!$D$4&amp;"!"&amp;ADDRESS(10,COLUMN(H$9)+10)&amp;":"&amp;ADDRESS(1000,COLUMN(H$9)+10))),
SUMIF(INDIRECT(Equipo!$E$4&amp;"!B10:B1000"),$B32,INDIRECT(Equipo!$E$4&amp;"!"&amp;ADDRESS(10,COLUMN(H$9)+10)&amp;":"&amp;ADDRESS(1000,COLUMN(H$9)+10))),
SUMIF(INDIRECT(Equipo!$F$4&amp;"!B10:B1000"),$B32,INDIRECT(Equipo!$F$4&amp;"!"&amp;ADDRESS(10,COLUMN(H$9)+10)&amp;":"&amp;ADDRESS(1000,COLUMN(H$9)+10))),
SUMIF(INDIRECT(Equipo!$G$4&amp;"!B10:B1000"),$B32,INDIRECT(Equipo!$G$4&amp;"!"&amp;ADDRESS(10,COLUMN(H$9)+10)&amp;":"&amp;ADDRESS(1000,COLUMN(H$9)+10)))
))</f>
        <v>0.5</v>
      </c>
      <c r="I32" s="19">
        <f t="array" ref="I32">IF(ISBLANK(Tareas!$B28),"-",
SUM(
SUMIF(INDIRECT(Equipo!$C$4&amp;"!B10:B1000"),$B32,INDIRECT(Equipo!$C$4&amp;"!"&amp;ADDRESS(10,COLUMN(I$9)+10)&amp;":"&amp;ADDRESS(1000,COLUMN(I$9)+10))),
SUMIF(INDIRECT(Equipo!$D$4&amp;"!B10:B1000"),$B32,INDIRECT(Equipo!$D$4&amp;"!"&amp;ADDRESS(10,COLUMN(I$9)+10)&amp;":"&amp;ADDRESS(1000,COLUMN(I$9)+10))),
SUMIF(INDIRECT(Equipo!$E$4&amp;"!B10:B1000"),$B32,INDIRECT(Equipo!$E$4&amp;"!"&amp;ADDRESS(10,COLUMN(I$9)+10)&amp;":"&amp;ADDRESS(1000,COLUMN(I$9)+10))),
SUMIF(INDIRECT(Equipo!$F$4&amp;"!B10:B1000"),$B32,INDIRECT(Equipo!$F$4&amp;"!"&amp;ADDRESS(10,COLUMN(I$9)+10)&amp;":"&amp;ADDRESS(1000,COLUMN(I$9)+10))),
SUMIF(INDIRECT(Equipo!$G$4&amp;"!B10:B1000"),$B32,INDIRECT(Equipo!$G$4&amp;"!"&amp;ADDRESS(10,COLUMN(I$9)+10)&amp;":"&amp;ADDRESS(1000,COLUMN(I$9)+10)))
))</f>
        <v>0</v>
      </c>
      <c r="J32" s="19">
        <f t="array" ref="J32">IF(ISBLANK(Tareas!$B28),"-",
SUM(
SUMIF(INDIRECT(Equipo!$C$4&amp;"!B10:B1000"),$B32,INDIRECT(Equipo!$C$4&amp;"!"&amp;ADDRESS(10,COLUMN(J$9)+10)&amp;":"&amp;ADDRESS(1000,COLUMN(J$9)+10))),
SUMIF(INDIRECT(Equipo!$D$4&amp;"!B10:B1000"),$B32,INDIRECT(Equipo!$D$4&amp;"!"&amp;ADDRESS(10,COLUMN(J$9)+10)&amp;":"&amp;ADDRESS(1000,COLUMN(J$9)+10))),
SUMIF(INDIRECT(Equipo!$E$4&amp;"!B10:B1000"),$B32,INDIRECT(Equipo!$E$4&amp;"!"&amp;ADDRESS(10,COLUMN(J$9)+10)&amp;":"&amp;ADDRESS(1000,COLUMN(J$9)+10))),
SUMIF(INDIRECT(Equipo!$F$4&amp;"!B10:B1000"),$B32,INDIRECT(Equipo!$F$4&amp;"!"&amp;ADDRESS(10,COLUMN(J$9)+10)&amp;":"&amp;ADDRESS(1000,COLUMN(J$9)+10))),
SUMIF(INDIRECT(Equipo!$G$4&amp;"!B10:B1000"),$B32,INDIRECT(Equipo!$G$4&amp;"!"&amp;ADDRESS(10,COLUMN(J$9)+10)&amp;":"&amp;ADDRESS(1000,COLUMN(J$9)+10)))
))</f>
        <v>0</v>
      </c>
      <c r="K32" s="19">
        <f t="array" ref="K32">IF(ISBLANK(Tareas!$B28),"-",
SUM(
SUMIF(INDIRECT(Equipo!$C$4&amp;"!B10:B1000"),$B32,INDIRECT(Equipo!$C$4&amp;"!"&amp;ADDRESS(10,COLUMN(K$9)+10)&amp;":"&amp;ADDRESS(1000,COLUMN(K$9)+10))),
SUMIF(INDIRECT(Equipo!$D$4&amp;"!B10:B1000"),$B32,INDIRECT(Equipo!$D$4&amp;"!"&amp;ADDRESS(10,COLUMN(K$9)+10)&amp;":"&amp;ADDRESS(1000,COLUMN(K$9)+10))),
SUMIF(INDIRECT(Equipo!$E$4&amp;"!B10:B1000"),$B32,INDIRECT(Equipo!$E$4&amp;"!"&amp;ADDRESS(10,COLUMN(K$9)+10)&amp;":"&amp;ADDRESS(1000,COLUMN(K$9)+10))),
SUMIF(INDIRECT(Equipo!$F$4&amp;"!B10:B1000"),$B32,INDIRECT(Equipo!$F$4&amp;"!"&amp;ADDRESS(10,COLUMN(K$9)+10)&amp;":"&amp;ADDRESS(1000,COLUMN(K$9)+10))),
SUMIF(INDIRECT(Equipo!$G$4&amp;"!B10:B1000"),$B32,INDIRECT(Equipo!$G$4&amp;"!"&amp;ADDRESS(10,COLUMN(K$9)+10)&amp;":"&amp;ADDRESS(1000,COLUMN(K$9)+10)))
))</f>
        <v>0</v>
      </c>
    </row>
    <row r="33" ht="15.75" customHeight="1">
      <c r="B33" s="1" t="str">
        <f>IF(ISBLANK(Tareas!B29)," - ",Tareas!B29)</f>
        <v>24. Implementación de la persistencia y estructura de datos</v>
      </c>
      <c r="C33" s="19">
        <f>IF(ISBLANK(Tareas!$B29),"-",SUM(D33:M33))</f>
        <v>1</v>
      </c>
      <c r="D33" s="19">
        <f t="array" ref="D33">IF(ISBLANK(Tareas!$B29),"-",
SUM(
SUMIF(INDIRECT(Equipo!$C$4&amp;"!B10:B1000"),$B33,INDIRECT(Equipo!$C$4&amp;"!"&amp;ADDRESS(10,COLUMN(D$9)+10)&amp;":"&amp;ADDRESS(1000,COLUMN(D$9)+10))),
SUMIF(INDIRECT(Equipo!$D$4&amp;"!B10:B1000"),$B33,INDIRECT(Equipo!$D$4&amp;"!"&amp;ADDRESS(10,COLUMN(D$9)+10)&amp;":"&amp;ADDRESS(1000,COLUMN(D$9)+10))),
SUMIF(INDIRECT(Equipo!$E$4&amp;"!B10:B1000"),$B33,INDIRECT(Equipo!$E$4&amp;"!"&amp;ADDRESS(10,COLUMN(D$9)+10)&amp;":"&amp;ADDRESS(1000,COLUMN(D$9)+10))),
SUMIF(INDIRECT(Equipo!$F$4&amp;"!B10:B1000"),$B33,INDIRECT(Equipo!$F$4&amp;"!"&amp;ADDRESS(10,COLUMN(D$9)+10)&amp;":"&amp;ADDRESS(1000,COLUMN(D$9)+10))),
SUMIF(INDIRECT(Equipo!$G$4&amp;"!B10:B1000"),$B33,INDIRECT(Equipo!$G$4&amp;"!"&amp;ADDRESS(10,COLUMN(D$9)+10)&amp;":"&amp;ADDRESS(1000,COLUMN(D$9)+10)))
))</f>
        <v>0</v>
      </c>
      <c r="E33" s="19">
        <f t="array" ref="E33">IF(ISBLANK(Tareas!$B29),"-",
SUM(
SUMIF(INDIRECT(Equipo!$C$4&amp;"!B10:B1000"),$B33,INDIRECT(Equipo!$C$4&amp;"!"&amp;ADDRESS(10,COLUMN(E$9)+10)&amp;":"&amp;ADDRESS(1000,COLUMN(E$9)+10))),
SUMIF(INDIRECT(Equipo!$D$4&amp;"!B10:B1000"),$B33,INDIRECT(Equipo!$D$4&amp;"!"&amp;ADDRESS(10,COLUMN(E$9)+10)&amp;":"&amp;ADDRESS(1000,COLUMN(E$9)+10))),
SUMIF(INDIRECT(Equipo!$E$4&amp;"!B10:B1000"),$B33,INDIRECT(Equipo!$E$4&amp;"!"&amp;ADDRESS(10,COLUMN(E$9)+10)&amp;":"&amp;ADDRESS(1000,COLUMN(E$9)+10))),
SUMIF(INDIRECT(Equipo!$F$4&amp;"!B10:B1000"),$B33,INDIRECT(Equipo!$F$4&amp;"!"&amp;ADDRESS(10,COLUMN(E$9)+10)&amp;":"&amp;ADDRESS(1000,COLUMN(E$9)+10))),
SUMIF(INDIRECT(Equipo!$G$4&amp;"!B10:B1000"),$B33,INDIRECT(Equipo!$G$4&amp;"!"&amp;ADDRESS(10,COLUMN(E$9)+10)&amp;":"&amp;ADDRESS(1000,COLUMN(E$9)+10)))
))</f>
        <v>0</v>
      </c>
      <c r="F33" s="19">
        <f t="array" ref="F33">IF(ISBLANK(Tareas!$B29),"-",
SUM(
SUMIF(INDIRECT(Equipo!$C$4&amp;"!B10:B1000"),$B33,INDIRECT(Equipo!$C$4&amp;"!"&amp;ADDRESS(10,COLUMN(F$9)+10)&amp;":"&amp;ADDRESS(1000,COLUMN(F$9)+10))),
SUMIF(INDIRECT(Equipo!$D$4&amp;"!B10:B1000"),$B33,INDIRECT(Equipo!$D$4&amp;"!"&amp;ADDRESS(10,COLUMN(F$9)+10)&amp;":"&amp;ADDRESS(1000,COLUMN(F$9)+10))),
SUMIF(INDIRECT(Equipo!$E$4&amp;"!B10:B1000"),$B33,INDIRECT(Equipo!$E$4&amp;"!"&amp;ADDRESS(10,COLUMN(F$9)+10)&amp;":"&amp;ADDRESS(1000,COLUMN(F$9)+10))),
SUMIF(INDIRECT(Equipo!$F$4&amp;"!B10:B1000"),$B33,INDIRECT(Equipo!$F$4&amp;"!"&amp;ADDRESS(10,COLUMN(F$9)+10)&amp;":"&amp;ADDRESS(1000,COLUMN(F$9)+10))),
SUMIF(INDIRECT(Equipo!$G$4&amp;"!B10:B1000"),$B33,INDIRECT(Equipo!$G$4&amp;"!"&amp;ADDRESS(10,COLUMN(F$9)+10)&amp;":"&amp;ADDRESS(1000,COLUMN(F$9)+10)))
))</f>
        <v>0</v>
      </c>
      <c r="G33" s="19">
        <f t="array" ref="G33">IF(ISBLANK(Tareas!$B29),"-",
SUM(
SUMIF(INDIRECT(Equipo!$C$4&amp;"!B10:B1000"),$B33,INDIRECT(Equipo!$C$4&amp;"!"&amp;ADDRESS(10,COLUMN(G$9)+10)&amp;":"&amp;ADDRESS(1000,COLUMN(G$9)+10))),
SUMIF(INDIRECT(Equipo!$D$4&amp;"!B10:B1000"),$B33,INDIRECT(Equipo!$D$4&amp;"!"&amp;ADDRESS(10,COLUMN(G$9)+10)&amp;":"&amp;ADDRESS(1000,COLUMN(G$9)+10))),
SUMIF(INDIRECT(Equipo!$E$4&amp;"!B10:B1000"),$B33,INDIRECT(Equipo!$E$4&amp;"!"&amp;ADDRESS(10,COLUMN(G$9)+10)&amp;":"&amp;ADDRESS(1000,COLUMN(G$9)+10))),
SUMIF(INDIRECT(Equipo!$F$4&amp;"!B10:B1000"),$B33,INDIRECT(Equipo!$F$4&amp;"!"&amp;ADDRESS(10,COLUMN(G$9)+10)&amp;":"&amp;ADDRESS(1000,COLUMN(G$9)+10))),
SUMIF(INDIRECT(Equipo!$G$4&amp;"!B10:B1000"),$B33,INDIRECT(Equipo!$G$4&amp;"!"&amp;ADDRESS(10,COLUMN(G$9)+10)&amp;":"&amp;ADDRESS(1000,COLUMN(G$9)+10)))
))</f>
        <v>0</v>
      </c>
      <c r="H33" s="19">
        <f t="array" ref="H33">IF(ISBLANK(Tareas!$B29),"-",
SUM(
SUMIF(INDIRECT(Equipo!$C$4&amp;"!B10:B1000"),$B33,INDIRECT(Equipo!$C$4&amp;"!"&amp;ADDRESS(10,COLUMN(H$9)+10)&amp;":"&amp;ADDRESS(1000,COLUMN(H$9)+10))),
SUMIF(INDIRECT(Equipo!$D$4&amp;"!B10:B1000"),$B33,INDIRECT(Equipo!$D$4&amp;"!"&amp;ADDRESS(10,COLUMN(H$9)+10)&amp;":"&amp;ADDRESS(1000,COLUMN(H$9)+10))),
SUMIF(INDIRECT(Equipo!$E$4&amp;"!B10:B1000"),$B33,INDIRECT(Equipo!$E$4&amp;"!"&amp;ADDRESS(10,COLUMN(H$9)+10)&amp;":"&amp;ADDRESS(1000,COLUMN(H$9)+10))),
SUMIF(INDIRECT(Equipo!$F$4&amp;"!B10:B1000"),$B33,INDIRECT(Equipo!$F$4&amp;"!"&amp;ADDRESS(10,COLUMN(H$9)+10)&amp;":"&amp;ADDRESS(1000,COLUMN(H$9)+10))),
SUMIF(INDIRECT(Equipo!$G$4&amp;"!B10:B1000"),$B33,INDIRECT(Equipo!$G$4&amp;"!"&amp;ADDRESS(10,COLUMN(H$9)+10)&amp;":"&amp;ADDRESS(1000,COLUMN(H$9)+10)))
))</f>
        <v>1</v>
      </c>
      <c r="I33" s="19">
        <f t="array" ref="I33">IF(ISBLANK(Tareas!$B29),"-",
SUM(
SUMIF(INDIRECT(Equipo!$C$4&amp;"!B10:B1000"),$B33,INDIRECT(Equipo!$C$4&amp;"!"&amp;ADDRESS(10,COLUMN(I$9)+10)&amp;":"&amp;ADDRESS(1000,COLUMN(I$9)+10))),
SUMIF(INDIRECT(Equipo!$D$4&amp;"!B10:B1000"),$B33,INDIRECT(Equipo!$D$4&amp;"!"&amp;ADDRESS(10,COLUMN(I$9)+10)&amp;":"&amp;ADDRESS(1000,COLUMN(I$9)+10))),
SUMIF(INDIRECT(Equipo!$E$4&amp;"!B10:B1000"),$B33,INDIRECT(Equipo!$E$4&amp;"!"&amp;ADDRESS(10,COLUMN(I$9)+10)&amp;":"&amp;ADDRESS(1000,COLUMN(I$9)+10))),
SUMIF(INDIRECT(Equipo!$F$4&amp;"!B10:B1000"),$B33,INDIRECT(Equipo!$F$4&amp;"!"&amp;ADDRESS(10,COLUMN(I$9)+10)&amp;":"&amp;ADDRESS(1000,COLUMN(I$9)+10))),
SUMIF(INDIRECT(Equipo!$G$4&amp;"!B10:B1000"),$B33,INDIRECT(Equipo!$G$4&amp;"!"&amp;ADDRESS(10,COLUMN(I$9)+10)&amp;":"&amp;ADDRESS(1000,COLUMN(I$9)+10)))
))</f>
        <v>0</v>
      </c>
      <c r="J33" s="19">
        <f t="array" ref="J33">IF(ISBLANK(Tareas!$B29),"-",
SUM(
SUMIF(INDIRECT(Equipo!$C$4&amp;"!B10:B1000"),$B33,INDIRECT(Equipo!$C$4&amp;"!"&amp;ADDRESS(10,COLUMN(J$9)+10)&amp;":"&amp;ADDRESS(1000,COLUMN(J$9)+10))),
SUMIF(INDIRECT(Equipo!$D$4&amp;"!B10:B1000"),$B33,INDIRECT(Equipo!$D$4&amp;"!"&amp;ADDRESS(10,COLUMN(J$9)+10)&amp;":"&amp;ADDRESS(1000,COLUMN(J$9)+10))),
SUMIF(INDIRECT(Equipo!$E$4&amp;"!B10:B1000"),$B33,INDIRECT(Equipo!$E$4&amp;"!"&amp;ADDRESS(10,COLUMN(J$9)+10)&amp;":"&amp;ADDRESS(1000,COLUMN(J$9)+10))),
SUMIF(INDIRECT(Equipo!$F$4&amp;"!B10:B1000"),$B33,INDIRECT(Equipo!$F$4&amp;"!"&amp;ADDRESS(10,COLUMN(J$9)+10)&amp;":"&amp;ADDRESS(1000,COLUMN(J$9)+10))),
SUMIF(INDIRECT(Equipo!$G$4&amp;"!B10:B1000"),$B33,INDIRECT(Equipo!$G$4&amp;"!"&amp;ADDRESS(10,COLUMN(J$9)+10)&amp;":"&amp;ADDRESS(1000,COLUMN(J$9)+10)))
))</f>
        <v>0</v>
      </c>
      <c r="K33" s="19">
        <f t="array" ref="K33">IF(ISBLANK(Tareas!$B29),"-",
SUM(
SUMIF(INDIRECT(Equipo!$C$4&amp;"!B10:B1000"),$B33,INDIRECT(Equipo!$C$4&amp;"!"&amp;ADDRESS(10,COLUMN(K$9)+10)&amp;":"&amp;ADDRESS(1000,COLUMN(K$9)+10))),
SUMIF(INDIRECT(Equipo!$D$4&amp;"!B10:B1000"),$B33,INDIRECT(Equipo!$D$4&amp;"!"&amp;ADDRESS(10,COLUMN(K$9)+10)&amp;":"&amp;ADDRESS(1000,COLUMN(K$9)+10))),
SUMIF(INDIRECT(Equipo!$E$4&amp;"!B10:B1000"),$B33,INDIRECT(Equipo!$E$4&amp;"!"&amp;ADDRESS(10,COLUMN(K$9)+10)&amp;":"&amp;ADDRESS(1000,COLUMN(K$9)+10))),
SUMIF(INDIRECT(Equipo!$F$4&amp;"!B10:B1000"),$B33,INDIRECT(Equipo!$F$4&amp;"!"&amp;ADDRESS(10,COLUMN(K$9)+10)&amp;":"&amp;ADDRESS(1000,COLUMN(K$9)+10))),
SUMIF(INDIRECT(Equipo!$G$4&amp;"!B10:B1000"),$B33,INDIRECT(Equipo!$G$4&amp;"!"&amp;ADDRESS(10,COLUMN(K$9)+10)&amp;":"&amp;ADDRESS(1000,COLUMN(K$9)+10)))
))</f>
        <v>0</v>
      </c>
    </row>
    <row r="34" ht="15.75" customHeight="1">
      <c r="B34" s="1" t="str">
        <f>IF(ISBLANK(Tareas!B30)," - ",Tareas!B30)</f>
        <v>25. Implementación de la gestión de usuarios</v>
      </c>
      <c r="C34" s="19">
        <f>IF(ISBLANK(Tareas!$B30),"-",SUM(D34:M34))</f>
        <v>1.4</v>
      </c>
      <c r="D34" s="19">
        <f t="array" ref="D34">IF(ISBLANK(Tareas!$B30),"-",
SUM(
SUMIF(INDIRECT(Equipo!$C$4&amp;"!B10:B1000"),$B34,INDIRECT(Equipo!$C$4&amp;"!"&amp;ADDRESS(10,COLUMN(D$9)+10)&amp;":"&amp;ADDRESS(1000,COLUMN(D$9)+10))),
SUMIF(INDIRECT(Equipo!$D$4&amp;"!B10:B1000"),$B34,INDIRECT(Equipo!$D$4&amp;"!"&amp;ADDRESS(10,COLUMN(D$9)+10)&amp;":"&amp;ADDRESS(1000,COLUMN(D$9)+10))),
SUMIF(INDIRECT(Equipo!$E$4&amp;"!B10:B1000"),$B34,INDIRECT(Equipo!$E$4&amp;"!"&amp;ADDRESS(10,COLUMN(D$9)+10)&amp;":"&amp;ADDRESS(1000,COLUMN(D$9)+10))),
SUMIF(INDIRECT(Equipo!$F$4&amp;"!B10:B1000"),$B34,INDIRECT(Equipo!$F$4&amp;"!"&amp;ADDRESS(10,COLUMN(D$9)+10)&amp;":"&amp;ADDRESS(1000,COLUMN(D$9)+10))),
SUMIF(INDIRECT(Equipo!$G$4&amp;"!B10:B1000"),$B34,INDIRECT(Equipo!$G$4&amp;"!"&amp;ADDRESS(10,COLUMN(D$9)+10)&amp;":"&amp;ADDRESS(1000,COLUMN(D$9)+10)))
))</f>
        <v>0</v>
      </c>
      <c r="E34" s="19">
        <f t="array" ref="E34">IF(ISBLANK(Tareas!$B30),"-",
SUM(
SUMIF(INDIRECT(Equipo!$C$4&amp;"!B10:B1000"),$B34,INDIRECT(Equipo!$C$4&amp;"!"&amp;ADDRESS(10,COLUMN(E$9)+10)&amp;":"&amp;ADDRESS(1000,COLUMN(E$9)+10))),
SUMIF(INDIRECT(Equipo!$D$4&amp;"!B10:B1000"),$B34,INDIRECT(Equipo!$D$4&amp;"!"&amp;ADDRESS(10,COLUMN(E$9)+10)&amp;":"&amp;ADDRESS(1000,COLUMN(E$9)+10))),
SUMIF(INDIRECT(Equipo!$E$4&amp;"!B10:B1000"),$B34,INDIRECT(Equipo!$E$4&amp;"!"&amp;ADDRESS(10,COLUMN(E$9)+10)&amp;":"&amp;ADDRESS(1000,COLUMN(E$9)+10))),
SUMIF(INDIRECT(Equipo!$F$4&amp;"!B10:B1000"),$B34,INDIRECT(Equipo!$F$4&amp;"!"&amp;ADDRESS(10,COLUMN(E$9)+10)&amp;":"&amp;ADDRESS(1000,COLUMN(E$9)+10))),
SUMIF(INDIRECT(Equipo!$G$4&amp;"!B10:B1000"),$B34,INDIRECT(Equipo!$G$4&amp;"!"&amp;ADDRESS(10,COLUMN(E$9)+10)&amp;":"&amp;ADDRESS(1000,COLUMN(E$9)+10)))
))</f>
        <v>0</v>
      </c>
      <c r="F34" s="19">
        <f t="array" ref="F34">IF(ISBLANK(Tareas!$B30),"-",
SUM(
SUMIF(INDIRECT(Equipo!$C$4&amp;"!B10:B1000"),$B34,INDIRECT(Equipo!$C$4&amp;"!"&amp;ADDRESS(10,COLUMN(F$9)+10)&amp;":"&amp;ADDRESS(1000,COLUMN(F$9)+10))),
SUMIF(INDIRECT(Equipo!$D$4&amp;"!B10:B1000"),$B34,INDIRECT(Equipo!$D$4&amp;"!"&amp;ADDRESS(10,COLUMN(F$9)+10)&amp;":"&amp;ADDRESS(1000,COLUMN(F$9)+10))),
SUMIF(INDIRECT(Equipo!$E$4&amp;"!B10:B1000"),$B34,INDIRECT(Equipo!$E$4&amp;"!"&amp;ADDRESS(10,COLUMN(F$9)+10)&amp;":"&amp;ADDRESS(1000,COLUMN(F$9)+10))),
SUMIF(INDIRECT(Equipo!$F$4&amp;"!B10:B1000"),$B34,INDIRECT(Equipo!$F$4&amp;"!"&amp;ADDRESS(10,COLUMN(F$9)+10)&amp;":"&amp;ADDRESS(1000,COLUMN(F$9)+10))),
SUMIF(INDIRECT(Equipo!$G$4&amp;"!B10:B1000"),$B34,INDIRECT(Equipo!$G$4&amp;"!"&amp;ADDRESS(10,COLUMN(F$9)+10)&amp;":"&amp;ADDRESS(1000,COLUMN(F$9)+10)))
))</f>
        <v>0</v>
      </c>
      <c r="G34" s="19">
        <f t="array" ref="G34">IF(ISBLANK(Tareas!$B30),"-",
SUM(
SUMIF(INDIRECT(Equipo!$C$4&amp;"!B10:B1000"),$B34,INDIRECT(Equipo!$C$4&amp;"!"&amp;ADDRESS(10,COLUMN(G$9)+10)&amp;":"&amp;ADDRESS(1000,COLUMN(G$9)+10))),
SUMIF(INDIRECT(Equipo!$D$4&amp;"!B10:B1000"),$B34,INDIRECT(Equipo!$D$4&amp;"!"&amp;ADDRESS(10,COLUMN(G$9)+10)&amp;":"&amp;ADDRESS(1000,COLUMN(G$9)+10))),
SUMIF(INDIRECT(Equipo!$E$4&amp;"!B10:B1000"),$B34,INDIRECT(Equipo!$E$4&amp;"!"&amp;ADDRESS(10,COLUMN(G$9)+10)&amp;":"&amp;ADDRESS(1000,COLUMN(G$9)+10))),
SUMIF(INDIRECT(Equipo!$F$4&amp;"!B10:B1000"),$B34,INDIRECT(Equipo!$F$4&amp;"!"&amp;ADDRESS(10,COLUMN(G$9)+10)&amp;":"&amp;ADDRESS(1000,COLUMN(G$9)+10))),
SUMIF(INDIRECT(Equipo!$G$4&amp;"!B10:B1000"),$B34,INDIRECT(Equipo!$G$4&amp;"!"&amp;ADDRESS(10,COLUMN(G$9)+10)&amp;":"&amp;ADDRESS(1000,COLUMN(G$9)+10)))
))</f>
        <v>0</v>
      </c>
      <c r="H34" s="19">
        <f t="array" ref="H34">IF(ISBLANK(Tareas!$B30),"-",
SUM(
SUMIF(INDIRECT(Equipo!$C$4&amp;"!B10:B1000"),$B34,INDIRECT(Equipo!$C$4&amp;"!"&amp;ADDRESS(10,COLUMN(H$9)+10)&amp;":"&amp;ADDRESS(1000,COLUMN(H$9)+10))),
SUMIF(INDIRECT(Equipo!$D$4&amp;"!B10:B1000"),$B34,INDIRECT(Equipo!$D$4&amp;"!"&amp;ADDRESS(10,COLUMN(H$9)+10)&amp;":"&amp;ADDRESS(1000,COLUMN(H$9)+10))),
SUMIF(INDIRECT(Equipo!$E$4&amp;"!B10:B1000"),$B34,INDIRECT(Equipo!$E$4&amp;"!"&amp;ADDRESS(10,COLUMN(H$9)+10)&amp;":"&amp;ADDRESS(1000,COLUMN(H$9)+10))),
SUMIF(INDIRECT(Equipo!$F$4&amp;"!B10:B1000"),$B34,INDIRECT(Equipo!$F$4&amp;"!"&amp;ADDRESS(10,COLUMN(H$9)+10)&amp;":"&amp;ADDRESS(1000,COLUMN(H$9)+10))),
SUMIF(INDIRECT(Equipo!$G$4&amp;"!B10:B1000"),$B34,INDIRECT(Equipo!$G$4&amp;"!"&amp;ADDRESS(10,COLUMN(H$9)+10)&amp;":"&amp;ADDRESS(1000,COLUMN(H$9)+10)))
))</f>
        <v>1.4</v>
      </c>
      <c r="I34" s="19">
        <f t="array" ref="I34">IF(ISBLANK(Tareas!$B30),"-",
SUM(
SUMIF(INDIRECT(Equipo!$C$4&amp;"!B10:B1000"),$B34,INDIRECT(Equipo!$C$4&amp;"!"&amp;ADDRESS(10,COLUMN(I$9)+10)&amp;":"&amp;ADDRESS(1000,COLUMN(I$9)+10))),
SUMIF(INDIRECT(Equipo!$D$4&amp;"!B10:B1000"),$B34,INDIRECT(Equipo!$D$4&amp;"!"&amp;ADDRESS(10,COLUMN(I$9)+10)&amp;":"&amp;ADDRESS(1000,COLUMN(I$9)+10))),
SUMIF(INDIRECT(Equipo!$E$4&amp;"!B10:B1000"),$B34,INDIRECT(Equipo!$E$4&amp;"!"&amp;ADDRESS(10,COLUMN(I$9)+10)&amp;":"&amp;ADDRESS(1000,COLUMN(I$9)+10))),
SUMIF(INDIRECT(Equipo!$F$4&amp;"!B10:B1000"),$B34,INDIRECT(Equipo!$F$4&amp;"!"&amp;ADDRESS(10,COLUMN(I$9)+10)&amp;":"&amp;ADDRESS(1000,COLUMN(I$9)+10))),
SUMIF(INDIRECT(Equipo!$G$4&amp;"!B10:B1000"),$B34,INDIRECT(Equipo!$G$4&amp;"!"&amp;ADDRESS(10,COLUMN(I$9)+10)&amp;":"&amp;ADDRESS(1000,COLUMN(I$9)+10)))
))</f>
        <v>0</v>
      </c>
      <c r="J34" s="19">
        <f t="array" ref="J34">IF(ISBLANK(Tareas!$B30),"-",
SUM(
SUMIF(INDIRECT(Equipo!$C$4&amp;"!B10:B1000"),$B34,INDIRECT(Equipo!$C$4&amp;"!"&amp;ADDRESS(10,COLUMN(J$9)+10)&amp;":"&amp;ADDRESS(1000,COLUMN(J$9)+10))),
SUMIF(INDIRECT(Equipo!$D$4&amp;"!B10:B1000"),$B34,INDIRECT(Equipo!$D$4&amp;"!"&amp;ADDRESS(10,COLUMN(J$9)+10)&amp;":"&amp;ADDRESS(1000,COLUMN(J$9)+10))),
SUMIF(INDIRECT(Equipo!$E$4&amp;"!B10:B1000"),$B34,INDIRECT(Equipo!$E$4&amp;"!"&amp;ADDRESS(10,COLUMN(J$9)+10)&amp;":"&amp;ADDRESS(1000,COLUMN(J$9)+10))),
SUMIF(INDIRECT(Equipo!$F$4&amp;"!B10:B1000"),$B34,INDIRECT(Equipo!$F$4&amp;"!"&amp;ADDRESS(10,COLUMN(J$9)+10)&amp;":"&amp;ADDRESS(1000,COLUMN(J$9)+10))),
SUMIF(INDIRECT(Equipo!$G$4&amp;"!B10:B1000"),$B34,INDIRECT(Equipo!$G$4&amp;"!"&amp;ADDRESS(10,COLUMN(J$9)+10)&amp;":"&amp;ADDRESS(1000,COLUMN(J$9)+10)))
))</f>
        <v>0</v>
      </c>
      <c r="K34" s="19">
        <f t="array" ref="K34">IF(ISBLANK(Tareas!$B30),"-",
SUM(
SUMIF(INDIRECT(Equipo!$C$4&amp;"!B10:B1000"),$B34,INDIRECT(Equipo!$C$4&amp;"!"&amp;ADDRESS(10,COLUMN(K$9)+10)&amp;":"&amp;ADDRESS(1000,COLUMN(K$9)+10))),
SUMIF(INDIRECT(Equipo!$D$4&amp;"!B10:B1000"),$B34,INDIRECT(Equipo!$D$4&amp;"!"&amp;ADDRESS(10,COLUMN(K$9)+10)&amp;":"&amp;ADDRESS(1000,COLUMN(K$9)+10))),
SUMIF(INDIRECT(Equipo!$E$4&amp;"!B10:B1000"),$B34,INDIRECT(Equipo!$E$4&amp;"!"&amp;ADDRESS(10,COLUMN(K$9)+10)&amp;":"&amp;ADDRESS(1000,COLUMN(K$9)+10))),
SUMIF(INDIRECT(Equipo!$F$4&amp;"!B10:B1000"),$B34,INDIRECT(Equipo!$F$4&amp;"!"&amp;ADDRESS(10,COLUMN(K$9)+10)&amp;":"&amp;ADDRESS(1000,COLUMN(K$9)+10))),
SUMIF(INDIRECT(Equipo!$G$4&amp;"!B10:B1000"),$B34,INDIRECT(Equipo!$G$4&amp;"!"&amp;ADDRESS(10,COLUMN(K$9)+10)&amp;":"&amp;ADDRESS(1000,COLUMN(K$9)+10)))
))</f>
        <v>0</v>
      </c>
    </row>
    <row r="35" ht="15.75" customHeight="1">
      <c r="B35" s="1" t="str">
        <f>IF(ISBLANK(Tareas!B31)," - ",Tareas!B31)</f>
        <v>26. Implementación de la gestión de perfiles</v>
      </c>
      <c r="C35" s="19">
        <f>IF(ISBLANK(Tareas!$B31),"-",SUM(D35:M35))</f>
        <v>0.2</v>
      </c>
      <c r="D35" s="19">
        <f t="array" ref="D35">IF(ISBLANK(Tareas!$B31),"-",
SUM(
SUMIF(INDIRECT(Equipo!$C$4&amp;"!B10:B1000"),$B35,INDIRECT(Equipo!$C$4&amp;"!"&amp;ADDRESS(10,COLUMN(D$9)+10)&amp;":"&amp;ADDRESS(1000,COLUMN(D$9)+10))),
SUMIF(INDIRECT(Equipo!$D$4&amp;"!B10:B1000"),$B35,INDIRECT(Equipo!$D$4&amp;"!"&amp;ADDRESS(10,COLUMN(D$9)+10)&amp;":"&amp;ADDRESS(1000,COLUMN(D$9)+10))),
SUMIF(INDIRECT(Equipo!$E$4&amp;"!B10:B1000"),$B35,INDIRECT(Equipo!$E$4&amp;"!"&amp;ADDRESS(10,COLUMN(D$9)+10)&amp;":"&amp;ADDRESS(1000,COLUMN(D$9)+10))),
SUMIF(INDIRECT(Equipo!$F$4&amp;"!B10:B1000"),$B35,INDIRECT(Equipo!$F$4&amp;"!"&amp;ADDRESS(10,COLUMN(D$9)+10)&amp;":"&amp;ADDRESS(1000,COLUMN(D$9)+10))),
SUMIF(INDIRECT(Equipo!$G$4&amp;"!B10:B1000"),$B35,INDIRECT(Equipo!$G$4&amp;"!"&amp;ADDRESS(10,COLUMN(D$9)+10)&amp;":"&amp;ADDRESS(1000,COLUMN(D$9)+10)))
))</f>
        <v>0</v>
      </c>
      <c r="E35" s="19">
        <f t="array" ref="E35">IF(ISBLANK(Tareas!$B31),"-",
SUM(
SUMIF(INDIRECT(Equipo!$C$4&amp;"!B10:B1000"),$B35,INDIRECT(Equipo!$C$4&amp;"!"&amp;ADDRESS(10,COLUMN(E$9)+10)&amp;":"&amp;ADDRESS(1000,COLUMN(E$9)+10))),
SUMIF(INDIRECT(Equipo!$D$4&amp;"!B10:B1000"),$B35,INDIRECT(Equipo!$D$4&amp;"!"&amp;ADDRESS(10,COLUMN(E$9)+10)&amp;":"&amp;ADDRESS(1000,COLUMN(E$9)+10))),
SUMIF(INDIRECT(Equipo!$E$4&amp;"!B10:B1000"),$B35,INDIRECT(Equipo!$E$4&amp;"!"&amp;ADDRESS(10,COLUMN(E$9)+10)&amp;":"&amp;ADDRESS(1000,COLUMN(E$9)+10))),
SUMIF(INDIRECT(Equipo!$F$4&amp;"!B10:B1000"),$B35,INDIRECT(Equipo!$F$4&amp;"!"&amp;ADDRESS(10,COLUMN(E$9)+10)&amp;":"&amp;ADDRESS(1000,COLUMN(E$9)+10))),
SUMIF(INDIRECT(Equipo!$G$4&amp;"!B10:B1000"),$B35,INDIRECT(Equipo!$G$4&amp;"!"&amp;ADDRESS(10,COLUMN(E$9)+10)&amp;":"&amp;ADDRESS(1000,COLUMN(E$9)+10)))
))</f>
        <v>0</v>
      </c>
      <c r="F35" s="19">
        <f t="array" ref="F35">IF(ISBLANK(Tareas!$B31),"-",
SUM(
SUMIF(INDIRECT(Equipo!$C$4&amp;"!B10:B1000"),$B35,INDIRECT(Equipo!$C$4&amp;"!"&amp;ADDRESS(10,COLUMN(F$9)+10)&amp;":"&amp;ADDRESS(1000,COLUMN(F$9)+10))),
SUMIF(INDIRECT(Equipo!$D$4&amp;"!B10:B1000"),$B35,INDIRECT(Equipo!$D$4&amp;"!"&amp;ADDRESS(10,COLUMN(F$9)+10)&amp;":"&amp;ADDRESS(1000,COLUMN(F$9)+10))),
SUMIF(INDIRECT(Equipo!$E$4&amp;"!B10:B1000"),$B35,INDIRECT(Equipo!$E$4&amp;"!"&amp;ADDRESS(10,COLUMN(F$9)+10)&amp;":"&amp;ADDRESS(1000,COLUMN(F$9)+10))),
SUMIF(INDIRECT(Equipo!$F$4&amp;"!B10:B1000"),$B35,INDIRECT(Equipo!$F$4&amp;"!"&amp;ADDRESS(10,COLUMN(F$9)+10)&amp;":"&amp;ADDRESS(1000,COLUMN(F$9)+10))),
SUMIF(INDIRECT(Equipo!$G$4&amp;"!B10:B1000"),$B35,INDIRECT(Equipo!$G$4&amp;"!"&amp;ADDRESS(10,COLUMN(F$9)+10)&amp;":"&amp;ADDRESS(1000,COLUMN(F$9)+10)))
))</f>
        <v>0</v>
      </c>
      <c r="G35" s="19">
        <f t="array" ref="G35">IF(ISBLANK(Tareas!$B31),"-",
SUM(
SUMIF(INDIRECT(Equipo!$C$4&amp;"!B10:B1000"),$B35,INDIRECT(Equipo!$C$4&amp;"!"&amp;ADDRESS(10,COLUMN(G$9)+10)&amp;":"&amp;ADDRESS(1000,COLUMN(G$9)+10))),
SUMIF(INDIRECT(Equipo!$D$4&amp;"!B10:B1000"),$B35,INDIRECT(Equipo!$D$4&amp;"!"&amp;ADDRESS(10,COLUMN(G$9)+10)&amp;":"&amp;ADDRESS(1000,COLUMN(G$9)+10))),
SUMIF(INDIRECT(Equipo!$E$4&amp;"!B10:B1000"),$B35,INDIRECT(Equipo!$E$4&amp;"!"&amp;ADDRESS(10,COLUMN(G$9)+10)&amp;":"&amp;ADDRESS(1000,COLUMN(G$9)+10))),
SUMIF(INDIRECT(Equipo!$F$4&amp;"!B10:B1000"),$B35,INDIRECT(Equipo!$F$4&amp;"!"&amp;ADDRESS(10,COLUMN(G$9)+10)&amp;":"&amp;ADDRESS(1000,COLUMN(G$9)+10))),
SUMIF(INDIRECT(Equipo!$G$4&amp;"!B10:B1000"),$B35,INDIRECT(Equipo!$G$4&amp;"!"&amp;ADDRESS(10,COLUMN(G$9)+10)&amp;":"&amp;ADDRESS(1000,COLUMN(G$9)+10)))
))</f>
        <v>0</v>
      </c>
      <c r="H35" s="19">
        <f t="array" ref="H35">IF(ISBLANK(Tareas!$B31),"-",
SUM(
SUMIF(INDIRECT(Equipo!$C$4&amp;"!B10:B1000"),$B35,INDIRECT(Equipo!$C$4&amp;"!"&amp;ADDRESS(10,COLUMN(H$9)+10)&amp;":"&amp;ADDRESS(1000,COLUMN(H$9)+10))),
SUMIF(INDIRECT(Equipo!$D$4&amp;"!B10:B1000"),$B35,INDIRECT(Equipo!$D$4&amp;"!"&amp;ADDRESS(10,COLUMN(H$9)+10)&amp;":"&amp;ADDRESS(1000,COLUMN(H$9)+10))),
SUMIF(INDIRECT(Equipo!$E$4&amp;"!B10:B1000"),$B35,INDIRECT(Equipo!$E$4&amp;"!"&amp;ADDRESS(10,COLUMN(H$9)+10)&amp;":"&amp;ADDRESS(1000,COLUMN(H$9)+10))),
SUMIF(INDIRECT(Equipo!$F$4&amp;"!B10:B1000"),$B35,INDIRECT(Equipo!$F$4&amp;"!"&amp;ADDRESS(10,COLUMN(H$9)+10)&amp;":"&amp;ADDRESS(1000,COLUMN(H$9)+10))),
SUMIF(INDIRECT(Equipo!$G$4&amp;"!B10:B1000"),$B35,INDIRECT(Equipo!$G$4&amp;"!"&amp;ADDRESS(10,COLUMN(H$9)+10)&amp;":"&amp;ADDRESS(1000,COLUMN(H$9)+10)))
))</f>
        <v>0.2</v>
      </c>
      <c r="I35" s="19">
        <f t="array" ref="I35">IF(ISBLANK(Tareas!$B31),"-",
SUM(
SUMIF(INDIRECT(Equipo!$C$4&amp;"!B10:B1000"),$B35,INDIRECT(Equipo!$C$4&amp;"!"&amp;ADDRESS(10,COLUMN(I$9)+10)&amp;":"&amp;ADDRESS(1000,COLUMN(I$9)+10))),
SUMIF(INDIRECT(Equipo!$D$4&amp;"!B10:B1000"),$B35,INDIRECT(Equipo!$D$4&amp;"!"&amp;ADDRESS(10,COLUMN(I$9)+10)&amp;":"&amp;ADDRESS(1000,COLUMN(I$9)+10))),
SUMIF(INDIRECT(Equipo!$E$4&amp;"!B10:B1000"),$B35,INDIRECT(Equipo!$E$4&amp;"!"&amp;ADDRESS(10,COLUMN(I$9)+10)&amp;":"&amp;ADDRESS(1000,COLUMN(I$9)+10))),
SUMIF(INDIRECT(Equipo!$F$4&amp;"!B10:B1000"),$B35,INDIRECT(Equipo!$F$4&amp;"!"&amp;ADDRESS(10,COLUMN(I$9)+10)&amp;":"&amp;ADDRESS(1000,COLUMN(I$9)+10))),
SUMIF(INDIRECT(Equipo!$G$4&amp;"!B10:B1000"),$B35,INDIRECT(Equipo!$G$4&amp;"!"&amp;ADDRESS(10,COLUMN(I$9)+10)&amp;":"&amp;ADDRESS(1000,COLUMN(I$9)+10)))
))</f>
        <v>0</v>
      </c>
      <c r="J35" s="19">
        <f t="array" ref="J35">IF(ISBLANK(Tareas!$B31),"-",
SUM(
SUMIF(INDIRECT(Equipo!$C$4&amp;"!B10:B1000"),$B35,INDIRECT(Equipo!$C$4&amp;"!"&amp;ADDRESS(10,COLUMN(J$9)+10)&amp;":"&amp;ADDRESS(1000,COLUMN(J$9)+10))),
SUMIF(INDIRECT(Equipo!$D$4&amp;"!B10:B1000"),$B35,INDIRECT(Equipo!$D$4&amp;"!"&amp;ADDRESS(10,COLUMN(J$9)+10)&amp;":"&amp;ADDRESS(1000,COLUMN(J$9)+10))),
SUMIF(INDIRECT(Equipo!$E$4&amp;"!B10:B1000"),$B35,INDIRECT(Equipo!$E$4&amp;"!"&amp;ADDRESS(10,COLUMN(J$9)+10)&amp;":"&amp;ADDRESS(1000,COLUMN(J$9)+10))),
SUMIF(INDIRECT(Equipo!$F$4&amp;"!B10:B1000"),$B35,INDIRECT(Equipo!$F$4&amp;"!"&amp;ADDRESS(10,COLUMN(J$9)+10)&amp;":"&amp;ADDRESS(1000,COLUMN(J$9)+10))),
SUMIF(INDIRECT(Equipo!$G$4&amp;"!B10:B1000"),$B35,INDIRECT(Equipo!$G$4&amp;"!"&amp;ADDRESS(10,COLUMN(J$9)+10)&amp;":"&amp;ADDRESS(1000,COLUMN(J$9)+10)))
))</f>
        <v>0</v>
      </c>
      <c r="K35" s="19">
        <f t="array" ref="K35">IF(ISBLANK(Tareas!$B31),"-",
SUM(
SUMIF(INDIRECT(Equipo!$C$4&amp;"!B10:B1000"),$B35,INDIRECT(Equipo!$C$4&amp;"!"&amp;ADDRESS(10,COLUMN(K$9)+10)&amp;":"&amp;ADDRESS(1000,COLUMN(K$9)+10))),
SUMIF(INDIRECT(Equipo!$D$4&amp;"!B10:B1000"),$B35,INDIRECT(Equipo!$D$4&amp;"!"&amp;ADDRESS(10,COLUMN(K$9)+10)&amp;":"&amp;ADDRESS(1000,COLUMN(K$9)+10))),
SUMIF(INDIRECT(Equipo!$E$4&amp;"!B10:B1000"),$B35,INDIRECT(Equipo!$E$4&amp;"!"&amp;ADDRESS(10,COLUMN(K$9)+10)&amp;":"&amp;ADDRESS(1000,COLUMN(K$9)+10))),
SUMIF(INDIRECT(Equipo!$F$4&amp;"!B10:B1000"),$B35,INDIRECT(Equipo!$F$4&amp;"!"&amp;ADDRESS(10,COLUMN(K$9)+10)&amp;":"&amp;ADDRESS(1000,COLUMN(K$9)+10))),
SUMIF(INDIRECT(Equipo!$G$4&amp;"!B10:B1000"),$B35,INDIRECT(Equipo!$G$4&amp;"!"&amp;ADDRESS(10,COLUMN(K$9)+10)&amp;":"&amp;ADDRESS(1000,COLUMN(K$9)+10)))
))</f>
        <v>0</v>
      </c>
    </row>
    <row r="36" ht="15.75" customHeight="1">
      <c r="B36" s="1" t="str">
        <f>IF(ISBLANK(Tareas!B32)," - ",Tareas!B32)</f>
        <v>27. Definición del diseño con objetos y pantallas finales</v>
      </c>
      <c r="C36" s="19">
        <f>IF(ISBLANK(Tareas!$B32),"-",SUM(D36:M36))</f>
        <v>0.5</v>
      </c>
      <c r="D36" s="19">
        <f t="array" ref="D36">IF(ISBLANK(Tareas!$B32),"-",
SUM(
SUMIF(INDIRECT(Equipo!$C$4&amp;"!B10:B1000"),$B36,INDIRECT(Equipo!$C$4&amp;"!"&amp;ADDRESS(10,COLUMN(D$9)+10)&amp;":"&amp;ADDRESS(1000,COLUMN(D$9)+10))),
SUMIF(INDIRECT(Equipo!$D$4&amp;"!B10:B1000"),$B36,INDIRECT(Equipo!$D$4&amp;"!"&amp;ADDRESS(10,COLUMN(D$9)+10)&amp;":"&amp;ADDRESS(1000,COLUMN(D$9)+10))),
SUMIF(INDIRECT(Equipo!$E$4&amp;"!B10:B1000"),$B36,INDIRECT(Equipo!$E$4&amp;"!"&amp;ADDRESS(10,COLUMN(D$9)+10)&amp;":"&amp;ADDRESS(1000,COLUMN(D$9)+10))),
SUMIF(INDIRECT(Equipo!$F$4&amp;"!B10:B1000"),$B36,INDIRECT(Equipo!$F$4&amp;"!"&amp;ADDRESS(10,COLUMN(D$9)+10)&amp;":"&amp;ADDRESS(1000,COLUMN(D$9)+10))),
SUMIF(INDIRECT(Equipo!$G$4&amp;"!B10:B1000"),$B36,INDIRECT(Equipo!$G$4&amp;"!"&amp;ADDRESS(10,COLUMN(D$9)+10)&amp;":"&amp;ADDRESS(1000,COLUMN(D$9)+10)))
))</f>
        <v>0</v>
      </c>
      <c r="E36" s="19">
        <f t="array" ref="E36">IF(ISBLANK(Tareas!$B32),"-",
SUM(
SUMIF(INDIRECT(Equipo!$C$4&amp;"!B10:B1000"),$B36,INDIRECT(Equipo!$C$4&amp;"!"&amp;ADDRESS(10,COLUMN(E$9)+10)&amp;":"&amp;ADDRESS(1000,COLUMN(E$9)+10))),
SUMIF(INDIRECT(Equipo!$D$4&amp;"!B10:B1000"),$B36,INDIRECT(Equipo!$D$4&amp;"!"&amp;ADDRESS(10,COLUMN(E$9)+10)&amp;":"&amp;ADDRESS(1000,COLUMN(E$9)+10))),
SUMIF(INDIRECT(Equipo!$E$4&amp;"!B10:B1000"),$B36,INDIRECT(Equipo!$E$4&amp;"!"&amp;ADDRESS(10,COLUMN(E$9)+10)&amp;":"&amp;ADDRESS(1000,COLUMN(E$9)+10))),
SUMIF(INDIRECT(Equipo!$F$4&amp;"!B10:B1000"),$B36,INDIRECT(Equipo!$F$4&amp;"!"&amp;ADDRESS(10,COLUMN(E$9)+10)&amp;":"&amp;ADDRESS(1000,COLUMN(E$9)+10))),
SUMIF(INDIRECT(Equipo!$G$4&amp;"!B10:B1000"),$B36,INDIRECT(Equipo!$G$4&amp;"!"&amp;ADDRESS(10,COLUMN(E$9)+10)&amp;":"&amp;ADDRESS(1000,COLUMN(E$9)+10)))
))</f>
        <v>0</v>
      </c>
      <c r="F36" s="19">
        <f t="array" ref="F36">IF(ISBLANK(Tareas!$B32),"-",
SUM(
SUMIF(INDIRECT(Equipo!$C$4&amp;"!B10:B1000"),$B36,INDIRECT(Equipo!$C$4&amp;"!"&amp;ADDRESS(10,COLUMN(F$9)+10)&amp;":"&amp;ADDRESS(1000,COLUMN(F$9)+10))),
SUMIF(INDIRECT(Equipo!$D$4&amp;"!B10:B1000"),$B36,INDIRECT(Equipo!$D$4&amp;"!"&amp;ADDRESS(10,COLUMN(F$9)+10)&amp;":"&amp;ADDRESS(1000,COLUMN(F$9)+10))),
SUMIF(INDIRECT(Equipo!$E$4&amp;"!B10:B1000"),$B36,INDIRECT(Equipo!$E$4&amp;"!"&amp;ADDRESS(10,COLUMN(F$9)+10)&amp;":"&amp;ADDRESS(1000,COLUMN(F$9)+10))),
SUMIF(INDIRECT(Equipo!$F$4&amp;"!B10:B1000"),$B36,INDIRECT(Equipo!$F$4&amp;"!"&amp;ADDRESS(10,COLUMN(F$9)+10)&amp;":"&amp;ADDRESS(1000,COLUMN(F$9)+10))),
SUMIF(INDIRECT(Equipo!$G$4&amp;"!B10:B1000"),$B36,INDIRECT(Equipo!$G$4&amp;"!"&amp;ADDRESS(10,COLUMN(F$9)+10)&amp;":"&amp;ADDRESS(1000,COLUMN(F$9)+10)))
))</f>
        <v>0</v>
      </c>
      <c r="G36" s="19">
        <f t="array" ref="G36">IF(ISBLANK(Tareas!$B32),"-",
SUM(
SUMIF(INDIRECT(Equipo!$C$4&amp;"!B10:B1000"),$B36,INDIRECT(Equipo!$C$4&amp;"!"&amp;ADDRESS(10,COLUMN(G$9)+10)&amp;":"&amp;ADDRESS(1000,COLUMN(G$9)+10))),
SUMIF(INDIRECT(Equipo!$D$4&amp;"!B10:B1000"),$B36,INDIRECT(Equipo!$D$4&amp;"!"&amp;ADDRESS(10,COLUMN(G$9)+10)&amp;":"&amp;ADDRESS(1000,COLUMN(G$9)+10))),
SUMIF(INDIRECT(Equipo!$E$4&amp;"!B10:B1000"),$B36,INDIRECT(Equipo!$E$4&amp;"!"&amp;ADDRESS(10,COLUMN(G$9)+10)&amp;":"&amp;ADDRESS(1000,COLUMN(G$9)+10))),
SUMIF(INDIRECT(Equipo!$F$4&amp;"!B10:B1000"),$B36,INDIRECT(Equipo!$F$4&amp;"!"&amp;ADDRESS(10,COLUMN(G$9)+10)&amp;":"&amp;ADDRESS(1000,COLUMN(G$9)+10))),
SUMIF(INDIRECT(Equipo!$G$4&amp;"!B10:B1000"),$B36,INDIRECT(Equipo!$G$4&amp;"!"&amp;ADDRESS(10,COLUMN(G$9)+10)&amp;":"&amp;ADDRESS(1000,COLUMN(G$9)+10)))
))</f>
        <v>0</v>
      </c>
      <c r="H36" s="19">
        <f t="array" ref="H36">IF(ISBLANK(Tareas!$B32),"-",
SUM(
SUMIF(INDIRECT(Equipo!$C$4&amp;"!B10:B1000"),$B36,INDIRECT(Equipo!$C$4&amp;"!"&amp;ADDRESS(10,COLUMN(H$9)+10)&amp;":"&amp;ADDRESS(1000,COLUMN(H$9)+10))),
SUMIF(INDIRECT(Equipo!$D$4&amp;"!B10:B1000"),$B36,INDIRECT(Equipo!$D$4&amp;"!"&amp;ADDRESS(10,COLUMN(H$9)+10)&amp;":"&amp;ADDRESS(1000,COLUMN(H$9)+10))),
SUMIF(INDIRECT(Equipo!$E$4&amp;"!B10:B1000"),$B36,INDIRECT(Equipo!$E$4&amp;"!"&amp;ADDRESS(10,COLUMN(H$9)+10)&amp;":"&amp;ADDRESS(1000,COLUMN(H$9)+10))),
SUMIF(INDIRECT(Equipo!$F$4&amp;"!B10:B1000"),$B36,INDIRECT(Equipo!$F$4&amp;"!"&amp;ADDRESS(10,COLUMN(H$9)+10)&amp;":"&amp;ADDRESS(1000,COLUMN(H$9)+10))),
SUMIF(INDIRECT(Equipo!$G$4&amp;"!B10:B1000"),$B36,INDIRECT(Equipo!$G$4&amp;"!"&amp;ADDRESS(10,COLUMN(H$9)+10)&amp;":"&amp;ADDRESS(1000,COLUMN(H$9)+10)))
))</f>
        <v>0.5</v>
      </c>
      <c r="I36" s="19">
        <f t="array" ref="I36">IF(ISBLANK(Tareas!$B32),"-",
SUM(
SUMIF(INDIRECT(Equipo!$C$4&amp;"!B10:B1000"),$B36,INDIRECT(Equipo!$C$4&amp;"!"&amp;ADDRESS(10,COLUMN(I$9)+10)&amp;":"&amp;ADDRESS(1000,COLUMN(I$9)+10))),
SUMIF(INDIRECT(Equipo!$D$4&amp;"!B10:B1000"),$B36,INDIRECT(Equipo!$D$4&amp;"!"&amp;ADDRESS(10,COLUMN(I$9)+10)&amp;":"&amp;ADDRESS(1000,COLUMN(I$9)+10))),
SUMIF(INDIRECT(Equipo!$E$4&amp;"!B10:B1000"),$B36,INDIRECT(Equipo!$E$4&amp;"!"&amp;ADDRESS(10,COLUMN(I$9)+10)&amp;":"&amp;ADDRESS(1000,COLUMN(I$9)+10))),
SUMIF(INDIRECT(Equipo!$F$4&amp;"!B10:B1000"),$B36,INDIRECT(Equipo!$F$4&amp;"!"&amp;ADDRESS(10,COLUMN(I$9)+10)&amp;":"&amp;ADDRESS(1000,COLUMN(I$9)+10))),
SUMIF(INDIRECT(Equipo!$G$4&amp;"!B10:B1000"),$B36,INDIRECT(Equipo!$G$4&amp;"!"&amp;ADDRESS(10,COLUMN(I$9)+10)&amp;":"&amp;ADDRESS(1000,COLUMN(I$9)+10)))
))</f>
        <v>0</v>
      </c>
      <c r="J36" s="19">
        <f t="array" ref="J36">IF(ISBLANK(Tareas!$B32),"-",
SUM(
SUMIF(INDIRECT(Equipo!$C$4&amp;"!B10:B1000"),$B36,INDIRECT(Equipo!$C$4&amp;"!"&amp;ADDRESS(10,COLUMN(J$9)+10)&amp;":"&amp;ADDRESS(1000,COLUMN(J$9)+10))),
SUMIF(INDIRECT(Equipo!$D$4&amp;"!B10:B1000"),$B36,INDIRECT(Equipo!$D$4&amp;"!"&amp;ADDRESS(10,COLUMN(J$9)+10)&amp;":"&amp;ADDRESS(1000,COLUMN(J$9)+10))),
SUMIF(INDIRECT(Equipo!$E$4&amp;"!B10:B1000"),$B36,INDIRECT(Equipo!$E$4&amp;"!"&amp;ADDRESS(10,COLUMN(J$9)+10)&amp;":"&amp;ADDRESS(1000,COLUMN(J$9)+10))),
SUMIF(INDIRECT(Equipo!$F$4&amp;"!B10:B1000"),$B36,INDIRECT(Equipo!$F$4&amp;"!"&amp;ADDRESS(10,COLUMN(J$9)+10)&amp;":"&amp;ADDRESS(1000,COLUMN(J$9)+10))),
SUMIF(INDIRECT(Equipo!$G$4&amp;"!B10:B1000"),$B36,INDIRECT(Equipo!$G$4&amp;"!"&amp;ADDRESS(10,COLUMN(J$9)+10)&amp;":"&amp;ADDRESS(1000,COLUMN(J$9)+10)))
))</f>
        <v>0</v>
      </c>
      <c r="K36" s="19">
        <f t="array" ref="K36">IF(ISBLANK(Tareas!$B32),"-",
SUM(
SUMIF(INDIRECT(Equipo!$C$4&amp;"!B10:B1000"),$B36,INDIRECT(Equipo!$C$4&amp;"!"&amp;ADDRESS(10,COLUMN(K$9)+10)&amp;":"&amp;ADDRESS(1000,COLUMN(K$9)+10))),
SUMIF(INDIRECT(Equipo!$D$4&amp;"!B10:B1000"),$B36,INDIRECT(Equipo!$D$4&amp;"!"&amp;ADDRESS(10,COLUMN(K$9)+10)&amp;":"&amp;ADDRESS(1000,COLUMN(K$9)+10))),
SUMIF(INDIRECT(Equipo!$E$4&amp;"!B10:B1000"),$B36,INDIRECT(Equipo!$E$4&amp;"!"&amp;ADDRESS(10,COLUMN(K$9)+10)&amp;":"&amp;ADDRESS(1000,COLUMN(K$9)+10))),
SUMIF(INDIRECT(Equipo!$F$4&amp;"!B10:B1000"),$B36,INDIRECT(Equipo!$F$4&amp;"!"&amp;ADDRESS(10,COLUMN(K$9)+10)&amp;":"&amp;ADDRESS(1000,COLUMN(K$9)+10))),
SUMIF(INDIRECT(Equipo!$G$4&amp;"!B10:B1000"),$B36,INDIRECT(Equipo!$G$4&amp;"!"&amp;ADDRESS(10,COLUMN(K$9)+10)&amp;":"&amp;ADDRESS(1000,COLUMN(K$9)+10)))
))</f>
        <v>0</v>
      </c>
    </row>
    <row r="37" ht="15.75" customHeight="1">
      <c r="B37" s="1" t="str">
        <f>IF(ISBLANK(Tareas!B33)," - ",Tareas!B33)</f>
        <v>28. Revisión intermedia del código</v>
      </c>
      <c r="C37" s="19">
        <f>IF(ISBLANK(Tareas!$B33),"-",SUM(D37:M37))</f>
        <v>1.1</v>
      </c>
      <c r="D37" s="19">
        <f t="array" ref="D37">IF(ISBLANK(Tareas!$B33),"-",
SUM(
SUMIF(INDIRECT(Equipo!$C$4&amp;"!B10:B1000"),$B37,INDIRECT(Equipo!$C$4&amp;"!"&amp;ADDRESS(10,COLUMN(D$9)+10)&amp;":"&amp;ADDRESS(1000,COLUMN(D$9)+10))),
SUMIF(INDIRECT(Equipo!$D$4&amp;"!B10:B1000"),$B37,INDIRECT(Equipo!$D$4&amp;"!"&amp;ADDRESS(10,COLUMN(D$9)+10)&amp;":"&amp;ADDRESS(1000,COLUMN(D$9)+10))),
SUMIF(INDIRECT(Equipo!$E$4&amp;"!B10:B1000"),$B37,INDIRECT(Equipo!$E$4&amp;"!"&amp;ADDRESS(10,COLUMN(D$9)+10)&amp;":"&amp;ADDRESS(1000,COLUMN(D$9)+10))),
SUMIF(INDIRECT(Equipo!$F$4&amp;"!B10:B1000"),$B37,INDIRECT(Equipo!$F$4&amp;"!"&amp;ADDRESS(10,COLUMN(D$9)+10)&amp;":"&amp;ADDRESS(1000,COLUMN(D$9)+10))),
SUMIF(INDIRECT(Equipo!$G$4&amp;"!B10:B1000"),$B37,INDIRECT(Equipo!$G$4&amp;"!"&amp;ADDRESS(10,COLUMN(D$9)+10)&amp;":"&amp;ADDRESS(1000,COLUMN(D$9)+10)))
))</f>
        <v>0</v>
      </c>
      <c r="E37" s="19">
        <f t="array" ref="E37">IF(ISBLANK(Tareas!$B33),"-",
SUM(
SUMIF(INDIRECT(Equipo!$C$4&amp;"!B10:B1000"),$B37,INDIRECT(Equipo!$C$4&amp;"!"&amp;ADDRESS(10,COLUMN(E$9)+10)&amp;":"&amp;ADDRESS(1000,COLUMN(E$9)+10))),
SUMIF(INDIRECT(Equipo!$D$4&amp;"!B10:B1000"),$B37,INDIRECT(Equipo!$D$4&amp;"!"&amp;ADDRESS(10,COLUMN(E$9)+10)&amp;":"&amp;ADDRESS(1000,COLUMN(E$9)+10))),
SUMIF(INDIRECT(Equipo!$E$4&amp;"!B10:B1000"),$B37,INDIRECT(Equipo!$E$4&amp;"!"&amp;ADDRESS(10,COLUMN(E$9)+10)&amp;":"&amp;ADDRESS(1000,COLUMN(E$9)+10))),
SUMIF(INDIRECT(Equipo!$F$4&amp;"!B10:B1000"),$B37,INDIRECT(Equipo!$F$4&amp;"!"&amp;ADDRESS(10,COLUMN(E$9)+10)&amp;":"&amp;ADDRESS(1000,COLUMN(E$9)+10))),
SUMIF(INDIRECT(Equipo!$G$4&amp;"!B10:B1000"),$B37,INDIRECT(Equipo!$G$4&amp;"!"&amp;ADDRESS(10,COLUMN(E$9)+10)&amp;":"&amp;ADDRESS(1000,COLUMN(E$9)+10)))
))</f>
        <v>0</v>
      </c>
      <c r="F37" s="19">
        <f t="array" ref="F37">IF(ISBLANK(Tareas!$B33),"-",
SUM(
SUMIF(INDIRECT(Equipo!$C$4&amp;"!B10:B1000"),$B37,INDIRECT(Equipo!$C$4&amp;"!"&amp;ADDRESS(10,COLUMN(F$9)+10)&amp;":"&amp;ADDRESS(1000,COLUMN(F$9)+10))),
SUMIF(INDIRECT(Equipo!$D$4&amp;"!B10:B1000"),$B37,INDIRECT(Equipo!$D$4&amp;"!"&amp;ADDRESS(10,COLUMN(F$9)+10)&amp;":"&amp;ADDRESS(1000,COLUMN(F$9)+10))),
SUMIF(INDIRECT(Equipo!$E$4&amp;"!B10:B1000"),$B37,INDIRECT(Equipo!$E$4&amp;"!"&amp;ADDRESS(10,COLUMN(F$9)+10)&amp;":"&amp;ADDRESS(1000,COLUMN(F$9)+10))),
SUMIF(INDIRECT(Equipo!$F$4&amp;"!B10:B1000"),$B37,INDIRECT(Equipo!$F$4&amp;"!"&amp;ADDRESS(10,COLUMN(F$9)+10)&amp;":"&amp;ADDRESS(1000,COLUMN(F$9)+10))),
SUMIF(INDIRECT(Equipo!$G$4&amp;"!B10:B1000"),$B37,INDIRECT(Equipo!$G$4&amp;"!"&amp;ADDRESS(10,COLUMN(F$9)+10)&amp;":"&amp;ADDRESS(1000,COLUMN(F$9)+10)))
))</f>
        <v>0</v>
      </c>
      <c r="G37" s="19">
        <f t="array" ref="G37">IF(ISBLANK(Tareas!$B33),"-",
SUM(
SUMIF(INDIRECT(Equipo!$C$4&amp;"!B10:B1000"),$B37,INDIRECT(Equipo!$C$4&amp;"!"&amp;ADDRESS(10,COLUMN(G$9)+10)&amp;":"&amp;ADDRESS(1000,COLUMN(G$9)+10))),
SUMIF(INDIRECT(Equipo!$D$4&amp;"!B10:B1000"),$B37,INDIRECT(Equipo!$D$4&amp;"!"&amp;ADDRESS(10,COLUMN(G$9)+10)&amp;":"&amp;ADDRESS(1000,COLUMN(G$9)+10))),
SUMIF(INDIRECT(Equipo!$E$4&amp;"!B10:B1000"),$B37,INDIRECT(Equipo!$E$4&amp;"!"&amp;ADDRESS(10,COLUMN(G$9)+10)&amp;":"&amp;ADDRESS(1000,COLUMN(G$9)+10))),
SUMIF(INDIRECT(Equipo!$F$4&amp;"!B10:B1000"),$B37,INDIRECT(Equipo!$F$4&amp;"!"&amp;ADDRESS(10,COLUMN(G$9)+10)&amp;":"&amp;ADDRESS(1000,COLUMN(G$9)+10))),
SUMIF(INDIRECT(Equipo!$G$4&amp;"!B10:B1000"),$B37,INDIRECT(Equipo!$G$4&amp;"!"&amp;ADDRESS(10,COLUMN(G$9)+10)&amp;":"&amp;ADDRESS(1000,COLUMN(G$9)+10)))
))</f>
        <v>0</v>
      </c>
      <c r="H37" s="19">
        <f t="array" ref="H37">IF(ISBLANK(Tareas!$B33),"-",
SUM(
SUMIF(INDIRECT(Equipo!$C$4&amp;"!B10:B1000"),$B37,INDIRECT(Equipo!$C$4&amp;"!"&amp;ADDRESS(10,COLUMN(H$9)+10)&amp;":"&amp;ADDRESS(1000,COLUMN(H$9)+10))),
SUMIF(INDIRECT(Equipo!$D$4&amp;"!B10:B1000"),$B37,INDIRECT(Equipo!$D$4&amp;"!"&amp;ADDRESS(10,COLUMN(H$9)+10)&amp;":"&amp;ADDRESS(1000,COLUMN(H$9)+10))),
SUMIF(INDIRECT(Equipo!$E$4&amp;"!B10:B1000"),$B37,INDIRECT(Equipo!$E$4&amp;"!"&amp;ADDRESS(10,COLUMN(H$9)+10)&amp;":"&amp;ADDRESS(1000,COLUMN(H$9)+10))),
SUMIF(INDIRECT(Equipo!$F$4&amp;"!B10:B1000"),$B37,INDIRECT(Equipo!$F$4&amp;"!"&amp;ADDRESS(10,COLUMN(H$9)+10)&amp;":"&amp;ADDRESS(1000,COLUMN(H$9)+10))),
SUMIF(INDIRECT(Equipo!$G$4&amp;"!B10:B1000"),$B37,INDIRECT(Equipo!$G$4&amp;"!"&amp;ADDRESS(10,COLUMN(H$9)+10)&amp;":"&amp;ADDRESS(1000,COLUMN(H$9)+10)))
))</f>
        <v>1.1</v>
      </c>
      <c r="I37" s="19">
        <f t="array" ref="I37">IF(ISBLANK(Tareas!$B33),"-",
SUM(
SUMIF(INDIRECT(Equipo!$C$4&amp;"!B10:B1000"),$B37,INDIRECT(Equipo!$C$4&amp;"!"&amp;ADDRESS(10,COLUMN(I$9)+10)&amp;":"&amp;ADDRESS(1000,COLUMN(I$9)+10))),
SUMIF(INDIRECT(Equipo!$D$4&amp;"!B10:B1000"),$B37,INDIRECT(Equipo!$D$4&amp;"!"&amp;ADDRESS(10,COLUMN(I$9)+10)&amp;":"&amp;ADDRESS(1000,COLUMN(I$9)+10))),
SUMIF(INDIRECT(Equipo!$E$4&amp;"!B10:B1000"),$B37,INDIRECT(Equipo!$E$4&amp;"!"&amp;ADDRESS(10,COLUMN(I$9)+10)&amp;":"&amp;ADDRESS(1000,COLUMN(I$9)+10))),
SUMIF(INDIRECT(Equipo!$F$4&amp;"!B10:B1000"),$B37,INDIRECT(Equipo!$F$4&amp;"!"&amp;ADDRESS(10,COLUMN(I$9)+10)&amp;":"&amp;ADDRESS(1000,COLUMN(I$9)+10))),
SUMIF(INDIRECT(Equipo!$G$4&amp;"!B10:B1000"),$B37,INDIRECT(Equipo!$G$4&amp;"!"&amp;ADDRESS(10,COLUMN(I$9)+10)&amp;":"&amp;ADDRESS(1000,COLUMN(I$9)+10)))
))</f>
        <v>0</v>
      </c>
      <c r="J37" s="19">
        <f t="array" ref="J37">IF(ISBLANK(Tareas!$B33),"-",
SUM(
SUMIF(INDIRECT(Equipo!$C$4&amp;"!B10:B1000"),$B37,INDIRECT(Equipo!$C$4&amp;"!"&amp;ADDRESS(10,COLUMN(J$9)+10)&amp;":"&amp;ADDRESS(1000,COLUMN(J$9)+10))),
SUMIF(INDIRECT(Equipo!$D$4&amp;"!B10:B1000"),$B37,INDIRECT(Equipo!$D$4&amp;"!"&amp;ADDRESS(10,COLUMN(J$9)+10)&amp;":"&amp;ADDRESS(1000,COLUMN(J$9)+10))),
SUMIF(INDIRECT(Equipo!$E$4&amp;"!B10:B1000"),$B37,INDIRECT(Equipo!$E$4&amp;"!"&amp;ADDRESS(10,COLUMN(J$9)+10)&amp;":"&amp;ADDRESS(1000,COLUMN(J$9)+10))),
SUMIF(INDIRECT(Equipo!$F$4&amp;"!B10:B1000"),$B37,INDIRECT(Equipo!$F$4&amp;"!"&amp;ADDRESS(10,COLUMN(J$9)+10)&amp;":"&amp;ADDRESS(1000,COLUMN(J$9)+10))),
SUMIF(INDIRECT(Equipo!$G$4&amp;"!B10:B1000"),$B37,INDIRECT(Equipo!$G$4&amp;"!"&amp;ADDRESS(10,COLUMN(J$9)+10)&amp;":"&amp;ADDRESS(1000,COLUMN(J$9)+10)))
))</f>
        <v>0</v>
      </c>
      <c r="K37" s="19">
        <f t="array" ref="K37">IF(ISBLANK(Tareas!$B33),"-",
SUM(
SUMIF(INDIRECT(Equipo!$C$4&amp;"!B10:B1000"),$B37,INDIRECT(Equipo!$C$4&amp;"!"&amp;ADDRESS(10,COLUMN(K$9)+10)&amp;":"&amp;ADDRESS(1000,COLUMN(K$9)+10))),
SUMIF(INDIRECT(Equipo!$D$4&amp;"!B10:B1000"),$B37,INDIRECT(Equipo!$D$4&amp;"!"&amp;ADDRESS(10,COLUMN(K$9)+10)&amp;":"&amp;ADDRESS(1000,COLUMN(K$9)+10))),
SUMIF(INDIRECT(Equipo!$E$4&amp;"!B10:B1000"),$B37,INDIRECT(Equipo!$E$4&amp;"!"&amp;ADDRESS(10,COLUMN(K$9)+10)&amp;":"&amp;ADDRESS(1000,COLUMN(K$9)+10))),
SUMIF(INDIRECT(Equipo!$F$4&amp;"!B10:B1000"),$B37,INDIRECT(Equipo!$F$4&amp;"!"&amp;ADDRESS(10,COLUMN(K$9)+10)&amp;":"&amp;ADDRESS(1000,COLUMN(K$9)+10))),
SUMIF(INDIRECT(Equipo!$G$4&amp;"!B10:B1000"),$B37,INDIRECT(Equipo!$G$4&amp;"!"&amp;ADDRESS(10,COLUMN(K$9)+10)&amp;":"&amp;ADDRESS(1000,COLUMN(K$9)+10)))
))</f>
        <v>0</v>
      </c>
    </row>
    <row r="38" ht="15.75" customHeight="1">
      <c r="B38" s="1" t="str">
        <f>IF(ISBLANK(Tareas!B34)," - ",Tareas!B34)</f>
        <v>29. Reunión 6</v>
      </c>
      <c r="C38" s="19">
        <f>IF(ISBLANK(Tareas!$B34),"-",SUM(D38:M38))</f>
        <v>1.5</v>
      </c>
      <c r="D38" s="19">
        <f t="array" ref="D38">IF(ISBLANK(Tareas!$B34),"-",
SUM(
SUMIF(INDIRECT(Equipo!$C$4&amp;"!B10:B1000"),$B38,INDIRECT(Equipo!$C$4&amp;"!"&amp;ADDRESS(10,COLUMN(D$9)+10)&amp;":"&amp;ADDRESS(1000,COLUMN(D$9)+10))),
SUMIF(INDIRECT(Equipo!$D$4&amp;"!B10:B1000"),$B38,INDIRECT(Equipo!$D$4&amp;"!"&amp;ADDRESS(10,COLUMN(D$9)+10)&amp;":"&amp;ADDRESS(1000,COLUMN(D$9)+10))),
SUMIF(INDIRECT(Equipo!$E$4&amp;"!B10:B1000"),$B38,INDIRECT(Equipo!$E$4&amp;"!"&amp;ADDRESS(10,COLUMN(D$9)+10)&amp;":"&amp;ADDRESS(1000,COLUMN(D$9)+10))),
SUMIF(INDIRECT(Equipo!$F$4&amp;"!B10:B1000"),$B38,INDIRECT(Equipo!$F$4&amp;"!"&amp;ADDRESS(10,COLUMN(D$9)+10)&amp;":"&amp;ADDRESS(1000,COLUMN(D$9)+10))),
SUMIF(INDIRECT(Equipo!$G$4&amp;"!B10:B1000"),$B38,INDIRECT(Equipo!$G$4&amp;"!"&amp;ADDRESS(10,COLUMN(D$9)+10)&amp;":"&amp;ADDRESS(1000,COLUMN(D$9)+10)))
))</f>
        <v>0</v>
      </c>
      <c r="E38" s="19">
        <f t="array" ref="E38">IF(ISBLANK(Tareas!$B34),"-",
SUM(
SUMIF(INDIRECT(Equipo!$C$4&amp;"!B10:B1000"),$B38,INDIRECT(Equipo!$C$4&amp;"!"&amp;ADDRESS(10,COLUMN(E$9)+10)&amp;":"&amp;ADDRESS(1000,COLUMN(E$9)+10))),
SUMIF(INDIRECT(Equipo!$D$4&amp;"!B10:B1000"),$B38,INDIRECT(Equipo!$D$4&amp;"!"&amp;ADDRESS(10,COLUMN(E$9)+10)&amp;":"&amp;ADDRESS(1000,COLUMN(E$9)+10))),
SUMIF(INDIRECT(Equipo!$E$4&amp;"!B10:B1000"),$B38,INDIRECT(Equipo!$E$4&amp;"!"&amp;ADDRESS(10,COLUMN(E$9)+10)&amp;":"&amp;ADDRESS(1000,COLUMN(E$9)+10))),
SUMIF(INDIRECT(Equipo!$F$4&amp;"!B10:B1000"),$B38,INDIRECT(Equipo!$F$4&amp;"!"&amp;ADDRESS(10,COLUMN(E$9)+10)&amp;":"&amp;ADDRESS(1000,COLUMN(E$9)+10))),
SUMIF(INDIRECT(Equipo!$G$4&amp;"!B10:B1000"),$B38,INDIRECT(Equipo!$G$4&amp;"!"&amp;ADDRESS(10,COLUMN(E$9)+10)&amp;":"&amp;ADDRESS(1000,COLUMN(E$9)+10)))
))</f>
        <v>0</v>
      </c>
      <c r="F38" s="19">
        <f t="array" ref="F38">IF(ISBLANK(Tareas!$B34),"-",
SUM(
SUMIF(INDIRECT(Equipo!$C$4&amp;"!B10:B1000"),$B38,INDIRECT(Equipo!$C$4&amp;"!"&amp;ADDRESS(10,COLUMN(F$9)+10)&amp;":"&amp;ADDRESS(1000,COLUMN(F$9)+10))),
SUMIF(INDIRECT(Equipo!$D$4&amp;"!B10:B1000"),$B38,INDIRECT(Equipo!$D$4&amp;"!"&amp;ADDRESS(10,COLUMN(F$9)+10)&amp;":"&amp;ADDRESS(1000,COLUMN(F$9)+10))),
SUMIF(INDIRECT(Equipo!$E$4&amp;"!B10:B1000"),$B38,INDIRECT(Equipo!$E$4&amp;"!"&amp;ADDRESS(10,COLUMN(F$9)+10)&amp;":"&amp;ADDRESS(1000,COLUMN(F$9)+10))),
SUMIF(INDIRECT(Equipo!$F$4&amp;"!B10:B1000"),$B38,INDIRECT(Equipo!$F$4&amp;"!"&amp;ADDRESS(10,COLUMN(F$9)+10)&amp;":"&amp;ADDRESS(1000,COLUMN(F$9)+10))),
SUMIF(INDIRECT(Equipo!$G$4&amp;"!B10:B1000"),$B38,INDIRECT(Equipo!$G$4&amp;"!"&amp;ADDRESS(10,COLUMN(F$9)+10)&amp;":"&amp;ADDRESS(1000,COLUMN(F$9)+10)))
))</f>
        <v>0</v>
      </c>
      <c r="G38" s="19">
        <f t="array" ref="G38">IF(ISBLANK(Tareas!$B34),"-",
SUM(
SUMIF(INDIRECT(Equipo!$C$4&amp;"!B10:B1000"),$B38,INDIRECT(Equipo!$C$4&amp;"!"&amp;ADDRESS(10,COLUMN(G$9)+10)&amp;":"&amp;ADDRESS(1000,COLUMN(G$9)+10))),
SUMIF(INDIRECT(Equipo!$D$4&amp;"!B10:B1000"),$B38,INDIRECT(Equipo!$D$4&amp;"!"&amp;ADDRESS(10,COLUMN(G$9)+10)&amp;":"&amp;ADDRESS(1000,COLUMN(G$9)+10))),
SUMIF(INDIRECT(Equipo!$E$4&amp;"!B10:B1000"),$B38,INDIRECT(Equipo!$E$4&amp;"!"&amp;ADDRESS(10,COLUMN(G$9)+10)&amp;":"&amp;ADDRESS(1000,COLUMN(G$9)+10))),
SUMIF(INDIRECT(Equipo!$F$4&amp;"!B10:B1000"),$B38,INDIRECT(Equipo!$F$4&amp;"!"&amp;ADDRESS(10,COLUMN(G$9)+10)&amp;":"&amp;ADDRESS(1000,COLUMN(G$9)+10))),
SUMIF(INDIRECT(Equipo!$G$4&amp;"!B10:B1000"),$B38,INDIRECT(Equipo!$G$4&amp;"!"&amp;ADDRESS(10,COLUMN(G$9)+10)&amp;":"&amp;ADDRESS(1000,COLUMN(G$9)+10)))
))</f>
        <v>0</v>
      </c>
      <c r="H38" s="19">
        <f t="array" ref="H38">IF(ISBLANK(Tareas!$B34),"-",
SUM(
SUMIF(INDIRECT(Equipo!$C$4&amp;"!B10:B1000"),$B38,INDIRECT(Equipo!$C$4&amp;"!"&amp;ADDRESS(10,COLUMN(H$9)+10)&amp;":"&amp;ADDRESS(1000,COLUMN(H$9)+10))),
SUMIF(INDIRECT(Equipo!$D$4&amp;"!B10:B1000"),$B38,INDIRECT(Equipo!$D$4&amp;"!"&amp;ADDRESS(10,COLUMN(H$9)+10)&amp;":"&amp;ADDRESS(1000,COLUMN(H$9)+10))),
SUMIF(INDIRECT(Equipo!$E$4&amp;"!B10:B1000"),$B38,INDIRECT(Equipo!$E$4&amp;"!"&amp;ADDRESS(10,COLUMN(H$9)+10)&amp;":"&amp;ADDRESS(1000,COLUMN(H$9)+10))),
SUMIF(INDIRECT(Equipo!$F$4&amp;"!B10:B1000"),$B38,INDIRECT(Equipo!$F$4&amp;"!"&amp;ADDRESS(10,COLUMN(H$9)+10)&amp;":"&amp;ADDRESS(1000,COLUMN(H$9)+10))),
SUMIF(INDIRECT(Equipo!$G$4&amp;"!B10:B1000"),$B38,INDIRECT(Equipo!$G$4&amp;"!"&amp;ADDRESS(10,COLUMN(H$9)+10)&amp;":"&amp;ADDRESS(1000,COLUMN(H$9)+10)))
))</f>
        <v>0</v>
      </c>
      <c r="I38" s="19">
        <f t="array" ref="I38">IF(ISBLANK(Tareas!$B34),"-",
SUM(
SUMIF(INDIRECT(Equipo!$C$4&amp;"!B10:B1000"),$B38,INDIRECT(Equipo!$C$4&amp;"!"&amp;ADDRESS(10,COLUMN(I$9)+10)&amp;":"&amp;ADDRESS(1000,COLUMN(I$9)+10))),
SUMIF(INDIRECT(Equipo!$D$4&amp;"!B10:B1000"),$B38,INDIRECT(Equipo!$D$4&amp;"!"&amp;ADDRESS(10,COLUMN(I$9)+10)&amp;":"&amp;ADDRESS(1000,COLUMN(I$9)+10))),
SUMIF(INDIRECT(Equipo!$E$4&amp;"!B10:B1000"),$B38,INDIRECT(Equipo!$E$4&amp;"!"&amp;ADDRESS(10,COLUMN(I$9)+10)&amp;":"&amp;ADDRESS(1000,COLUMN(I$9)+10))),
SUMIF(INDIRECT(Equipo!$F$4&amp;"!B10:B1000"),$B38,INDIRECT(Equipo!$F$4&amp;"!"&amp;ADDRESS(10,COLUMN(I$9)+10)&amp;":"&amp;ADDRESS(1000,COLUMN(I$9)+10))),
SUMIF(INDIRECT(Equipo!$G$4&amp;"!B10:B1000"),$B38,INDIRECT(Equipo!$G$4&amp;"!"&amp;ADDRESS(10,COLUMN(I$9)+10)&amp;":"&amp;ADDRESS(1000,COLUMN(I$9)+10)))
))</f>
        <v>1.5</v>
      </c>
      <c r="J38" s="19">
        <f t="array" ref="J38">IF(ISBLANK(Tareas!$B34),"-",
SUM(
SUMIF(INDIRECT(Equipo!$C$4&amp;"!B10:B1000"),$B38,INDIRECT(Equipo!$C$4&amp;"!"&amp;ADDRESS(10,COLUMN(J$9)+10)&amp;":"&amp;ADDRESS(1000,COLUMN(J$9)+10))),
SUMIF(INDIRECT(Equipo!$D$4&amp;"!B10:B1000"),$B38,INDIRECT(Equipo!$D$4&amp;"!"&amp;ADDRESS(10,COLUMN(J$9)+10)&amp;":"&amp;ADDRESS(1000,COLUMN(J$9)+10))),
SUMIF(INDIRECT(Equipo!$E$4&amp;"!B10:B1000"),$B38,INDIRECT(Equipo!$E$4&amp;"!"&amp;ADDRESS(10,COLUMN(J$9)+10)&amp;":"&amp;ADDRESS(1000,COLUMN(J$9)+10))),
SUMIF(INDIRECT(Equipo!$F$4&amp;"!B10:B1000"),$B38,INDIRECT(Equipo!$F$4&amp;"!"&amp;ADDRESS(10,COLUMN(J$9)+10)&amp;":"&amp;ADDRESS(1000,COLUMN(J$9)+10))),
SUMIF(INDIRECT(Equipo!$G$4&amp;"!B10:B1000"),$B38,INDIRECT(Equipo!$G$4&amp;"!"&amp;ADDRESS(10,COLUMN(J$9)+10)&amp;":"&amp;ADDRESS(1000,COLUMN(J$9)+10)))
))</f>
        <v>0</v>
      </c>
      <c r="K38" s="19">
        <f t="array" ref="K38">IF(ISBLANK(Tareas!$B34),"-",
SUM(
SUMIF(INDIRECT(Equipo!$C$4&amp;"!B10:B1000"),$B38,INDIRECT(Equipo!$C$4&amp;"!"&amp;ADDRESS(10,COLUMN(K$9)+10)&amp;":"&amp;ADDRESS(1000,COLUMN(K$9)+10))),
SUMIF(INDIRECT(Equipo!$D$4&amp;"!B10:B1000"),$B38,INDIRECT(Equipo!$D$4&amp;"!"&amp;ADDRESS(10,COLUMN(K$9)+10)&amp;":"&amp;ADDRESS(1000,COLUMN(K$9)+10))),
SUMIF(INDIRECT(Equipo!$E$4&amp;"!B10:B1000"),$B38,INDIRECT(Equipo!$E$4&amp;"!"&amp;ADDRESS(10,COLUMN(K$9)+10)&amp;":"&amp;ADDRESS(1000,COLUMN(K$9)+10))),
SUMIF(INDIRECT(Equipo!$F$4&amp;"!B10:B1000"),$B38,INDIRECT(Equipo!$F$4&amp;"!"&amp;ADDRESS(10,COLUMN(K$9)+10)&amp;":"&amp;ADDRESS(1000,COLUMN(K$9)+10))),
SUMIF(INDIRECT(Equipo!$G$4&amp;"!B10:B1000"),$B38,INDIRECT(Equipo!$G$4&amp;"!"&amp;ADDRESS(10,COLUMN(K$9)+10)&amp;":"&amp;ADDRESS(1000,COLUMN(K$9)+10)))
))</f>
        <v>0</v>
      </c>
    </row>
    <row r="39" ht="15.75" customHeight="1">
      <c r="B39" s="1" t="str">
        <f>IF(ISBLANK(Tareas!B35)," - ",Tareas!B35)</f>
        <v>30. Actualización de EVM</v>
      </c>
      <c r="C39" s="19">
        <f>IF(ISBLANK(Tareas!$B35),"-",SUM(D39:M39))</f>
        <v>0.5</v>
      </c>
      <c r="D39" s="19">
        <f t="array" ref="D39">IF(ISBLANK(Tareas!$B35),"-",
SUM(
SUMIF(INDIRECT(Equipo!$C$4&amp;"!B10:B1000"),$B39,INDIRECT(Equipo!$C$4&amp;"!"&amp;ADDRESS(10,COLUMN(D$9)+10)&amp;":"&amp;ADDRESS(1000,COLUMN(D$9)+10))),
SUMIF(INDIRECT(Equipo!$D$4&amp;"!B10:B1000"),$B39,INDIRECT(Equipo!$D$4&amp;"!"&amp;ADDRESS(10,COLUMN(D$9)+10)&amp;":"&amp;ADDRESS(1000,COLUMN(D$9)+10))),
SUMIF(INDIRECT(Equipo!$E$4&amp;"!B10:B1000"),$B39,INDIRECT(Equipo!$E$4&amp;"!"&amp;ADDRESS(10,COLUMN(D$9)+10)&amp;":"&amp;ADDRESS(1000,COLUMN(D$9)+10))),
SUMIF(INDIRECT(Equipo!$F$4&amp;"!B10:B1000"),$B39,INDIRECT(Equipo!$F$4&amp;"!"&amp;ADDRESS(10,COLUMN(D$9)+10)&amp;":"&amp;ADDRESS(1000,COLUMN(D$9)+10))),
SUMIF(INDIRECT(Equipo!$G$4&amp;"!B10:B1000"),$B39,INDIRECT(Equipo!$G$4&amp;"!"&amp;ADDRESS(10,COLUMN(D$9)+10)&amp;":"&amp;ADDRESS(1000,COLUMN(D$9)+10)))
))</f>
        <v>0</v>
      </c>
      <c r="E39" s="19">
        <f t="array" ref="E39">IF(ISBLANK(Tareas!$B35),"-",
SUM(
SUMIF(INDIRECT(Equipo!$C$4&amp;"!B10:B1000"),$B39,INDIRECT(Equipo!$C$4&amp;"!"&amp;ADDRESS(10,COLUMN(E$9)+10)&amp;":"&amp;ADDRESS(1000,COLUMN(E$9)+10))),
SUMIF(INDIRECT(Equipo!$D$4&amp;"!B10:B1000"),$B39,INDIRECT(Equipo!$D$4&amp;"!"&amp;ADDRESS(10,COLUMN(E$9)+10)&amp;":"&amp;ADDRESS(1000,COLUMN(E$9)+10))),
SUMIF(INDIRECT(Equipo!$E$4&amp;"!B10:B1000"),$B39,INDIRECT(Equipo!$E$4&amp;"!"&amp;ADDRESS(10,COLUMN(E$9)+10)&amp;":"&amp;ADDRESS(1000,COLUMN(E$9)+10))),
SUMIF(INDIRECT(Equipo!$F$4&amp;"!B10:B1000"),$B39,INDIRECT(Equipo!$F$4&amp;"!"&amp;ADDRESS(10,COLUMN(E$9)+10)&amp;":"&amp;ADDRESS(1000,COLUMN(E$9)+10))),
SUMIF(INDIRECT(Equipo!$G$4&amp;"!B10:B1000"),$B39,INDIRECT(Equipo!$G$4&amp;"!"&amp;ADDRESS(10,COLUMN(E$9)+10)&amp;":"&amp;ADDRESS(1000,COLUMN(E$9)+10)))
))</f>
        <v>0</v>
      </c>
      <c r="F39" s="19">
        <f t="array" ref="F39">IF(ISBLANK(Tareas!$B35),"-",
SUM(
SUMIF(INDIRECT(Equipo!$C$4&amp;"!B10:B1000"),$B39,INDIRECT(Equipo!$C$4&amp;"!"&amp;ADDRESS(10,COLUMN(F$9)+10)&amp;":"&amp;ADDRESS(1000,COLUMN(F$9)+10))),
SUMIF(INDIRECT(Equipo!$D$4&amp;"!B10:B1000"),$B39,INDIRECT(Equipo!$D$4&amp;"!"&amp;ADDRESS(10,COLUMN(F$9)+10)&amp;":"&amp;ADDRESS(1000,COLUMN(F$9)+10))),
SUMIF(INDIRECT(Equipo!$E$4&amp;"!B10:B1000"),$B39,INDIRECT(Equipo!$E$4&amp;"!"&amp;ADDRESS(10,COLUMN(F$9)+10)&amp;":"&amp;ADDRESS(1000,COLUMN(F$9)+10))),
SUMIF(INDIRECT(Equipo!$F$4&amp;"!B10:B1000"),$B39,INDIRECT(Equipo!$F$4&amp;"!"&amp;ADDRESS(10,COLUMN(F$9)+10)&amp;":"&amp;ADDRESS(1000,COLUMN(F$9)+10))),
SUMIF(INDIRECT(Equipo!$G$4&amp;"!B10:B1000"),$B39,INDIRECT(Equipo!$G$4&amp;"!"&amp;ADDRESS(10,COLUMN(F$9)+10)&amp;":"&amp;ADDRESS(1000,COLUMN(F$9)+10)))
))</f>
        <v>0</v>
      </c>
      <c r="G39" s="19">
        <f t="array" ref="G39">IF(ISBLANK(Tareas!$B35),"-",
SUM(
SUMIF(INDIRECT(Equipo!$C$4&amp;"!B10:B1000"),$B39,INDIRECT(Equipo!$C$4&amp;"!"&amp;ADDRESS(10,COLUMN(G$9)+10)&amp;":"&amp;ADDRESS(1000,COLUMN(G$9)+10))),
SUMIF(INDIRECT(Equipo!$D$4&amp;"!B10:B1000"),$B39,INDIRECT(Equipo!$D$4&amp;"!"&amp;ADDRESS(10,COLUMN(G$9)+10)&amp;":"&amp;ADDRESS(1000,COLUMN(G$9)+10))),
SUMIF(INDIRECT(Equipo!$E$4&amp;"!B10:B1000"),$B39,INDIRECT(Equipo!$E$4&amp;"!"&amp;ADDRESS(10,COLUMN(G$9)+10)&amp;":"&amp;ADDRESS(1000,COLUMN(G$9)+10))),
SUMIF(INDIRECT(Equipo!$F$4&amp;"!B10:B1000"),$B39,INDIRECT(Equipo!$F$4&amp;"!"&amp;ADDRESS(10,COLUMN(G$9)+10)&amp;":"&amp;ADDRESS(1000,COLUMN(G$9)+10))),
SUMIF(INDIRECT(Equipo!$G$4&amp;"!B10:B1000"),$B39,INDIRECT(Equipo!$G$4&amp;"!"&amp;ADDRESS(10,COLUMN(G$9)+10)&amp;":"&amp;ADDRESS(1000,COLUMN(G$9)+10)))
))</f>
        <v>0</v>
      </c>
      <c r="H39" s="19">
        <f t="array" ref="H39">IF(ISBLANK(Tareas!$B35),"-",
SUM(
SUMIF(INDIRECT(Equipo!$C$4&amp;"!B10:B1000"),$B39,INDIRECT(Equipo!$C$4&amp;"!"&amp;ADDRESS(10,COLUMN(H$9)+10)&amp;":"&amp;ADDRESS(1000,COLUMN(H$9)+10))),
SUMIF(INDIRECT(Equipo!$D$4&amp;"!B10:B1000"),$B39,INDIRECT(Equipo!$D$4&amp;"!"&amp;ADDRESS(10,COLUMN(H$9)+10)&amp;":"&amp;ADDRESS(1000,COLUMN(H$9)+10))),
SUMIF(INDIRECT(Equipo!$E$4&amp;"!B10:B1000"),$B39,INDIRECT(Equipo!$E$4&amp;"!"&amp;ADDRESS(10,COLUMN(H$9)+10)&amp;":"&amp;ADDRESS(1000,COLUMN(H$9)+10))),
SUMIF(INDIRECT(Equipo!$F$4&amp;"!B10:B1000"),$B39,INDIRECT(Equipo!$F$4&amp;"!"&amp;ADDRESS(10,COLUMN(H$9)+10)&amp;":"&amp;ADDRESS(1000,COLUMN(H$9)+10))),
SUMIF(INDIRECT(Equipo!$G$4&amp;"!B10:B1000"),$B39,INDIRECT(Equipo!$G$4&amp;"!"&amp;ADDRESS(10,COLUMN(H$9)+10)&amp;":"&amp;ADDRESS(1000,COLUMN(H$9)+10)))
))</f>
        <v>0</v>
      </c>
      <c r="I39" s="19">
        <f t="array" ref="I39">IF(ISBLANK(Tareas!$B35),"-",
SUM(
SUMIF(INDIRECT(Equipo!$C$4&amp;"!B10:B1000"),$B39,INDIRECT(Equipo!$C$4&amp;"!"&amp;ADDRESS(10,COLUMN(I$9)+10)&amp;":"&amp;ADDRESS(1000,COLUMN(I$9)+10))),
SUMIF(INDIRECT(Equipo!$D$4&amp;"!B10:B1000"),$B39,INDIRECT(Equipo!$D$4&amp;"!"&amp;ADDRESS(10,COLUMN(I$9)+10)&amp;":"&amp;ADDRESS(1000,COLUMN(I$9)+10))),
SUMIF(INDIRECT(Equipo!$E$4&amp;"!B10:B1000"),$B39,INDIRECT(Equipo!$E$4&amp;"!"&amp;ADDRESS(10,COLUMN(I$9)+10)&amp;":"&amp;ADDRESS(1000,COLUMN(I$9)+10))),
SUMIF(INDIRECT(Equipo!$F$4&amp;"!B10:B1000"),$B39,INDIRECT(Equipo!$F$4&amp;"!"&amp;ADDRESS(10,COLUMN(I$9)+10)&amp;":"&amp;ADDRESS(1000,COLUMN(I$9)+10))),
SUMIF(INDIRECT(Equipo!$G$4&amp;"!B10:B1000"),$B39,INDIRECT(Equipo!$G$4&amp;"!"&amp;ADDRESS(10,COLUMN(I$9)+10)&amp;":"&amp;ADDRESS(1000,COLUMN(I$9)+10)))
))</f>
        <v>0.5</v>
      </c>
      <c r="J39" s="19">
        <f t="array" ref="J39">IF(ISBLANK(Tareas!$B35),"-",
SUM(
SUMIF(INDIRECT(Equipo!$C$4&amp;"!B10:B1000"),$B39,INDIRECT(Equipo!$C$4&amp;"!"&amp;ADDRESS(10,COLUMN(J$9)+10)&amp;":"&amp;ADDRESS(1000,COLUMN(J$9)+10))),
SUMIF(INDIRECT(Equipo!$D$4&amp;"!B10:B1000"),$B39,INDIRECT(Equipo!$D$4&amp;"!"&amp;ADDRESS(10,COLUMN(J$9)+10)&amp;":"&amp;ADDRESS(1000,COLUMN(J$9)+10))),
SUMIF(INDIRECT(Equipo!$E$4&amp;"!B10:B1000"),$B39,INDIRECT(Equipo!$E$4&amp;"!"&amp;ADDRESS(10,COLUMN(J$9)+10)&amp;":"&amp;ADDRESS(1000,COLUMN(J$9)+10))),
SUMIF(INDIRECT(Equipo!$F$4&amp;"!B10:B1000"),$B39,INDIRECT(Equipo!$F$4&amp;"!"&amp;ADDRESS(10,COLUMN(J$9)+10)&amp;":"&amp;ADDRESS(1000,COLUMN(J$9)+10))),
SUMIF(INDIRECT(Equipo!$G$4&amp;"!B10:B1000"),$B39,INDIRECT(Equipo!$G$4&amp;"!"&amp;ADDRESS(10,COLUMN(J$9)+10)&amp;":"&amp;ADDRESS(1000,COLUMN(J$9)+10)))
))</f>
        <v>0</v>
      </c>
      <c r="K39" s="19">
        <f t="array" ref="K39">IF(ISBLANK(Tareas!$B35),"-",
SUM(
SUMIF(INDIRECT(Equipo!$C$4&amp;"!B10:B1000"),$B39,INDIRECT(Equipo!$C$4&amp;"!"&amp;ADDRESS(10,COLUMN(K$9)+10)&amp;":"&amp;ADDRESS(1000,COLUMN(K$9)+10))),
SUMIF(INDIRECT(Equipo!$D$4&amp;"!B10:B1000"),$B39,INDIRECT(Equipo!$D$4&amp;"!"&amp;ADDRESS(10,COLUMN(K$9)+10)&amp;":"&amp;ADDRESS(1000,COLUMN(K$9)+10))),
SUMIF(INDIRECT(Equipo!$E$4&amp;"!B10:B1000"),$B39,INDIRECT(Equipo!$E$4&amp;"!"&amp;ADDRESS(10,COLUMN(K$9)+10)&amp;":"&amp;ADDRESS(1000,COLUMN(K$9)+10))),
SUMIF(INDIRECT(Equipo!$F$4&amp;"!B10:B1000"),$B39,INDIRECT(Equipo!$F$4&amp;"!"&amp;ADDRESS(10,COLUMN(K$9)+10)&amp;":"&amp;ADDRESS(1000,COLUMN(K$9)+10))),
SUMIF(INDIRECT(Equipo!$G$4&amp;"!B10:B1000"),$B39,INDIRECT(Equipo!$G$4&amp;"!"&amp;ADDRESS(10,COLUMN(K$9)+10)&amp;":"&amp;ADDRESS(1000,COLUMN(K$9)+10)))
))</f>
        <v>0</v>
      </c>
    </row>
    <row r="40" ht="15.75" customHeight="1">
      <c r="B40" s="1" t="str">
        <f>IF(ISBLANK(Tareas!B36)," - ",Tareas!B36)</f>
        <v>31. Implementación de la gestión de amistades</v>
      </c>
      <c r="C40" s="19">
        <f>IF(ISBLANK(Tareas!$B36),"-",SUM(D40:M40))</f>
        <v>1</v>
      </c>
      <c r="D40" s="19">
        <f t="array" ref="D40">IF(ISBLANK(Tareas!$B36),"-",
SUM(
SUMIF(INDIRECT(Equipo!$C$4&amp;"!B10:B1000"),$B40,INDIRECT(Equipo!$C$4&amp;"!"&amp;ADDRESS(10,COLUMN(D$9)+10)&amp;":"&amp;ADDRESS(1000,COLUMN(D$9)+10))),
SUMIF(INDIRECT(Equipo!$D$4&amp;"!B10:B1000"),$B40,INDIRECT(Equipo!$D$4&amp;"!"&amp;ADDRESS(10,COLUMN(D$9)+10)&amp;":"&amp;ADDRESS(1000,COLUMN(D$9)+10))),
SUMIF(INDIRECT(Equipo!$E$4&amp;"!B10:B1000"),$B40,INDIRECT(Equipo!$E$4&amp;"!"&amp;ADDRESS(10,COLUMN(D$9)+10)&amp;":"&amp;ADDRESS(1000,COLUMN(D$9)+10))),
SUMIF(INDIRECT(Equipo!$F$4&amp;"!B10:B1000"),$B40,INDIRECT(Equipo!$F$4&amp;"!"&amp;ADDRESS(10,COLUMN(D$9)+10)&amp;":"&amp;ADDRESS(1000,COLUMN(D$9)+10))),
SUMIF(INDIRECT(Equipo!$G$4&amp;"!B10:B1000"),$B40,INDIRECT(Equipo!$G$4&amp;"!"&amp;ADDRESS(10,COLUMN(D$9)+10)&amp;":"&amp;ADDRESS(1000,COLUMN(D$9)+10)))
))</f>
        <v>0</v>
      </c>
      <c r="E40" s="19">
        <f t="array" ref="E40">IF(ISBLANK(Tareas!$B36),"-",
SUM(
SUMIF(INDIRECT(Equipo!$C$4&amp;"!B10:B1000"),$B40,INDIRECT(Equipo!$C$4&amp;"!"&amp;ADDRESS(10,COLUMN(E$9)+10)&amp;":"&amp;ADDRESS(1000,COLUMN(E$9)+10))),
SUMIF(INDIRECT(Equipo!$D$4&amp;"!B10:B1000"),$B40,INDIRECT(Equipo!$D$4&amp;"!"&amp;ADDRESS(10,COLUMN(E$9)+10)&amp;":"&amp;ADDRESS(1000,COLUMN(E$9)+10))),
SUMIF(INDIRECT(Equipo!$E$4&amp;"!B10:B1000"),$B40,INDIRECT(Equipo!$E$4&amp;"!"&amp;ADDRESS(10,COLUMN(E$9)+10)&amp;":"&amp;ADDRESS(1000,COLUMN(E$9)+10))),
SUMIF(INDIRECT(Equipo!$F$4&amp;"!B10:B1000"),$B40,INDIRECT(Equipo!$F$4&amp;"!"&amp;ADDRESS(10,COLUMN(E$9)+10)&amp;":"&amp;ADDRESS(1000,COLUMN(E$9)+10))),
SUMIF(INDIRECT(Equipo!$G$4&amp;"!B10:B1000"),$B40,INDIRECT(Equipo!$G$4&amp;"!"&amp;ADDRESS(10,COLUMN(E$9)+10)&amp;":"&amp;ADDRESS(1000,COLUMN(E$9)+10)))
))</f>
        <v>0</v>
      </c>
      <c r="F40" s="19">
        <f t="array" ref="F40">IF(ISBLANK(Tareas!$B36),"-",
SUM(
SUMIF(INDIRECT(Equipo!$C$4&amp;"!B10:B1000"),$B40,INDIRECT(Equipo!$C$4&amp;"!"&amp;ADDRESS(10,COLUMN(F$9)+10)&amp;":"&amp;ADDRESS(1000,COLUMN(F$9)+10))),
SUMIF(INDIRECT(Equipo!$D$4&amp;"!B10:B1000"),$B40,INDIRECT(Equipo!$D$4&amp;"!"&amp;ADDRESS(10,COLUMN(F$9)+10)&amp;":"&amp;ADDRESS(1000,COLUMN(F$9)+10))),
SUMIF(INDIRECT(Equipo!$E$4&amp;"!B10:B1000"),$B40,INDIRECT(Equipo!$E$4&amp;"!"&amp;ADDRESS(10,COLUMN(F$9)+10)&amp;":"&amp;ADDRESS(1000,COLUMN(F$9)+10))),
SUMIF(INDIRECT(Equipo!$F$4&amp;"!B10:B1000"),$B40,INDIRECT(Equipo!$F$4&amp;"!"&amp;ADDRESS(10,COLUMN(F$9)+10)&amp;":"&amp;ADDRESS(1000,COLUMN(F$9)+10))),
SUMIF(INDIRECT(Equipo!$G$4&amp;"!B10:B1000"),$B40,INDIRECT(Equipo!$G$4&amp;"!"&amp;ADDRESS(10,COLUMN(F$9)+10)&amp;":"&amp;ADDRESS(1000,COLUMN(F$9)+10)))
))</f>
        <v>0</v>
      </c>
      <c r="G40" s="19">
        <f t="array" ref="G40">IF(ISBLANK(Tareas!$B36),"-",
SUM(
SUMIF(INDIRECT(Equipo!$C$4&amp;"!B10:B1000"),$B40,INDIRECT(Equipo!$C$4&amp;"!"&amp;ADDRESS(10,COLUMN(G$9)+10)&amp;":"&amp;ADDRESS(1000,COLUMN(G$9)+10))),
SUMIF(INDIRECT(Equipo!$D$4&amp;"!B10:B1000"),$B40,INDIRECT(Equipo!$D$4&amp;"!"&amp;ADDRESS(10,COLUMN(G$9)+10)&amp;":"&amp;ADDRESS(1000,COLUMN(G$9)+10))),
SUMIF(INDIRECT(Equipo!$E$4&amp;"!B10:B1000"),$B40,INDIRECT(Equipo!$E$4&amp;"!"&amp;ADDRESS(10,COLUMN(G$9)+10)&amp;":"&amp;ADDRESS(1000,COLUMN(G$9)+10))),
SUMIF(INDIRECT(Equipo!$F$4&amp;"!B10:B1000"),$B40,INDIRECT(Equipo!$F$4&amp;"!"&amp;ADDRESS(10,COLUMN(G$9)+10)&amp;":"&amp;ADDRESS(1000,COLUMN(G$9)+10))),
SUMIF(INDIRECT(Equipo!$G$4&amp;"!B10:B1000"),$B40,INDIRECT(Equipo!$G$4&amp;"!"&amp;ADDRESS(10,COLUMN(G$9)+10)&amp;":"&amp;ADDRESS(1000,COLUMN(G$9)+10)))
))</f>
        <v>0</v>
      </c>
      <c r="H40" s="19">
        <f t="array" ref="H40">IF(ISBLANK(Tareas!$B36),"-",
SUM(
SUMIF(INDIRECT(Equipo!$C$4&amp;"!B10:B1000"),$B40,INDIRECT(Equipo!$C$4&amp;"!"&amp;ADDRESS(10,COLUMN(H$9)+10)&amp;":"&amp;ADDRESS(1000,COLUMN(H$9)+10))),
SUMIF(INDIRECT(Equipo!$D$4&amp;"!B10:B1000"),$B40,INDIRECT(Equipo!$D$4&amp;"!"&amp;ADDRESS(10,COLUMN(H$9)+10)&amp;":"&amp;ADDRESS(1000,COLUMN(H$9)+10))),
SUMIF(INDIRECT(Equipo!$E$4&amp;"!B10:B1000"),$B40,INDIRECT(Equipo!$E$4&amp;"!"&amp;ADDRESS(10,COLUMN(H$9)+10)&amp;":"&amp;ADDRESS(1000,COLUMN(H$9)+10))),
SUMIF(INDIRECT(Equipo!$F$4&amp;"!B10:B1000"),$B40,INDIRECT(Equipo!$F$4&amp;"!"&amp;ADDRESS(10,COLUMN(H$9)+10)&amp;":"&amp;ADDRESS(1000,COLUMN(H$9)+10))),
SUMIF(INDIRECT(Equipo!$G$4&amp;"!B10:B1000"),$B40,INDIRECT(Equipo!$G$4&amp;"!"&amp;ADDRESS(10,COLUMN(H$9)+10)&amp;":"&amp;ADDRESS(1000,COLUMN(H$9)+10)))
))</f>
        <v>0</v>
      </c>
      <c r="I40" s="19">
        <f t="array" ref="I40">IF(ISBLANK(Tareas!$B36),"-",
SUM(
SUMIF(INDIRECT(Equipo!$C$4&amp;"!B10:B1000"),$B40,INDIRECT(Equipo!$C$4&amp;"!"&amp;ADDRESS(10,COLUMN(I$9)+10)&amp;":"&amp;ADDRESS(1000,COLUMN(I$9)+10))),
SUMIF(INDIRECT(Equipo!$D$4&amp;"!B10:B1000"),$B40,INDIRECT(Equipo!$D$4&amp;"!"&amp;ADDRESS(10,COLUMN(I$9)+10)&amp;":"&amp;ADDRESS(1000,COLUMN(I$9)+10))),
SUMIF(INDIRECT(Equipo!$E$4&amp;"!B10:B1000"),$B40,INDIRECT(Equipo!$E$4&amp;"!"&amp;ADDRESS(10,COLUMN(I$9)+10)&amp;":"&amp;ADDRESS(1000,COLUMN(I$9)+10))),
SUMIF(INDIRECT(Equipo!$F$4&amp;"!B10:B1000"),$B40,INDIRECT(Equipo!$F$4&amp;"!"&amp;ADDRESS(10,COLUMN(I$9)+10)&amp;":"&amp;ADDRESS(1000,COLUMN(I$9)+10))),
SUMIF(INDIRECT(Equipo!$G$4&amp;"!B10:B1000"),$B40,INDIRECT(Equipo!$G$4&amp;"!"&amp;ADDRESS(10,COLUMN(I$9)+10)&amp;":"&amp;ADDRESS(1000,COLUMN(I$9)+10)))
))</f>
        <v>1</v>
      </c>
      <c r="J40" s="19">
        <f t="array" ref="J40">IF(ISBLANK(Tareas!$B36),"-",
SUM(
SUMIF(INDIRECT(Equipo!$C$4&amp;"!B10:B1000"),$B40,INDIRECT(Equipo!$C$4&amp;"!"&amp;ADDRESS(10,COLUMN(J$9)+10)&amp;":"&amp;ADDRESS(1000,COLUMN(J$9)+10))),
SUMIF(INDIRECT(Equipo!$D$4&amp;"!B10:B1000"),$B40,INDIRECT(Equipo!$D$4&amp;"!"&amp;ADDRESS(10,COLUMN(J$9)+10)&amp;":"&amp;ADDRESS(1000,COLUMN(J$9)+10))),
SUMIF(INDIRECT(Equipo!$E$4&amp;"!B10:B1000"),$B40,INDIRECT(Equipo!$E$4&amp;"!"&amp;ADDRESS(10,COLUMN(J$9)+10)&amp;":"&amp;ADDRESS(1000,COLUMN(J$9)+10))),
SUMIF(INDIRECT(Equipo!$F$4&amp;"!B10:B1000"),$B40,INDIRECT(Equipo!$F$4&amp;"!"&amp;ADDRESS(10,COLUMN(J$9)+10)&amp;":"&amp;ADDRESS(1000,COLUMN(J$9)+10))),
SUMIF(INDIRECT(Equipo!$G$4&amp;"!B10:B1000"),$B40,INDIRECT(Equipo!$G$4&amp;"!"&amp;ADDRESS(10,COLUMN(J$9)+10)&amp;":"&amp;ADDRESS(1000,COLUMN(J$9)+10)))
))</f>
        <v>0</v>
      </c>
      <c r="K40" s="19">
        <f t="array" ref="K40">IF(ISBLANK(Tareas!$B36),"-",
SUM(
SUMIF(INDIRECT(Equipo!$C$4&amp;"!B10:B1000"),$B40,INDIRECT(Equipo!$C$4&amp;"!"&amp;ADDRESS(10,COLUMN(K$9)+10)&amp;":"&amp;ADDRESS(1000,COLUMN(K$9)+10))),
SUMIF(INDIRECT(Equipo!$D$4&amp;"!B10:B1000"),$B40,INDIRECT(Equipo!$D$4&amp;"!"&amp;ADDRESS(10,COLUMN(K$9)+10)&amp;":"&amp;ADDRESS(1000,COLUMN(K$9)+10))),
SUMIF(INDIRECT(Equipo!$E$4&amp;"!B10:B1000"),$B40,INDIRECT(Equipo!$E$4&amp;"!"&amp;ADDRESS(10,COLUMN(K$9)+10)&amp;":"&amp;ADDRESS(1000,COLUMN(K$9)+10))),
SUMIF(INDIRECT(Equipo!$F$4&amp;"!B10:B1000"),$B40,INDIRECT(Equipo!$F$4&amp;"!"&amp;ADDRESS(10,COLUMN(K$9)+10)&amp;":"&amp;ADDRESS(1000,COLUMN(K$9)+10))),
SUMIF(INDIRECT(Equipo!$G$4&amp;"!B10:B1000"),$B40,INDIRECT(Equipo!$G$4&amp;"!"&amp;ADDRESS(10,COLUMN(K$9)+10)&amp;":"&amp;ADDRESS(1000,COLUMN(K$9)+10)))
))</f>
        <v>0</v>
      </c>
    </row>
    <row r="41" ht="15.75" customHeight="1">
      <c r="B41" s="1" t="str">
        <f>IF(ISBLANK(Tareas!B37)," - ",Tareas!B37)</f>
        <v>32. Implementación de la gestión de cervezas</v>
      </c>
      <c r="C41" s="19">
        <f>IF(ISBLANK(Tareas!$B37),"-",SUM(D41:M41))</f>
        <v>1</v>
      </c>
      <c r="D41" s="19">
        <f t="array" ref="D41">IF(ISBLANK(Tareas!$B37),"-",
SUM(
SUMIF(INDIRECT(Equipo!$C$4&amp;"!B10:B1000"),$B41,INDIRECT(Equipo!$C$4&amp;"!"&amp;ADDRESS(10,COLUMN(D$9)+10)&amp;":"&amp;ADDRESS(1000,COLUMN(D$9)+10))),
SUMIF(INDIRECT(Equipo!$D$4&amp;"!B10:B1000"),$B41,INDIRECT(Equipo!$D$4&amp;"!"&amp;ADDRESS(10,COLUMN(D$9)+10)&amp;":"&amp;ADDRESS(1000,COLUMN(D$9)+10))),
SUMIF(INDIRECT(Equipo!$E$4&amp;"!B10:B1000"),$B41,INDIRECT(Equipo!$E$4&amp;"!"&amp;ADDRESS(10,COLUMN(D$9)+10)&amp;":"&amp;ADDRESS(1000,COLUMN(D$9)+10))),
SUMIF(INDIRECT(Equipo!$F$4&amp;"!B10:B1000"),$B41,INDIRECT(Equipo!$F$4&amp;"!"&amp;ADDRESS(10,COLUMN(D$9)+10)&amp;":"&amp;ADDRESS(1000,COLUMN(D$9)+10))),
SUMIF(INDIRECT(Equipo!$G$4&amp;"!B10:B1000"),$B41,INDIRECT(Equipo!$G$4&amp;"!"&amp;ADDRESS(10,COLUMN(D$9)+10)&amp;":"&amp;ADDRESS(1000,COLUMN(D$9)+10)))
))</f>
        <v>0</v>
      </c>
      <c r="E41" s="19">
        <f t="array" ref="E41">IF(ISBLANK(Tareas!$B37),"-",
SUM(
SUMIF(INDIRECT(Equipo!$C$4&amp;"!B10:B1000"),$B41,INDIRECT(Equipo!$C$4&amp;"!"&amp;ADDRESS(10,COLUMN(E$9)+10)&amp;":"&amp;ADDRESS(1000,COLUMN(E$9)+10))),
SUMIF(INDIRECT(Equipo!$D$4&amp;"!B10:B1000"),$B41,INDIRECT(Equipo!$D$4&amp;"!"&amp;ADDRESS(10,COLUMN(E$9)+10)&amp;":"&amp;ADDRESS(1000,COLUMN(E$9)+10))),
SUMIF(INDIRECT(Equipo!$E$4&amp;"!B10:B1000"),$B41,INDIRECT(Equipo!$E$4&amp;"!"&amp;ADDRESS(10,COLUMN(E$9)+10)&amp;":"&amp;ADDRESS(1000,COLUMN(E$9)+10))),
SUMIF(INDIRECT(Equipo!$F$4&amp;"!B10:B1000"),$B41,INDIRECT(Equipo!$F$4&amp;"!"&amp;ADDRESS(10,COLUMN(E$9)+10)&amp;":"&amp;ADDRESS(1000,COLUMN(E$9)+10))),
SUMIF(INDIRECT(Equipo!$G$4&amp;"!B10:B1000"),$B41,INDIRECT(Equipo!$G$4&amp;"!"&amp;ADDRESS(10,COLUMN(E$9)+10)&amp;":"&amp;ADDRESS(1000,COLUMN(E$9)+10)))
))</f>
        <v>0</v>
      </c>
      <c r="F41" s="19">
        <f t="array" ref="F41">IF(ISBLANK(Tareas!$B37),"-",
SUM(
SUMIF(INDIRECT(Equipo!$C$4&amp;"!B10:B1000"),$B41,INDIRECT(Equipo!$C$4&amp;"!"&amp;ADDRESS(10,COLUMN(F$9)+10)&amp;":"&amp;ADDRESS(1000,COLUMN(F$9)+10))),
SUMIF(INDIRECT(Equipo!$D$4&amp;"!B10:B1000"),$B41,INDIRECT(Equipo!$D$4&amp;"!"&amp;ADDRESS(10,COLUMN(F$9)+10)&amp;":"&amp;ADDRESS(1000,COLUMN(F$9)+10))),
SUMIF(INDIRECT(Equipo!$E$4&amp;"!B10:B1000"),$B41,INDIRECT(Equipo!$E$4&amp;"!"&amp;ADDRESS(10,COLUMN(F$9)+10)&amp;":"&amp;ADDRESS(1000,COLUMN(F$9)+10))),
SUMIF(INDIRECT(Equipo!$F$4&amp;"!B10:B1000"),$B41,INDIRECT(Equipo!$F$4&amp;"!"&amp;ADDRESS(10,COLUMN(F$9)+10)&amp;":"&amp;ADDRESS(1000,COLUMN(F$9)+10))),
SUMIF(INDIRECT(Equipo!$G$4&amp;"!B10:B1000"),$B41,INDIRECT(Equipo!$G$4&amp;"!"&amp;ADDRESS(10,COLUMN(F$9)+10)&amp;":"&amp;ADDRESS(1000,COLUMN(F$9)+10)))
))</f>
        <v>0</v>
      </c>
      <c r="G41" s="19">
        <f t="array" ref="G41">IF(ISBLANK(Tareas!$B37),"-",
SUM(
SUMIF(INDIRECT(Equipo!$C$4&amp;"!B10:B1000"),$B41,INDIRECT(Equipo!$C$4&amp;"!"&amp;ADDRESS(10,COLUMN(G$9)+10)&amp;":"&amp;ADDRESS(1000,COLUMN(G$9)+10))),
SUMIF(INDIRECT(Equipo!$D$4&amp;"!B10:B1000"),$B41,INDIRECT(Equipo!$D$4&amp;"!"&amp;ADDRESS(10,COLUMN(G$9)+10)&amp;":"&amp;ADDRESS(1000,COLUMN(G$9)+10))),
SUMIF(INDIRECT(Equipo!$E$4&amp;"!B10:B1000"),$B41,INDIRECT(Equipo!$E$4&amp;"!"&amp;ADDRESS(10,COLUMN(G$9)+10)&amp;":"&amp;ADDRESS(1000,COLUMN(G$9)+10))),
SUMIF(INDIRECT(Equipo!$F$4&amp;"!B10:B1000"),$B41,INDIRECT(Equipo!$F$4&amp;"!"&amp;ADDRESS(10,COLUMN(G$9)+10)&amp;":"&amp;ADDRESS(1000,COLUMN(G$9)+10))),
SUMIF(INDIRECT(Equipo!$G$4&amp;"!B10:B1000"),$B41,INDIRECT(Equipo!$G$4&amp;"!"&amp;ADDRESS(10,COLUMN(G$9)+10)&amp;":"&amp;ADDRESS(1000,COLUMN(G$9)+10)))
))</f>
        <v>0</v>
      </c>
      <c r="H41" s="19">
        <f t="array" ref="H41">IF(ISBLANK(Tareas!$B37),"-",
SUM(
SUMIF(INDIRECT(Equipo!$C$4&amp;"!B10:B1000"),$B41,INDIRECT(Equipo!$C$4&amp;"!"&amp;ADDRESS(10,COLUMN(H$9)+10)&amp;":"&amp;ADDRESS(1000,COLUMN(H$9)+10))),
SUMIF(INDIRECT(Equipo!$D$4&amp;"!B10:B1000"),$B41,INDIRECT(Equipo!$D$4&amp;"!"&amp;ADDRESS(10,COLUMN(H$9)+10)&amp;":"&amp;ADDRESS(1000,COLUMN(H$9)+10))),
SUMIF(INDIRECT(Equipo!$E$4&amp;"!B10:B1000"),$B41,INDIRECT(Equipo!$E$4&amp;"!"&amp;ADDRESS(10,COLUMN(H$9)+10)&amp;":"&amp;ADDRESS(1000,COLUMN(H$9)+10))),
SUMIF(INDIRECT(Equipo!$F$4&amp;"!B10:B1000"),$B41,INDIRECT(Equipo!$F$4&amp;"!"&amp;ADDRESS(10,COLUMN(H$9)+10)&amp;":"&amp;ADDRESS(1000,COLUMN(H$9)+10))),
SUMIF(INDIRECT(Equipo!$G$4&amp;"!B10:B1000"),$B41,INDIRECT(Equipo!$G$4&amp;"!"&amp;ADDRESS(10,COLUMN(H$9)+10)&amp;":"&amp;ADDRESS(1000,COLUMN(H$9)+10)))
))</f>
        <v>0</v>
      </c>
      <c r="I41" s="19">
        <f t="array" ref="I41">IF(ISBLANK(Tareas!$B37),"-",
SUM(
SUMIF(INDIRECT(Equipo!$C$4&amp;"!B10:B1000"),$B41,INDIRECT(Equipo!$C$4&amp;"!"&amp;ADDRESS(10,COLUMN(I$9)+10)&amp;":"&amp;ADDRESS(1000,COLUMN(I$9)+10))),
SUMIF(INDIRECT(Equipo!$D$4&amp;"!B10:B1000"),$B41,INDIRECT(Equipo!$D$4&amp;"!"&amp;ADDRESS(10,COLUMN(I$9)+10)&amp;":"&amp;ADDRESS(1000,COLUMN(I$9)+10))),
SUMIF(INDIRECT(Equipo!$E$4&amp;"!B10:B1000"),$B41,INDIRECT(Equipo!$E$4&amp;"!"&amp;ADDRESS(10,COLUMN(I$9)+10)&amp;":"&amp;ADDRESS(1000,COLUMN(I$9)+10))),
SUMIF(INDIRECT(Equipo!$F$4&amp;"!B10:B1000"),$B41,INDIRECT(Equipo!$F$4&amp;"!"&amp;ADDRESS(10,COLUMN(I$9)+10)&amp;":"&amp;ADDRESS(1000,COLUMN(I$9)+10))),
SUMIF(INDIRECT(Equipo!$G$4&amp;"!B10:B1000"),$B41,INDIRECT(Equipo!$G$4&amp;"!"&amp;ADDRESS(10,COLUMN(I$9)+10)&amp;":"&amp;ADDRESS(1000,COLUMN(I$9)+10)))
))</f>
        <v>1</v>
      </c>
      <c r="J41" s="19">
        <f t="array" ref="J41">IF(ISBLANK(Tareas!$B37),"-",
SUM(
SUMIF(INDIRECT(Equipo!$C$4&amp;"!B10:B1000"),$B41,INDIRECT(Equipo!$C$4&amp;"!"&amp;ADDRESS(10,COLUMN(J$9)+10)&amp;":"&amp;ADDRESS(1000,COLUMN(J$9)+10))),
SUMIF(INDIRECT(Equipo!$D$4&amp;"!B10:B1000"),$B41,INDIRECT(Equipo!$D$4&amp;"!"&amp;ADDRESS(10,COLUMN(J$9)+10)&amp;":"&amp;ADDRESS(1000,COLUMN(J$9)+10))),
SUMIF(INDIRECT(Equipo!$E$4&amp;"!B10:B1000"),$B41,INDIRECT(Equipo!$E$4&amp;"!"&amp;ADDRESS(10,COLUMN(J$9)+10)&amp;":"&amp;ADDRESS(1000,COLUMN(J$9)+10))),
SUMIF(INDIRECT(Equipo!$F$4&amp;"!B10:B1000"),$B41,INDIRECT(Equipo!$F$4&amp;"!"&amp;ADDRESS(10,COLUMN(J$9)+10)&amp;":"&amp;ADDRESS(1000,COLUMN(J$9)+10))),
SUMIF(INDIRECT(Equipo!$G$4&amp;"!B10:B1000"),$B41,INDIRECT(Equipo!$G$4&amp;"!"&amp;ADDRESS(10,COLUMN(J$9)+10)&amp;":"&amp;ADDRESS(1000,COLUMN(J$9)+10)))
))</f>
        <v>0</v>
      </c>
      <c r="K41" s="19">
        <f t="array" ref="K41">IF(ISBLANK(Tareas!$B37),"-",
SUM(
SUMIF(INDIRECT(Equipo!$C$4&amp;"!B10:B1000"),$B41,INDIRECT(Equipo!$C$4&amp;"!"&amp;ADDRESS(10,COLUMN(K$9)+10)&amp;":"&amp;ADDRESS(1000,COLUMN(K$9)+10))),
SUMIF(INDIRECT(Equipo!$D$4&amp;"!B10:B1000"),$B41,INDIRECT(Equipo!$D$4&amp;"!"&amp;ADDRESS(10,COLUMN(K$9)+10)&amp;":"&amp;ADDRESS(1000,COLUMN(K$9)+10))),
SUMIF(INDIRECT(Equipo!$E$4&amp;"!B10:B1000"),$B41,INDIRECT(Equipo!$E$4&amp;"!"&amp;ADDRESS(10,COLUMN(K$9)+10)&amp;":"&amp;ADDRESS(1000,COLUMN(K$9)+10))),
SUMIF(INDIRECT(Equipo!$F$4&amp;"!B10:B1000"),$B41,INDIRECT(Equipo!$F$4&amp;"!"&amp;ADDRESS(10,COLUMN(K$9)+10)&amp;":"&amp;ADDRESS(1000,COLUMN(K$9)+10))),
SUMIF(INDIRECT(Equipo!$G$4&amp;"!B10:B1000"),$B41,INDIRECT(Equipo!$G$4&amp;"!"&amp;ADDRESS(10,COLUMN(K$9)+10)&amp;":"&amp;ADDRESS(1000,COLUMN(K$9)+10)))
))</f>
        <v>0</v>
      </c>
    </row>
    <row r="42" ht="15.75" customHeight="1">
      <c r="B42" s="1" t="str">
        <f>IF(ISBLANK(Tareas!B38)," - ",Tareas!B38)</f>
        <v>33. Actualización de los planes de GCS y calidad</v>
      </c>
      <c r="C42" s="19">
        <f>IF(ISBLANK(Tareas!$B38),"-",SUM(D42:M42))</f>
        <v>0.3</v>
      </c>
      <c r="D42" s="19">
        <f t="array" ref="D42">IF(ISBLANK(Tareas!$B38),"-",
SUM(
SUMIF(INDIRECT(Equipo!$C$4&amp;"!B10:B1000"),$B42,INDIRECT(Equipo!$C$4&amp;"!"&amp;ADDRESS(10,COLUMN(D$9)+10)&amp;":"&amp;ADDRESS(1000,COLUMN(D$9)+10))),
SUMIF(INDIRECT(Equipo!$D$4&amp;"!B10:B1000"),$B42,INDIRECT(Equipo!$D$4&amp;"!"&amp;ADDRESS(10,COLUMN(D$9)+10)&amp;":"&amp;ADDRESS(1000,COLUMN(D$9)+10))),
SUMIF(INDIRECT(Equipo!$E$4&amp;"!B10:B1000"),$B42,INDIRECT(Equipo!$E$4&amp;"!"&amp;ADDRESS(10,COLUMN(D$9)+10)&amp;":"&amp;ADDRESS(1000,COLUMN(D$9)+10))),
SUMIF(INDIRECT(Equipo!$F$4&amp;"!B10:B1000"),$B42,INDIRECT(Equipo!$F$4&amp;"!"&amp;ADDRESS(10,COLUMN(D$9)+10)&amp;":"&amp;ADDRESS(1000,COLUMN(D$9)+10))),
SUMIF(INDIRECT(Equipo!$G$4&amp;"!B10:B1000"),$B42,INDIRECT(Equipo!$G$4&amp;"!"&amp;ADDRESS(10,COLUMN(D$9)+10)&amp;":"&amp;ADDRESS(1000,COLUMN(D$9)+10)))
))</f>
        <v>0</v>
      </c>
      <c r="E42" s="19">
        <f t="array" ref="E42">IF(ISBLANK(Tareas!$B38),"-",
SUM(
SUMIF(INDIRECT(Equipo!$C$4&amp;"!B10:B1000"),$B42,INDIRECT(Equipo!$C$4&amp;"!"&amp;ADDRESS(10,COLUMN(E$9)+10)&amp;":"&amp;ADDRESS(1000,COLUMN(E$9)+10))),
SUMIF(INDIRECT(Equipo!$D$4&amp;"!B10:B1000"),$B42,INDIRECT(Equipo!$D$4&amp;"!"&amp;ADDRESS(10,COLUMN(E$9)+10)&amp;":"&amp;ADDRESS(1000,COLUMN(E$9)+10))),
SUMIF(INDIRECT(Equipo!$E$4&amp;"!B10:B1000"),$B42,INDIRECT(Equipo!$E$4&amp;"!"&amp;ADDRESS(10,COLUMN(E$9)+10)&amp;":"&amp;ADDRESS(1000,COLUMN(E$9)+10))),
SUMIF(INDIRECT(Equipo!$F$4&amp;"!B10:B1000"),$B42,INDIRECT(Equipo!$F$4&amp;"!"&amp;ADDRESS(10,COLUMN(E$9)+10)&amp;":"&amp;ADDRESS(1000,COLUMN(E$9)+10))),
SUMIF(INDIRECT(Equipo!$G$4&amp;"!B10:B1000"),$B42,INDIRECT(Equipo!$G$4&amp;"!"&amp;ADDRESS(10,COLUMN(E$9)+10)&amp;":"&amp;ADDRESS(1000,COLUMN(E$9)+10)))
))</f>
        <v>0</v>
      </c>
      <c r="F42" s="19">
        <f t="array" ref="F42">IF(ISBLANK(Tareas!$B38),"-",
SUM(
SUMIF(INDIRECT(Equipo!$C$4&amp;"!B10:B1000"),$B42,INDIRECT(Equipo!$C$4&amp;"!"&amp;ADDRESS(10,COLUMN(F$9)+10)&amp;":"&amp;ADDRESS(1000,COLUMN(F$9)+10))),
SUMIF(INDIRECT(Equipo!$D$4&amp;"!B10:B1000"),$B42,INDIRECT(Equipo!$D$4&amp;"!"&amp;ADDRESS(10,COLUMN(F$9)+10)&amp;":"&amp;ADDRESS(1000,COLUMN(F$9)+10))),
SUMIF(INDIRECT(Equipo!$E$4&amp;"!B10:B1000"),$B42,INDIRECT(Equipo!$E$4&amp;"!"&amp;ADDRESS(10,COLUMN(F$9)+10)&amp;":"&amp;ADDRESS(1000,COLUMN(F$9)+10))),
SUMIF(INDIRECT(Equipo!$F$4&amp;"!B10:B1000"),$B42,INDIRECT(Equipo!$F$4&amp;"!"&amp;ADDRESS(10,COLUMN(F$9)+10)&amp;":"&amp;ADDRESS(1000,COLUMN(F$9)+10))),
SUMIF(INDIRECT(Equipo!$G$4&amp;"!B10:B1000"),$B42,INDIRECT(Equipo!$G$4&amp;"!"&amp;ADDRESS(10,COLUMN(F$9)+10)&amp;":"&amp;ADDRESS(1000,COLUMN(F$9)+10)))
))</f>
        <v>0</v>
      </c>
      <c r="G42" s="19">
        <f t="array" ref="G42">IF(ISBLANK(Tareas!$B38),"-",
SUM(
SUMIF(INDIRECT(Equipo!$C$4&amp;"!B10:B1000"),$B42,INDIRECT(Equipo!$C$4&amp;"!"&amp;ADDRESS(10,COLUMN(G$9)+10)&amp;":"&amp;ADDRESS(1000,COLUMN(G$9)+10))),
SUMIF(INDIRECT(Equipo!$D$4&amp;"!B10:B1000"),$B42,INDIRECT(Equipo!$D$4&amp;"!"&amp;ADDRESS(10,COLUMN(G$9)+10)&amp;":"&amp;ADDRESS(1000,COLUMN(G$9)+10))),
SUMIF(INDIRECT(Equipo!$E$4&amp;"!B10:B1000"),$B42,INDIRECT(Equipo!$E$4&amp;"!"&amp;ADDRESS(10,COLUMN(G$9)+10)&amp;":"&amp;ADDRESS(1000,COLUMN(G$9)+10))),
SUMIF(INDIRECT(Equipo!$F$4&amp;"!B10:B1000"),$B42,INDIRECT(Equipo!$F$4&amp;"!"&amp;ADDRESS(10,COLUMN(G$9)+10)&amp;":"&amp;ADDRESS(1000,COLUMN(G$9)+10))),
SUMIF(INDIRECT(Equipo!$G$4&amp;"!B10:B1000"),$B42,INDIRECT(Equipo!$G$4&amp;"!"&amp;ADDRESS(10,COLUMN(G$9)+10)&amp;":"&amp;ADDRESS(1000,COLUMN(G$9)+10)))
))</f>
        <v>0</v>
      </c>
      <c r="H42" s="19">
        <f t="array" ref="H42">IF(ISBLANK(Tareas!$B38),"-",
SUM(
SUMIF(INDIRECT(Equipo!$C$4&amp;"!B10:B1000"),$B42,INDIRECT(Equipo!$C$4&amp;"!"&amp;ADDRESS(10,COLUMN(H$9)+10)&amp;":"&amp;ADDRESS(1000,COLUMN(H$9)+10))),
SUMIF(INDIRECT(Equipo!$D$4&amp;"!B10:B1000"),$B42,INDIRECT(Equipo!$D$4&amp;"!"&amp;ADDRESS(10,COLUMN(H$9)+10)&amp;":"&amp;ADDRESS(1000,COLUMN(H$9)+10))),
SUMIF(INDIRECT(Equipo!$E$4&amp;"!B10:B1000"),$B42,INDIRECT(Equipo!$E$4&amp;"!"&amp;ADDRESS(10,COLUMN(H$9)+10)&amp;":"&amp;ADDRESS(1000,COLUMN(H$9)+10))),
SUMIF(INDIRECT(Equipo!$F$4&amp;"!B10:B1000"),$B42,INDIRECT(Equipo!$F$4&amp;"!"&amp;ADDRESS(10,COLUMN(H$9)+10)&amp;":"&amp;ADDRESS(1000,COLUMN(H$9)+10))),
SUMIF(INDIRECT(Equipo!$G$4&amp;"!B10:B1000"),$B42,INDIRECT(Equipo!$G$4&amp;"!"&amp;ADDRESS(10,COLUMN(H$9)+10)&amp;":"&amp;ADDRESS(1000,COLUMN(H$9)+10)))
))</f>
        <v>0</v>
      </c>
      <c r="I42" s="19">
        <f t="array" ref="I42">IF(ISBLANK(Tareas!$B38),"-",
SUM(
SUMIF(INDIRECT(Equipo!$C$4&amp;"!B10:B1000"),$B42,INDIRECT(Equipo!$C$4&amp;"!"&amp;ADDRESS(10,COLUMN(I$9)+10)&amp;":"&amp;ADDRESS(1000,COLUMN(I$9)+10))),
SUMIF(INDIRECT(Equipo!$D$4&amp;"!B10:B1000"),$B42,INDIRECT(Equipo!$D$4&amp;"!"&amp;ADDRESS(10,COLUMN(I$9)+10)&amp;":"&amp;ADDRESS(1000,COLUMN(I$9)+10))),
SUMIF(INDIRECT(Equipo!$E$4&amp;"!B10:B1000"),$B42,INDIRECT(Equipo!$E$4&amp;"!"&amp;ADDRESS(10,COLUMN(I$9)+10)&amp;":"&amp;ADDRESS(1000,COLUMN(I$9)+10))),
SUMIF(INDIRECT(Equipo!$F$4&amp;"!B10:B1000"),$B42,INDIRECT(Equipo!$F$4&amp;"!"&amp;ADDRESS(10,COLUMN(I$9)+10)&amp;":"&amp;ADDRESS(1000,COLUMN(I$9)+10))),
SUMIF(INDIRECT(Equipo!$G$4&amp;"!B10:B1000"),$B42,INDIRECT(Equipo!$G$4&amp;"!"&amp;ADDRESS(10,COLUMN(I$9)+10)&amp;":"&amp;ADDRESS(1000,COLUMN(I$9)+10)))
))</f>
        <v>0.3</v>
      </c>
      <c r="J42" s="19">
        <f t="array" ref="J42">IF(ISBLANK(Tareas!$B38),"-",
SUM(
SUMIF(INDIRECT(Equipo!$C$4&amp;"!B10:B1000"),$B42,INDIRECT(Equipo!$C$4&amp;"!"&amp;ADDRESS(10,COLUMN(J$9)+10)&amp;":"&amp;ADDRESS(1000,COLUMN(J$9)+10))),
SUMIF(INDIRECT(Equipo!$D$4&amp;"!B10:B1000"),$B42,INDIRECT(Equipo!$D$4&amp;"!"&amp;ADDRESS(10,COLUMN(J$9)+10)&amp;":"&amp;ADDRESS(1000,COLUMN(J$9)+10))),
SUMIF(INDIRECT(Equipo!$E$4&amp;"!B10:B1000"),$B42,INDIRECT(Equipo!$E$4&amp;"!"&amp;ADDRESS(10,COLUMN(J$9)+10)&amp;":"&amp;ADDRESS(1000,COLUMN(J$9)+10))),
SUMIF(INDIRECT(Equipo!$F$4&amp;"!B10:B1000"),$B42,INDIRECT(Equipo!$F$4&amp;"!"&amp;ADDRESS(10,COLUMN(J$9)+10)&amp;":"&amp;ADDRESS(1000,COLUMN(J$9)+10))),
SUMIF(INDIRECT(Equipo!$G$4&amp;"!B10:B1000"),$B42,INDIRECT(Equipo!$G$4&amp;"!"&amp;ADDRESS(10,COLUMN(J$9)+10)&amp;":"&amp;ADDRESS(1000,COLUMN(J$9)+10)))
))</f>
        <v>0</v>
      </c>
      <c r="K42" s="19">
        <f t="array" ref="K42">IF(ISBLANK(Tareas!$B38),"-",
SUM(
SUMIF(INDIRECT(Equipo!$C$4&amp;"!B10:B1000"),$B42,INDIRECT(Equipo!$C$4&amp;"!"&amp;ADDRESS(10,COLUMN(K$9)+10)&amp;":"&amp;ADDRESS(1000,COLUMN(K$9)+10))),
SUMIF(INDIRECT(Equipo!$D$4&amp;"!B10:B1000"),$B42,INDIRECT(Equipo!$D$4&amp;"!"&amp;ADDRESS(10,COLUMN(K$9)+10)&amp;":"&amp;ADDRESS(1000,COLUMN(K$9)+10))),
SUMIF(INDIRECT(Equipo!$E$4&amp;"!B10:B1000"),$B42,INDIRECT(Equipo!$E$4&amp;"!"&amp;ADDRESS(10,COLUMN(K$9)+10)&amp;":"&amp;ADDRESS(1000,COLUMN(K$9)+10))),
SUMIF(INDIRECT(Equipo!$F$4&amp;"!B10:B1000"),$B42,INDIRECT(Equipo!$F$4&amp;"!"&amp;ADDRESS(10,COLUMN(K$9)+10)&amp;":"&amp;ADDRESS(1000,COLUMN(K$9)+10))),
SUMIF(INDIRECT(Equipo!$G$4&amp;"!B10:B1000"),$B42,INDIRECT(Equipo!$G$4&amp;"!"&amp;ADDRESS(10,COLUMN(K$9)+10)&amp;":"&amp;ADDRESS(1000,COLUMN(K$9)+10)))
))</f>
        <v>0</v>
      </c>
    </row>
    <row r="43" ht="15.75" customHeight="1">
      <c r="B43" s="1" t="str">
        <f>IF(ISBLANK(Tareas!B39)," - ",Tareas!B39)</f>
        <v>34. Revisión final del diseño</v>
      </c>
      <c r="C43" s="19">
        <f>IF(ISBLANK(Tareas!$B39),"-",SUM(D43:M43))</f>
        <v>1.5</v>
      </c>
      <c r="D43" s="19">
        <f t="array" ref="D43">IF(ISBLANK(Tareas!$B39),"-",
SUM(
SUMIF(INDIRECT(Equipo!$C$4&amp;"!B10:B1000"),$B43,INDIRECT(Equipo!$C$4&amp;"!"&amp;ADDRESS(10,COLUMN(D$9)+10)&amp;":"&amp;ADDRESS(1000,COLUMN(D$9)+10))),
SUMIF(INDIRECT(Equipo!$D$4&amp;"!B10:B1000"),$B43,INDIRECT(Equipo!$D$4&amp;"!"&amp;ADDRESS(10,COLUMN(D$9)+10)&amp;":"&amp;ADDRESS(1000,COLUMN(D$9)+10))),
SUMIF(INDIRECT(Equipo!$E$4&amp;"!B10:B1000"),$B43,INDIRECT(Equipo!$E$4&amp;"!"&amp;ADDRESS(10,COLUMN(D$9)+10)&amp;":"&amp;ADDRESS(1000,COLUMN(D$9)+10))),
SUMIF(INDIRECT(Equipo!$F$4&amp;"!B10:B1000"),$B43,INDIRECT(Equipo!$F$4&amp;"!"&amp;ADDRESS(10,COLUMN(D$9)+10)&amp;":"&amp;ADDRESS(1000,COLUMN(D$9)+10))),
SUMIF(INDIRECT(Equipo!$G$4&amp;"!B10:B1000"),$B43,INDIRECT(Equipo!$G$4&amp;"!"&amp;ADDRESS(10,COLUMN(D$9)+10)&amp;":"&amp;ADDRESS(1000,COLUMN(D$9)+10)))
))</f>
        <v>0</v>
      </c>
      <c r="E43" s="19">
        <f t="array" ref="E43">IF(ISBLANK(Tareas!$B39),"-",
SUM(
SUMIF(INDIRECT(Equipo!$C$4&amp;"!B10:B1000"),$B43,INDIRECT(Equipo!$C$4&amp;"!"&amp;ADDRESS(10,COLUMN(E$9)+10)&amp;":"&amp;ADDRESS(1000,COLUMN(E$9)+10))),
SUMIF(INDIRECT(Equipo!$D$4&amp;"!B10:B1000"),$B43,INDIRECT(Equipo!$D$4&amp;"!"&amp;ADDRESS(10,COLUMN(E$9)+10)&amp;":"&amp;ADDRESS(1000,COLUMN(E$9)+10))),
SUMIF(INDIRECT(Equipo!$E$4&amp;"!B10:B1000"),$B43,INDIRECT(Equipo!$E$4&amp;"!"&amp;ADDRESS(10,COLUMN(E$9)+10)&amp;":"&amp;ADDRESS(1000,COLUMN(E$9)+10))),
SUMIF(INDIRECT(Equipo!$F$4&amp;"!B10:B1000"),$B43,INDIRECT(Equipo!$F$4&amp;"!"&amp;ADDRESS(10,COLUMN(E$9)+10)&amp;":"&amp;ADDRESS(1000,COLUMN(E$9)+10))),
SUMIF(INDIRECT(Equipo!$G$4&amp;"!B10:B1000"),$B43,INDIRECT(Equipo!$G$4&amp;"!"&amp;ADDRESS(10,COLUMN(E$9)+10)&amp;":"&amp;ADDRESS(1000,COLUMN(E$9)+10)))
))</f>
        <v>0</v>
      </c>
      <c r="F43" s="19">
        <f t="array" ref="F43">IF(ISBLANK(Tareas!$B39),"-",
SUM(
SUMIF(INDIRECT(Equipo!$C$4&amp;"!B10:B1000"),$B43,INDIRECT(Equipo!$C$4&amp;"!"&amp;ADDRESS(10,COLUMN(F$9)+10)&amp;":"&amp;ADDRESS(1000,COLUMN(F$9)+10))),
SUMIF(INDIRECT(Equipo!$D$4&amp;"!B10:B1000"),$B43,INDIRECT(Equipo!$D$4&amp;"!"&amp;ADDRESS(10,COLUMN(F$9)+10)&amp;":"&amp;ADDRESS(1000,COLUMN(F$9)+10))),
SUMIF(INDIRECT(Equipo!$E$4&amp;"!B10:B1000"),$B43,INDIRECT(Equipo!$E$4&amp;"!"&amp;ADDRESS(10,COLUMN(F$9)+10)&amp;":"&amp;ADDRESS(1000,COLUMN(F$9)+10))),
SUMIF(INDIRECT(Equipo!$F$4&amp;"!B10:B1000"),$B43,INDIRECT(Equipo!$F$4&amp;"!"&amp;ADDRESS(10,COLUMN(F$9)+10)&amp;":"&amp;ADDRESS(1000,COLUMN(F$9)+10))),
SUMIF(INDIRECT(Equipo!$G$4&amp;"!B10:B1000"),$B43,INDIRECT(Equipo!$G$4&amp;"!"&amp;ADDRESS(10,COLUMN(F$9)+10)&amp;":"&amp;ADDRESS(1000,COLUMN(F$9)+10)))
))</f>
        <v>0</v>
      </c>
      <c r="G43" s="19">
        <f t="array" ref="G43">IF(ISBLANK(Tareas!$B39),"-",
SUM(
SUMIF(INDIRECT(Equipo!$C$4&amp;"!B10:B1000"),$B43,INDIRECT(Equipo!$C$4&amp;"!"&amp;ADDRESS(10,COLUMN(G$9)+10)&amp;":"&amp;ADDRESS(1000,COLUMN(G$9)+10))),
SUMIF(INDIRECT(Equipo!$D$4&amp;"!B10:B1000"),$B43,INDIRECT(Equipo!$D$4&amp;"!"&amp;ADDRESS(10,COLUMN(G$9)+10)&amp;":"&amp;ADDRESS(1000,COLUMN(G$9)+10))),
SUMIF(INDIRECT(Equipo!$E$4&amp;"!B10:B1000"),$B43,INDIRECT(Equipo!$E$4&amp;"!"&amp;ADDRESS(10,COLUMN(G$9)+10)&amp;":"&amp;ADDRESS(1000,COLUMN(G$9)+10))),
SUMIF(INDIRECT(Equipo!$F$4&amp;"!B10:B1000"),$B43,INDIRECT(Equipo!$F$4&amp;"!"&amp;ADDRESS(10,COLUMN(G$9)+10)&amp;":"&amp;ADDRESS(1000,COLUMN(G$9)+10))),
SUMIF(INDIRECT(Equipo!$G$4&amp;"!B10:B1000"),$B43,INDIRECT(Equipo!$G$4&amp;"!"&amp;ADDRESS(10,COLUMN(G$9)+10)&amp;":"&amp;ADDRESS(1000,COLUMN(G$9)+10)))
))</f>
        <v>0</v>
      </c>
      <c r="H43" s="19">
        <f t="array" ref="H43">IF(ISBLANK(Tareas!$B39),"-",
SUM(
SUMIF(INDIRECT(Equipo!$C$4&amp;"!B10:B1000"),$B43,INDIRECT(Equipo!$C$4&amp;"!"&amp;ADDRESS(10,COLUMN(H$9)+10)&amp;":"&amp;ADDRESS(1000,COLUMN(H$9)+10))),
SUMIF(INDIRECT(Equipo!$D$4&amp;"!B10:B1000"),$B43,INDIRECT(Equipo!$D$4&amp;"!"&amp;ADDRESS(10,COLUMN(H$9)+10)&amp;":"&amp;ADDRESS(1000,COLUMN(H$9)+10))),
SUMIF(INDIRECT(Equipo!$E$4&amp;"!B10:B1000"),$B43,INDIRECT(Equipo!$E$4&amp;"!"&amp;ADDRESS(10,COLUMN(H$9)+10)&amp;":"&amp;ADDRESS(1000,COLUMN(H$9)+10))),
SUMIF(INDIRECT(Equipo!$F$4&amp;"!B10:B1000"),$B43,INDIRECT(Equipo!$F$4&amp;"!"&amp;ADDRESS(10,COLUMN(H$9)+10)&amp;":"&amp;ADDRESS(1000,COLUMN(H$9)+10))),
SUMIF(INDIRECT(Equipo!$G$4&amp;"!B10:B1000"),$B43,INDIRECT(Equipo!$G$4&amp;"!"&amp;ADDRESS(10,COLUMN(H$9)+10)&amp;":"&amp;ADDRESS(1000,COLUMN(H$9)+10)))
))</f>
        <v>0</v>
      </c>
      <c r="I43" s="19">
        <f t="array" ref="I43">IF(ISBLANK(Tareas!$B39),"-",
SUM(
SUMIF(INDIRECT(Equipo!$C$4&amp;"!B10:B1000"),$B43,INDIRECT(Equipo!$C$4&amp;"!"&amp;ADDRESS(10,COLUMN(I$9)+10)&amp;":"&amp;ADDRESS(1000,COLUMN(I$9)+10))),
SUMIF(INDIRECT(Equipo!$D$4&amp;"!B10:B1000"),$B43,INDIRECT(Equipo!$D$4&amp;"!"&amp;ADDRESS(10,COLUMN(I$9)+10)&amp;":"&amp;ADDRESS(1000,COLUMN(I$9)+10))),
SUMIF(INDIRECT(Equipo!$E$4&amp;"!B10:B1000"),$B43,INDIRECT(Equipo!$E$4&amp;"!"&amp;ADDRESS(10,COLUMN(I$9)+10)&amp;":"&amp;ADDRESS(1000,COLUMN(I$9)+10))),
SUMIF(INDIRECT(Equipo!$F$4&amp;"!B10:B1000"),$B43,INDIRECT(Equipo!$F$4&amp;"!"&amp;ADDRESS(10,COLUMN(I$9)+10)&amp;":"&amp;ADDRESS(1000,COLUMN(I$9)+10))),
SUMIF(INDIRECT(Equipo!$G$4&amp;"!B10:B1000"),$B43,INDIRECT(Equipo!$G$4&amp;"!"&amp;ADDRESS(10,COLUMN(I$9)+10)&amp;":"&amp;ADDRESS(1000,COLUMN(I$9)+10)))
))</f>
        <v>1.5</v>
      </c>
      <c r="J43" s="19">
        <f t="array" ref="J43">IF(ISBLANK(Tareas!$B39),"-",
SUM(
SUMIF(INDIRECT(Equipo!$C$4&amp;"!B10:B1000"),$B43,INDIRECT(Equipo!$C$4&amp;"!"&amp;ADDRESS(10,COLUMN(J$9)+10)&amp;":"&amp;ADDRESS(1000,COLUMN(J$9)+10))),
SUMIF(INDIRECT(Equipo!$D$4&amp;"!B10:B1000"),$B43,INDIRECT(Equipo!$D$4&amp;"!"&amp;ADDRESS(10,COLUMN(J$9)+10)&amp;":"&amp;ADDRESS(1000,COLUMN(J$9)+10))),
SUMIF(INDIRECT(Equipo!$E$4&amp;"!B10:B1000"),$B43,INDIRECT(Equipo!$E$4&amp;"!"&amp;ADDRESS(10,COLUMN(J$9)+10)&amp;":"&amp;ADDRESS(1000,COLUMN(J$9)+10))),
SUMIF(INDIRECT(Equipo!$F$4&amp;"!B10:B1000"),$B43,INDIRECT(Equipo!$F$4&amp;"!"&amp;ADDRESS(10,COLUMN(J$9)+10)&amp;":"&amp;ADDRESS(1000,COLUMN(J$9)+10))),
SUMIF(INDIRECT(Equipo!$G$4&amp;"!B10:B1000"),$B43,INDIRECT(Equipo!$G$4&amp;"!"&amp;ADDRESS(10,COLUMN(J$9)+10)&amp;":"&amp;ADDRESS(1000,COLUMN(J$9)+10)))
))</f>
        <v>0</v>
      </c>
      <c r="K43" s="19">
        <f t="array" ref="K43">IF(ISBLANK(Tareas!$B39),"-",
SUM(
SUMIF(INDIRECT(Equipo!$C$4&amp;"!B10:B1000"),$B43,INDIRECT(Equipo!$C$4&amp;"!"&amp;ADDRESS(10,COLUMN(K$9)+10)&amp;":"&amp;ADDRESS(1000,COLUMN(K$9)+10))),
SUMIF(INDIRECT(Equipo!$D$4&amp;"!B10:B1000"),$B43,INDIRECT(Equipo!$D$4&amp;"!"&amp;ADDRESS(10,COLUMN(K$9)+10)&amp;":"&amp;ADDRESS(1000,COLUMN(K$9)+10))),
SUMIF(INDIRECT(Equipo!$E$4&amp;"!B10:B1000"),$B43,INDIRECT(Equipo!$E$4&amp;"!"&amp;ADDRESS(10,COLUMN(K$9)+10)&amp;":"&amp;ADDRESS(1000,COLUMN(K$9)+10))),
SUMIF(INDIRECT(Equipo!$F$4&amp;"!B10:B1000"),$B43,INDIRECT(Equipo!$F$4&amp;"!"&amp;ADDRESS(10,COLUMN(K$9)+10)&amp;":"&amp;ADDRESS(1000,COLUMN(K$9)+10))),
SUMIF(INDIRECT(Equipo!$G$4&amp;"!B10:B1000"),$B43,INDIRECT(Equipo!$G$4&amp;"!"&amp;ADDRESS(10,COLUMN(K$9)+10)&amp;":"&amp;ADDRESS(1000,COLUMN(K$9)+10)))
))</f>
        <v>0</v>
      </c>
    </row>
    <row r="44" ht="15.75" customHeight="1">
      <c r="B44" s="1" t="str">
        <f>IF(ISBLANK(Tareas!B40)," - ",Tareas!B40)</f>
        <v>35. Revisión intermedia del código</v>
      </c>
      <c r="C44" s="19">
        <f>IF(ISBLANK(Tareas!$B40),"-",SUM(D44:M44))</f>
        <v>1.5</v>
      </c>
      <c r="D44" s="19">
        <f t="array" ref="D44">IF(ISBLANK(Tareas!$B40),"-",
SUM(
SUMIF(INDIRECT(Equipo!$C$4&amp;"!B10:B1000"),$B44,INDIRECT(Equipo!$C$4&amp;"!"&amp;ADDRESS(10,COLUMN(D$9)+10)&amp;":"&amp;ADDRESS(1000,COLUMN(D$9)+10))),
SUMIF(INDIRECT(Equipo!$D$4&amp;"!B10:B1000"),$B44,INDIRECT(Equipo!$D$4&amp;"!"&amp;ADDRESS(10,COLUMN(D$9)+10)&amp;":"&amp;ADDRESS(1000,COLUMN(D$9)+10))),
SUMIF(INDIRECT(Equipo!$E$4&amp;"!B10:B1000"),$B44,INDIRECT(Equipo!$E$4&amp;"!"&amp;ADDRESS(10,COLUMN(D$9)+10)&amp;":"&amp;ADDRESS(1000,COLUMN(D$9)+10))),
SUMIF(INDIRECT(Equipo!$F$4&amp;"!B10:B1000"),$B44,INDIRECT(Equipo!$F$4&amp;"!"&amp;ADDRESS(10,COLUMN(D$9)+10)&amp;":"&amp;ADDRESS(1000,COLUMN(D$9)+10))),
SUMIF(INDIRECT(Equipo!$G$4&amp;"!B10:B1000"),$B44,INDIRECT(Equipo!$G$4&amp;"!"&amp;ADDRESS(10,COLUMN(D$9)+10)&amp;":"&amp;ADDRESS(1000,COLUMN(D$9)+10)))
))</f>
        <v>0</v>
      </c>
      <c r="E44" s="19">
        <f t="array" ref="E44">IF(ISBLANK(Tareas!$B40),"-",
SUM(
SUMIF(INDIRECT(Equipo!$C$4&amp;"!B10:B1000"),$B44,INDIRECT(Equipo!$C$4&amp;"!"&amp;ADDRESS(10,COLUMN(E$9)+10)&amp;":"&amp;ADDRESS(1000,COLUMN(E$9)+10))),
SUMIF(INDIRECT(Equipo!$D$4&amp;"!B10:B1000"),$B44,INDIRECT(Equipo!$D$4&amp;"!"&amp;ADDRESS(10,COLUMN(E$9)+10)&amp;":"&amp;ADDRESS(1000,COLUMN(E$9)+10))),
SUMIF(INDIRECT(Equipo!$E$4&amp;"!B10:B1000"),$B44,INDIRECT(Equipo!$E$4&amp;"!"&amp;ADDRESS(10,COLUMN(E$9)+10)&amp;":"&amp;ADDRESS(1000,COLUMN(E$9)+10))),
SUMIF(INDIRECT(Equipo!$F$4&amp;"!B10:B1000"),$B44,INDIRECT(Equipo!$F$4&amp;"!"&amp;ADDRESS(10,COLUMN(E$9)+10)&amp;":"&amp;ADDRESS(1000,COLUMN(E$9)+10))),
SUMIF(INDIRECT(Equipo!$G$4&amp;"!B10:B1000"),$B44,INDIRECT(Equipo!$G$4&amp;"!"&amp;ADDRESS(10,COLUMN(E$9)+10)&amp;":"&amp;ADDRESS(1000,COLUMN(E$9)+10)))
))</f>
        <v>0</v>
      </c>
      <c r="F44" s="19">
        <f t="array" ref="F44">IF(ISBLANK(Tareas!$B40),"-",
SUM(
SUMIF(INDIRECT(Equipo!$C$4&amp;"!B10:B1000"),$B44,INDIRECT(Equipo!$C$4&amp;"!"&amp;ADDRESS(10,COLUMN(F$9)+10)&amp;":"&amp;ADDRESS(1000,COLUMN(F$9)+10))),
SUMIF(INDIRECT(Equipo!$D$4&amp;"!B10:B1000"),$B44,INDIRECT(Equipo!$D$4&amp;"!"&amp;ADDRESS(10,COLUMN(F$9)+10)&amp;":"&amp;ADDRESS(1000,COLUMN(F$9)+10))),
SUMIF(INDIRECT(Equipo!$E$4&amp;"!B10:B1000"),$B44,INDIRECT(Equipo!$E$4&amp;"!"&amp;ADDRESS(10,COLUMN(F$9)+10)&amp;":"&amp;ADDRESS(1000,COLUMN(F$9)+10))),
SUMIF(INDIRECT(Equipo!$F$4&amp;"!B10:B1000"),$B44,INDIRECT(Equipo!$F$4&amp;"!"&amp;ADDRESS(10,COLUMN(F$9)+10)&amp;":"&amp;ADDRESS(1000,COLUMN(F$9)+10))),
SUMIF(INDIRECT(Equipo!$G$4&amp;"!B10:B1000"),$B44,INDIRECT(Equipo!$G$4&amp;"!"&amp;ADDRESS(10,COLUMN(F$9)+10)&amp;":"&amp;ADDRESS(1000,COLUMN(F$9)+10)))
))</f>
        <v>0</v>
      </c>
      <c r="G44" s="19">
        <f t="array" ref="G44">IF(ISBLANK(Tareas!$B40),"-",
SUM(
SUMIF(INDIRECT(Equipo!$C$4&amp;"!B10:B1000"),$B44,INDIRECT(Equipo!$C$4&amp;"!"&amp;ADDRESS(10,COLUMN(G$9)+10)&amp;":"&amp;ADDRESS(1000,COLUMN(G$9)+10))),
SUMIF(INDIRECT(Equipo!$D$4&amp;"!B10:B1000"),$B44,INDIRECT(Equipo!$D$4&amp;"!"&amp;ADDRESS(10,COLUMN(G$9)+10)&amp;":"&amp;ADDRESS(1000,COLUMN(G$9)+10))),
SUMIF(INDIRECT(Equipo!$E$4&amp;"!B10:B1000"),$B44,INDIRECT(Equipo!$E$4&amp;"!"&amp;ADDRESS(10,COLUMN(G$9)+10)&amp;":"&amp;ADDRESS(1000,COLUMN(G$9)+10))),
SUMIF(INDIRECT(Equipo!$F$4&amp;"!B10:B1000"),$B44,INDIRECT(Equipo!$F$4&amp;"!"&amp;ADDRESS(10,COLUMN(G$9)+10)&amp;":"&amp;ADDRESS(1000,COLUMN(G$9)+10))),
SUMIF(INDIRECT(Equipo!$G$4&amp;"!B10:B1000"),$B44,INDIRECT(Equipo!$G$4&amp;"!"&amp;ADDRESS(10,COLUMN(G$9)+10)&amp;":"&amp;ADDRESS(1000,COLUMN(G$9)+10)))
))</f>
        <v>0</v>
      </c>
      <c r="H44" s="19">
        <f t="array" ref="H44">IF(ISBLANK(Tareas!$B40),"-",
SUM(
SUMIF(INDIRECT(Equipo!$C$4&amp;"!B10:B1000"),$B44,INDIRECT(Equipo!$C$4&amp;"!"&amp;ADDRESS(10,COLUMN(H$9)+10)&amp;":"&amp;ADDRESS(1000,COLUMN(H$9)+10))),
SUMIF(INDIRECT(Equipo!$D$4&amp;"!B10:B1000"),$B44,INDIRECT(Equipo!$D$4&amp;"!"&amp;ADDRESS(10,COLUMN(H$9)+10)&amp;":"&amp;ADDRESS(1000,COLUMN(H$9)+10))),
SUMIF(INDIRECT(Equipo!$E$4&amp;"!B10:B1000"),$B44,INDIRECT(Equipo!$E$4&amp;"!"&amp;ADDRESS(10,COLUMN(H$9)+10)&amp;":"&amp;ADDRESS(1000,COLUMN(H$9)+10))),
SUMIF(INDIRECT(Equipo!$F$4&amp;"!B10:B1000"),$B44,INDIRECT(Equipo!$F$4&amp;"!"&amp;ADDRESS(10,COLUMN(H$9)+10)&amp;":"&amp;ADDRESS(1000,COLUMN(H$9)+10))),
SUMIF(INDIRECT(Equipo!$G$4&amp;"!B10:B1000"),$B44,INDIRECT(Equipo!$G$4&amp;"!"&amp;ADDRESS(10,COLUMN(H$9)+10)&amp;":"&amp;ADDRESS(1000,COLUMN(H$9)+10)))
))</f>
        <v>0</v>
      </c>
      <c r="I44" s="19">
        <f t="array" ref="I44">IF(ISBLANK(Tareas!$B40),"-",
SUM(
SUMIF(INDIRECT(Equipo!$C$4&amp;"!B10:B1000"),$B44,INDIRECT(Equipo!$C$4&amp;"!"&amp;ADDRESS(10,COLUMN(I$9)+10)&amp;":"&amp;ADDRESS(1000,COLUMN(I$9)+10))),
SUMIF(INDIRECT(Equipo!$D$4&amp;"!B10:B1000"),$B44,INDIRECT(Equipo!$D$4&amp;"!"&amp;ADDRESS(10,COLUMN(I$9)+10)&amp;":"&amp;ADDRESS(1000,COLUMN(I$9)+10))),
SUMIF(INDIRECT(Equipo!$E$4&amp;"!B10:B1000"),$B44,INDIRECT(Equipo!$E$4&amp;"!"&amp;ADDRESS(10,COLUMN(I$9)+10)&amp;":"&amp;ADDRESS(1000,COLUMN(I$9)+10))),
SUMIF(INDIRECT(Equipo!$F$4&amp;"!B10:B1000"),$B44,INDIRECT(Equipo!$F$4&amp;"!"&amp;ADDRESS(10,COLUMN(I$9)+10)&amp;":"&amp;ADDRESS(1000,COLUMN(I$9)+10))),
SUMIF(INDIRECT(Equipo!$G$4&amp;"!B10:B1000"),$B44,INDIRECT(Equipo!$G$4&amp;"!"&amp;ADDRESS(10,COLUMN(I$9)+10)&amp;":"&amp;ADDRESS(1000,COLUMN(I$9)+10)))
))</f>
        <v>1.5</v>
      </c>
      <c r="J44" s="19">
        <f t="array" ref="J44">IF(ISBLANK(Tareas!$B40),"-",
SUM(
SUMIF(INDIRECT(Equipo!$C$4&amp;"!B10:B1000"),$B44,INDIRECT(Equipo!$C$4&amp;"!"&amp;ADDRESS(10,COLUMN(J$9)+10)&amp;":"&amp;ADDRESS(1000,COLUMN(J$9)+10))),
SUMIF(INDIRECT(Equipo!$D$4&amp;"!B10:B1000"),$B44,INDIRECT(Equipo!$D$4&amp;"!"&amp;ADDRESS(10,COLUMN(J$9)+10)&amp;":"&amp;ADDRESS(1000,COLUMN(J$9)+10))),
SUMIF(INDIRECT(Equipo!$E$4&amp;"!B10:B1000"),$B44,INDIRECT(Equipo!$E$4&amp;"!"&amp;ADDRESS(10,COLUMN(J$9)+10)&amp;":"&amp;ADDRESS(1000,COLUMN(J$9)+10))),
SUMIF(INDIRECT(Equipo!$F$4&amp;"!B10:B1000"),$B44,INDIRECT(Equipo!$F$4&amp;"!"&amp;ADDRESS(10,COLUMN(J$9)+10)&amp;":"&amp;ADDRESS(1000,COLUMN(J$9)+10))),
SUMIF(INDIRECT(Equipo!$G$4&amp;"!B10:B1000"),$B44,INDIRECT(Equipo!$G$4&amp;"!"&amp;ADDRESS(10,COLUMN(J$9)+10)&amp;":"&amp;ADDRESS(1000,COLUMN(J$9)+10)))
))</f>
        <v>0</v>
      </c>
      <c r="K44" s="19">
        <f t="array" ref="K44">IF(ISBLANK(Tareas!$B40),"-",
SUM(
SUMIF(INDIRECT(Equipo!$C$4&amp;"!B10:B1000"),$B44,INDIRECT(Equipo!$C$4&amp;"!"&amp;ADDRESS(10,COLUMN(K$9)+10)&amp;":"&amp;ADDRESS(1000,COLUMN(K$9)+10))),
SUMIF(INDIRECT(Equipo!$D$4&amp;"!B10:B1000"),$B44,INDIRECT(Equipo!$D$4&amp;"!"&amp;ADDRESS(10,COLUMN(K$9)+10)&amp;":"&amp;ADDRESS(1000,COLUMN(K$9)+10))),
SUMIF(INDIRECT(Equipo!$E$4&amp;"!B10:B1000"),$B44,INDIRECT(Equipo!$E$4&amp;"!"&amp;ADDRESS(10,COLUMN(K$9)+10)&amp;":"&amp;ADDRESS(1000,COLUMN(K$9)+10))),
SUMIF(INDIRECT(Equipo!$F$4&amp;"!B10:B1000"),$B44,INDIRECT(Equipo!$F$4&amp;"!"&amp;ADDRESS(10,COLUMN(K$9)+10)&amp;":"&amp;ADDRESS(1000,COLUMN(K$9)+10))),
SUMIF(INDIRECT(Equipo!$G$4&amp;"!B10:B1000"),$B44,INDIRECT(Equipo!$G$4&amp;"!"&amp;ADDRESS(10,COLUMN(K$9)+10)&amp;":"&amp;ADDRESS(1000,COLUMN(K$9)+10)))
))</f>
        <v>0</v>
      </c>
    </row>
    <row r="45" ht="15.75" customHeight="1">
      <c r="B45" s="1" t="str">
        <f>IF(ISBLANK(Tareas!B41)," - ",Tareas!B41)</f>
        <v>36. Disposición del diseño en la línea base (GCS)</v>
      </c>
      <c r="C45" s="19">
        <f>IF(ISBLANK(Tareas!$B41),"-",SUM(D45:M45))</f>
        <v>0.3</v>
      </c>
      <c r="D45" s="19">
        <f t="array" ref="D45">IF(ISBLANK(Tareas!$B41),"-",
SUM(
SUMIF(INDIRECT(Equipo!$C$4&amp;"!B10:B1000"),$B45,INDIRECT(Equipo!$C$4&amp;"!"&amp;ADDRESS(10,COLUMN(D$9)+10)&amp;":"&amp;ADDRESS(1000,COLUMN(D$9)+10))),
SUMIF(INDIRECT(Equipo!$D$4&amp;"!B10:B1000"),$B45,INDIRECT(Equipo!$D$4&amp;"!"&amp;ADDRESS(10,COLUMN(D$9)+10)&amp;":"&amp;ADDRESS(1000,COLUMN(D$9)+10))),
SUMIF(INDIRECT(Equipo!$E$4&amp;"!B10:B1000"),$B45,INDIRECT(Equipo!$E$4&amp;"!"&amp;ADDRESS(10,COLUMN(D$9)+10)&amp;":"&amp;ADDRESS(1000,COLUMN(D$9)+10))),
SUMIF(INDIRECT(Equipo!$F$4&amp;"!B10:B1000"),$B45,INDIRECT(Equipo!$F$4&amp;"!"&amp;ADDRESS(10,COLUMN(D$9)+10)&amp;":"&amp;ADDRESS(1000,COLUMN(D$9)+10))),
SUMIF(INDIRECT(Equipo!$G$4&amp;"!B10:B1000"),$B45,INDIRECT(Equipo!$G$4&amp;"!"&amp;ADDRESS(10,COLUMN(D$9)+10)&amp;":"&amp;ADDRESS(1000,COLUMN(D$9)+10)))
))</f>
        <v>0</v>
      </c>
      <c r="E45" s="19">
        <f t="array" ref="E45">IF(ISBLANK(Tareas!$B41),"-",
SUM(
SUMIF(INDIRECT(Equipo!$C$4&amp;"!B10:B1000"),$B45,INDIRECT(Equipo!$C$4&amp;"!"&amp;ADDRESS(10,COLUMN(E$9)+10)&amp;":"&amp;ADDRESS(1000,COLUMN(E$9)+10))),
SUMIF(INDIRECT(Equipo!$D$4&amp;"!B10:B1000"),$B45,INDIRECT(Equipo!$D$4&amp;"!"&amp;ADDRESS(10,COLUMN(E$9)+10)&amp;":"&amp;ADDRESS(1000,COLUMN(E$9)+10))),
SUMIF(INDIRECT(Equipo!$E$4&amp;"!B10:B1000"),$B45,INDIRECT(Equipo!$E$4&amp;"!"&amp;ADDRESS(10,COLUMN(E$9)+10)&amp;":"&amp;ADDRESS(1000,COLUMN(E$9)+10))),
SUMIF(INDIRECT(Equipo!$F$4&amp;"!B10:B1000"),$B45,INDIRECT(Equipo!$F$4&amp;"!"&amp;ADDRESS(10,COLUMN(E$9)+10)&amp;":"&amp;ADDRESS(1000,COLUMN(E$9)+10))),
SUMIF(INDIRECT(Equipo!$G$4&amp;"!B10:B1000"),$B45,INDIRECT(Equipo!$G$4&amp;"!"&amp;ADDRESS(10,COLUMN(E$9)+10)&amp;":"&amp;ADDRESS(1000,COLUMN(E$9)+10)))
))</f>
        <v>0</v>
      </c>
      <c r="F45" s="19">
        <f t="array" ref="F45">IF(ISBLANK(Tareas!$B41),"-",
SUM(
SUMIF(INDIRECT(Equipo!$C$4&amp;"!B10:B1000"),$B45,INDIRECT(Equipo!$C$4&amp;"!"&amp;ADDRESS(10,COLUMN(F$9)+10)&amp;":"&amp;ADDRESS(1000,COLUMN(F$9)+10))),
SUMIF(INDIRECT(Equipo!$D$4&amp;"!B10:B1000"),$B45,INDIRECT(Equipo!$D$4&amp;"!"&amp;ADDRESS(10,COLUMN(F$9)+10)&amp;":"&amp;ADDRESS(1000,COLUMN(F$9)+10))),
SUMIF(INDIRECT(Equipo!$E$4&amp;"!B10:B1000"),$B45,INDIRECT(Equipo!$E$4&amp;"!"&amp;ADDRESS(10,COLUMN(F$9)+10)&amp;":"&amp;ADDRESS(1000,COLUMN(F$9)+10))),
SUMIF(INDIRECT(Equipo!$F$4&amp;"!B10:B1000"),$B45,INDIRECT(Equipo!$F$4&amp;"!"&amp;ADDRESS(10,COLUMN(F$9)+10)&amp;":"&amp;ADDRESS(1000,COLUMN(F$9)+10))),
SUMIF(INDIRECT(Equipo!$G$4&amp;"!B10:B1000"),$B45,INDIRECT(Equipo!$G$4&amp;"!"&amp;ADDRESS(10,COLUMN(F$9)+10)&amp;":"&amp;ADDRESS(1000,COLUMN(F$9)+10)))
))</f>
        <v>0</v>
      </c>
      <c r="G45" s="19">
        <f t="array" ref="G45">IF(ISBLANK(Tareas!$B41),"-",
SUM(
SUMIF(INDIRECT(Equipo!$C$4&amp;"!B10:B1000"),$B45,INDIRECT(Equipo!$C$4&amp;"!"&amp;ADDRESS(10,COLUMN(G$9)+10)&amp;":"&amp;ADDRESS(1000,COLUMN(G$9)+10))),
SUMIF(INDIRECT(Equipo!$D$4&amp;"!B10:B1000"),$B45,INDIRECT(Equipo!$D$4&amp;"!"&amp;ADDRESS(10,COLUMN(G$9)+10)&amp;":"&amp;ADDRESS(1000,COLUMN(G$9)+10))),
SUMIF(INDIRECT(Equipo!$E$4&amp;"!B10:B1000"),$B45,INDIRECT(Equipo!$E$4&amp;"!"&amp;ADDRESS(10,COLUMN(G$9)+10)&amp;":"&amp;ADDRESS(1000,COLUMN(G$9)+10))),
SUMIF(INDIRECT(Equipo!$F$4&amp;"!B10:B1000"),$B45,INDIRECT(Equipo!$F$4&amp;"!"&amp;ADDRESS(10,COLUMN(G$9)+10)&amp;":"&amp;ADDRESS(1000,COLUMN(G$9)+10))),
SUMIF(INDIRECT(Equipo!$G$4&amp;"!B10:B1000"),$B45,INDIRECT(Equipo!$G$4&amp;"!"&amp;ADDRESS(10,COLUMN(G$9)+10)&amp;":"&amp;ADDRESS(1000,COLUMN(G$9)+10)))
))</f>
        <v>0</v>
      </c>
      <c r="H45" s="19">
        <f t="array" ref="H45">IF(ISBLANK(Tareas!$B41),"-",
SUM(
SUMIF(INDIRECT(Equipo!$C$4&amp;"!B10:B1000"),$B45,INDIRECT(Equipo!$C$4&amp;"!"&amp;ADDRESS(10,COLUMN(H$9)+10)&amp;":"&amp;ADDRESS(1000,COLUMN(H$9)+10))),
SUMIF(INDIRECT(Equipo!$D$4&amp;"!B10:B1000"),$B45,INDIRECT(Equipo!$D$4&amp;"!"&amp;ADDRESS(10,COLUMN(H$9)+10)&amp;":"&amp;ADDRESS(1000,COLUMN(H$9)+10))),
SUMIF(INDIRECT(Equipo!$E$4&amp;"!B10:B1000"),$B45,INDIRECT(Equipo!$E$4&amp;"!"&amp;ADDRESS(10,COLUMN(H$9)+10)&amp;":"&amp;ADDRESS(1000,COLUMN(H$9)+10))),
SUMIF(INDIRECT(Equipo!$F$4&amp;"!B10:B1000"),$B45,INDIRECT(Equipo!$F$4&amp;"!"&amp;ADDRESS(10,COLUMN(H$9)+10)&amp;":"&amp;ADDRESS(1000,COLUMN(H$9)+10))),
SUMIF(INDIRECT(Equipo!$G$4&amp;"!B10:B1000"),$B45,INDIRECT(Equipo!$G$4&amp;"!"&amp;ADDRESS(10,COLUMN(H$9)+10)&amp;":"&amp;ADDRESS(1000,COLUMN(H$9)+10)))
))</f>
        <v>0</v>
      </c>
      <c r="I45" s="19">
        <f t="array" ref="I45">IF(ISBLANK(Tareas!$B41),"-",
SUM(
SUMIF(INDIRECT(Equipo!$C$4&amp;"!B10:B1000"),$B45,INDIRECT(Equipo!$C$4&amp;"!"&amp;ADDRESS(10,COLUMN(I$9)+10)&amp;":"&amp;ADDRESS(1000,COLUMN(I$9)+10))),
SUMIF(INDIRECT(Equipo!$D$4&amp;"!B10:B1000"),$B45,INDIRECT(Equipo!$D$4&amp;"!"&amp;ADDRESS(10,COLUMN(I$9)+10)&amp;":"&amp;ADDRESS(1000,COLUMN(I$9)+10))),
SUMIF(INDIRECT(Equipo!$E$4&amp;"!B10:B1000"),$B45,INDIRECT(Equipo!$E$4&amp;"!"&amp;ADDRESS(10,COLUMN(I$9)+10)&amp;":"&amp;ADDRESS(1000,COLUMN(I$9)+10))),
SUMIF(INDIRECT(Equipo!$F$4&amp;"!B10:B1000"),$B45,INDIRECT(Equipo!$F$4&amp;"!"&amp;ADDRESS(10,COLUMN(I$9)+10)&amp;":"&amp;ADDRESS(1000,COLUMN(I$9)+10))),
SUMIF(INDIRECT(Equipo!$G$4&amp;"!B10:B1000"),$B45,INDIRECT(Equipo!$G$4&amp;"!"&amp;ADDRESS(10,COLUMN(I$9)+10)&amp;":"&amp;ADDRESS(1000,COLUMN(I$9)+10)))
))</f>
        <v>0.3</v>
      </c>
      <c r="J45" s="19">
        <f t="array" ref="J45">IF(ISBLANK(Tareas!$B41),"-",
SUM(
SUMIF(INDIRECT(Equipo!$C$4&amp;"!B10:B1000"),$B45,INDIRECT(Equipo!$C$4&amp;"!"&amp;ADDRESS(10,COLUMN(J$9)+10)&amp;":"&amp;ADDRESS(1000,COLUMN(J$9)+10))),
SUMIF(INDIRECT(Equipo!$D$4&amp;"!B10:B1000"),$B45,INDIRECT(Equipo!$D$4&amp;"!"&amp;ADDRESS(10,COLUMN(J$9)+10)&amp;":"&amp;ADDRESS(1000,COLUMN(J$9)+10))),
SUMIF(INDIRECT(Equipo!$E$4&amp;"!B10:B1000"),$B45,INDIRECT(Equipo!$E$4&amp;"!"&amp;ADDRESS(10,COLUMN(J$9)+10)&amp;":"&amp;ADDRESS(1000,COLUMN(J$9)+10))),
SUMIF(INDIRECT(Equipo!$F$4&amp;"!B10:B1000"),$B45,INDIRECT(Equipo!$F$4&amp;"!"&amp;ADDRESS(10,COLUMN(J$9)+10)&amp;":"&amp;ADDRESS(1000,COLUMN(J$9)+10))),
SUMIF(INDIRECT(Equipo!$G$4&amp;"!B10:B1000"),$B45,INDIRECT(Equipo!$G$4&amp;"!"&amp;ADDRESS(10,COLUMN(J$9)+10)&amp;":"&amp;ADDRESS(1000,COLUMN(J$9)+10)))
))</f>
        <v>0</v>
      </c>
      <c r="K45" s="19">
        <f t="array" ref="K45">IF(ISBLANK(Tareas!$B41),"-",
SUM(
SUMIF(INDIRECT(Equipo!$C$4&amp;"!B10:B1000"),$B45,INDIRECT(Equipo!$C$4&amp;"!"&amp;ADDRESS(10,COLUMN(K$9)+10)&amp;":"&amp;ADDRESS(1000,COLUMN(K$9)+10))),
SUMIF(INDIRECT(Equipo!$D$4&amp;"!B10:B1000"),$B45,INDIRECT(Equipo!$D$4&amp;"!"&amp;ADDRESS(10,COLUMN(K$9)+10)&amp;":"&amp;ADDRESS(1000,COLUMN(K$9)+10))),
SUMIF(INDIRECT(Equipo!$E$4&amp;"!B10:B1000"),$B45,INDIRECT(Equipo!$E$4&amp;"!"&amp;ADDRESS(10,COLUMN(K$9)+10)&amp;":"&amp;ADDRESS(1000,COLUMN(K$9)+10))),
SUMIF(INDIRECT(Equipo!$F$4&amp;"!B10:B1000"),$B45,INDIRECT(Equipo!$F$4&amp;"!"&amp;ADDRESS(10,COLUMN(K$9)+10)&amp;":"&amp;ADDRESS(1000,COLUMN(K$9)+10))),
SUMIF(INDIRECT(Equipo!$G$4&amp;"!B10:B1000"),$B45,INDIRECT(Equipo!$G$4&amp;"!"&amp;ADDRESS(10,COLUMN(K$9)+10)&amp;":"&amp;ADDRESS(1000,COLUMN(K$9)+10)))
))</f>
        <v>0</v>
      </c>
    </row>
    <row r="46" ht="15.75" customHeight="1">
      <c r="B46" s="1" t="str">
        <f>IF(ISBLANK(Tareas!B42)," - ",Tareas!B42)</f>
        <v>37. Reunión 7</v>
      </c>
      <c r="C46" s="19">
        <f>IF(ISBLANK(Tareas!$B42),"-",SUM(D46:M46))</f>
        <v>2.5</v>
      </c>
      <c r="D46" s="19">
        <f t="array" ref="D46">IF(ISBLANK(Tareas!$B42),"-",
SUM(
SUMIF(INDIRECT(Equipo!$C$4&amp;"!B10:B1000"),$B46,INDIRECT(Equipo!$C$4&amp;"!"&amp;ADDRESS(10,COLUMN(D$9)+10)&amp;":"&amp;ADDRESS(1000,COLUMN(D$9)+10))),
SUMIF(INDIRECT(Equipo!$D$4&amp;"!B10:B1000"),$B46,INDIRECT(Equipo!$D$4&amp;"!"&amp;ADDRESS(10,COLUMN(D$9)+10)&amp;":"&amp;ADDRESS(1000,COLUMN(D$9)+10))),
SUMIF(INDIRECT(Equipo!$E$4&amp;"!B10:B1000"),$B46,INDIRECT(Equipo!$E$4&amp;"!"&amp;ADDRESS(10,COLUMN(D$9)+10)&amp;":"&amp;ADDRESS(1000,COLUMN(D$9)+10))),
SUMIF(INDIRECT(Equipo!$F$4&amp;"!B10:B1000"),$B46,INDIRECT(Equipo!$F$4&amp;"!"&amp;ADDRESS(10,COLUMN(D$9)+10)&amp;":"&amp;ADDRESS(1000,COLUMN(D$9)+10))),
SUMIF(INDIRECT(Equipo!$G$4&amp;"!B10:B1000"),$B46,INDIRECT(Equipo!$G$4&amp;"!"&amp;ADDRESS(10,COLUMN(D$9)+10)&amp;":"&amp;ADDRESS(1000,COLUMN(D$9)+10)))
))</f>
        <v>0</v>
      </c>
      <c r="E46" s="19">
        <f t="array" ref="E46">IF(ISBLANK(Tareas!$B42),"-",
SUM(
SUMIF(INDIRECT(Equipo!$C$4&amp;"!B10:B1000"),$B46,INDIRECT(Equipo!$C$4&amp;"!"&amp;ADDRESS(10,COLUMN(E$9)+10)&amp;":"&amp;ADDRESS(1000,COLUMN(E$9)+10))),
SUMIF(INDIRECT(Equipo!$D$4&amp;"!B10:B1000"),$B46,INDIRECT(Equipo!$D$4&amp;"!"&amp;ADDRESS(10,COLUMN(E$9)+10)&amp;":"&amp;ADDRESS(1000,COLUMN(E$9)+10))),
SUMIF(INDIRECT(Equipo!$E$4&amp;"!B10:B1000"),$B46,INDIRECT(Equipo!$E$4&amp;"!"&amp;ADDRESS(10,COLUMN(E$9)+10)&amp;":"&amp;ADDRESS(1000,COLUMN(E$9)+10))),
SUMIF(INDIRECT(Equipo!$F$4&amp;"!B10:B1000"),$B46,INDIRECT(Equipo!$F$4&amp;"!"&amp;ADDRESS(10,COLUMN(E$9)+10)&amp;":"&amp;ADDRESS(1000,COLUMN(E$9)+10))),
SUMIF(INDIRECT(Equipo!$G$4&amp;"!B10:B1000"),$B46,INDIRECT(Equipo!$G$4&amp;"!"&amp;ADDRESS(10,COLUMN(E$9)+10)&amp;":"&amp;ADDRESS(1000,COLUMN(E$9)+10)))
))</f>
        <v>0</v>
      </c>
      <c r="F46" s="19">
        <f t="array" ref="F46">IF(ISBLANK(Tareas!$B42),"-",
SUM(
SUMIF(INDIRECT(Equipo!$C$4&amp;"!B10:B1000"),$B46,INDIRECT(Equipo!$C$4&amp;"!"&amp;ADDRESS(10,COLUMN(F$9)+10)&amp;":"&amp;ADDRESS(1000,COLUMN(F$9)+10))),
SUMIF(INDIRECT(Equipo!$D$4&amp;"!B10:B1000"),$B46,INDIRECT(Equipo!$D$4&amp;"!"&amp;ADDRESS(10,COLUMN(F$9)+10)&amp;":"&amp;ADDRESS(1000,COLUMN(F$9)+10))),
SUMIF(INDIRECT(Equipo!$E$4&amp;"!B10:B1000"),$B46,INDIRECT(Equipo!$E$4&amp;"!"&amp;ADDRESS(10,COLUMN(F$9)+10)&amp;":"&amp;ADDRESS(1000,COLUMN(F$9)+10))),
SUMIF(INDIRECT(Equipo!$F$4&amp;"!B10:B1000"),$B46,INDIRECT(Equipo!$F$4&amp;"!"&amp;ADDRESS(10,COLUMN(F$9)+10)&amp;":"&amp;ADDRESS(1000,COLUMN(F$9)+10))),
SUMIF(INDIRECT(Equipo!$G$4&amp;"!B10:B1000"),$B46,INDIRECT(Equipo!$G$4&amp;"!"&amp;ADDRESS(10,COLUMN(F$9)+10)&amp;":"&amp;ADDRESS(1000,COLUMN(F$9)+10)))
))</f>
        <v>0</v>
      </c>
      <c r="G46" s="19">
        <f t="array" ref="G46">IF(ISBLANK(Tareas!$B42),"-",
SUM(
SUMIF(INDIRECT(Equipo!$C$4&amp;"!B10:B1000"),$B46,INDIRECT(Equipo!$C$4&amp;"!"&amp;ADDRESS(10,COLUMN(G$9)+10)&amp;":"&amp;ADDRESS(1000,COLUMN(G$9)+10))),
SUMIF(INDIRECT(Equipo!$D$4&amp;"!B10:B1000"),$B46,INDIRECT(Equipo!$D$4&amp;"!"&amp;ADDRESS(10,COLUMN(G$9)+10)&amp;":"&amp;ADDRESS(1000,COLUMN(G$9)+10))),
SUMIF(INDIRECT(Equipo!$E$4&amp;"!B10:B1000"),$B46,INDIRECT(Equipo!$E$4&amp;"!"&amp;ADDRESS(10,COLUMN(G$9)+10)&amp;":"&amp;ADDRESS(1000,COLUMN(G$9)+10))),
SUMIF(INDIRECT(Equipo!$F$4&amp;"!B10:B1000"),$B46,INDIRECT(Equipo!$F$4&amp;"!"&amp;ADDRESS(10,COLUMN(G$9)+10)&amp;":"&amp;ADDRESS(1000,COLUMN(G$9)+10))),
SUMIF(INDIRECT(Equipo!$G$4&amp;"!B10:B1000"),$B46,INDIRECT(Equipo!$G$4&amp;"!"&amp;ADDRESS(10,COLUMN(G$9)+10)&amp;":"&amp;ADDRESS(1000,COLUMN(G$9)+10)))
))</f>
        <v>0</v>
      </c>
      <c r="H46" s="19">
        <f t="array" ref="H46">IF(ISBLANK(Tareas!$B42),"-",
SUM(
SUMIF(INDIRECT(Equipo!$C$4&amp;"!B10:B1000"),$B46,INDIRECT(Equipo!$C$4&amp;"!"&amp;ADDRESS(10,COLUMN(H$9)+10)&amp;":"&amp;ADDRESS(1000,COLUMN(H$9)+10))),
SUMIF(INDIRECT(Equipo!$D$4&amp;"!B10:B1000"),$B46,INDIRECT(Equipo!$D$4&amp;"!"&amp;ADDRESS(10,COLUMN(H$9)+10)&amp;":"&amp;ADDRESS(1000,COLUMN(H$9)+10))),
SUMIF(INDIRECT(Equipo!$E$4&amp;"!B10:B1000"),$B46,INDIRECT(Equipo!$E$4&amp;"!"&amp;ADDRESS(10,COLUMN(H$9)+10)&amp;":"&amp;ADDRESS(1000,COLUMN(H$9)+10))),
SUMIF(INDIRECT(Equipo!$F$4&amp;"!B10:B1000"),$B46,INDIRECT(Equipo!$F$4&amp;"!"&amp;ADDRESS(10,COLUMN(H$9)+10)&amp;":"&amp;ADDRESS(1000,COLUMN(H$9)+10))),
SUMIF(INDIRECT(Equipo!$G$4&amp;"!B10:B1000"),$B46,INDIRECT(Equipo!$G$4&amp;"!"&amp;ADDRESS(10,COLUMN(H$9)+10)&amp;":"&amp;ADDRESS(1000,COLUMN(H$9)+10)))
))</f>
        <v>0</v>
      </c>
      <c r="I46" s="19">
        <f t="array" ref="I46">IF(ISBLANK(Tareas!$B42),"-",
SUM(
SUMIF(INDIRECT(Equipo!$C$4&amp;"!B10:B1000"),$B46,INDIRECT(Equipo!$C$4&amp;"!"&amp;ADDRESS(10,COLUMN(I$9)+10)&amp;":"&amp;ADDRESS(1000,COLUMN(I$9)+10))),
SUMIF(INDIRECT(Equipo!$D$4&amp;"!B10:B1000"),$B46,INDIRECT(Equipo!$D$4&amp;"!"&amp;ADDRESS(10,COLUMN(I$9)+10)&amp;":"&amp;ADDRESS(1000,COLUMN(I$9)+10))),
SUMIF(INDIRECT(Equipo!$E$4&amp;"!B10:B1000"),$B46,INDIRECT(Equipo!$E$4&amp;"!"&amp;ADDRESS(10,COLUMN(I$9)+10)&amp;":"&amp;ADDRESS(1000,COLUMN(I$9)+10))),
SUMIF(INDIRECT(Equipo!$F$4&amp;"!B10:B1000"),$B46,INDIRECT(Equipo!$F$4&amp;"!"&amp;ADDRESS(10,COLUMN(I$9)+10)&amp;":"&amp;ADDRESS(1000,COLUMN(I$9)+10))),
SUMIF(INDIRECT(Equipo!$G$4&amp;"!B10:B1000"),$B46,INDIRECT(Equipo!$G$4&amp;"!"&amp;ADDRESS(10,COLUMN(I$9)+10)&amp;":"&amp;ADDRESS(1000,COLUMN(I$9)+10)))
))</f>
        <v>0</v>
      </c>
      <c r="J46" s="19">
        <f t="array" ref="J46">IF(ISBLANK(Tareas!$B42),"-",
SUM(
SUMIF(INDIRECT(Equipo!$C$4&amp;"!B10:B1000"),$B46,INDIRECT(Equipo!$C$4&amp;"!"&amp;ADDRESS(10,COLUMN(J$9)+10)&amp;":"&amp;ADDRESS(1000,COLUMN(J$9)+10))),
SUMIF(INDIRECT(Equipo!$D$4&amp;"!B10:B1000"),$B46,INDIRECT(Equipo!$D$4&amp;"!"&amp;ADDRESS(10,COLUMN(J$9)+10)&amp;":"&amp;ADDRESS(1000,COLUMN(J$9)+10))),
SUMIF(INDIRECT(Equipo!$E$4&amp;"!B10:B1000"),$B46,INDIRECT(Equipo!$E$4&amp;"!"&amp;ADDRESS(10,COLUMN(J$9)+10)&amp;":"&amp;ADDRESS(1000,COLUMN(J$9)+10))),
SUMIF(INDIRECT(Equipo!$F$4&amp;"!B10:B1000"),$B46,INDIRECT(Equipo!$F$4&amp;"!"&amp;ADDRESS(10,COLUMN(J$9)+10)&amp;":"&amp;ADDRESS(1000,COLUMN(J$9)+10))),
SUMIF(INDIRECT(Equipo!$G$4&amp;"!B10:B1000"),$B46,INDIRECT(Equipo!$G$4&amp;"!"&amp;ADDRESS(10,COLUMN(J$9)+10)&amp;":"&amp;ADDRESS(1000,COLUMN(J$9)+10)))
))</f>
        <v>2.5</v>
      </c>
      <c r="K46" s="19">
        <f t="array" ref="K46">IF(ISBLANK(Tareas!$B42),"-",
SUM(
SUMIF(INDIRECT(Equipo!$C$4&amp;"!B10:B1000"),$B46,INDIRECT(Equipo!$C$4&amp;"!"&amp;ADDRESS(10,COLUMN(K$9)+10)&amp;":"&amp;ADDRESS(1000,COLUMN(K$9)+10))),
SUMIF(INDIRECT(Equipo!$D$4&amp;"!B10:B1000"),$B46,INDIRECT(Equipo!$D$4&amp;"!"&amp;ADDRESS(10,COLUMN(K$9)+10)&amp;":"&amp;ADDRESS(1000,COLUMN(K$9)+10))),
SUMIF(INDIRECT(Equipo!$E$4&amp;"!B10:B1000"),$B46,INDIRECT(Equipo!$E$4&amp;"!"&amp;ADDRESS(10,COLUMN(K$9)+10)&amp;":"&amp;ADDRESS(1000,COLUMN(K$9)+10))),
SUMIF(INDIRECT(Equipo!$F$4&amp;"!B10:B1000"),$B46,INDIRECT(Equipo!$F$4&amp;"!"&amp;ADDRESS(10,COLUMN(K$9)+10)&amp;":"&amp;ADDRESS(1000,COLUMN(K$9)+10))),
SUMIF(INDIRECT(Equipo!$G$4&amp;"!B10:B1000"),$B46,INDIRECT(Equipo!$G$4&amp;"!"&amp;ADDRESS(10,COLUMN(K$9)+10)&amp;":"&amp;ADDRESS(1000,COLUMN(K$9)+10)))
))</f>
        <v>0</v>
      </c>
    </row>
    <row r="47" ht="15.75" customHeight="1">
      <c r="B47" s="1" t="str">
        <f>IF(ISBLANK(Tareas!B43)," - ",Tareas!B43)</f>
        <v>38. Actualización de EVM</v>
      </c>
      <c r="C47" s="19">
        <f>IF(ISBLANK(Tareas!$B43),"-",SUM(D47:M47))</f>
        <v>1</v>
      </c>
      <c r="D47" s="19">
        <f t="array" ref="D47">IF(ISBLANK(Tareas!$B43),"-",
SUM(
SUMIF(INDIRECT(Equipo!$C$4&amp;"!B10:B1000"),$B47,INDIRECT(Equipo!$C$4&amp;"!"&amp;ADDRESS(10,COLUMN(D$9)+10)&amp;":"&amp;ADDRESS(1000,COLUMN(D$9)+10))),
SUMIF(INDIRECT(Equipo!$D$4&amp;"!B10:B1000"),$B47,INDIRECT(Equipo!$D$4&amp;"!"&amp;ADDRESS(10,COLUMN(D$9)+10)&amp;":"&amp;ADDRESS(1000,COLUMN(D$9)+10))),
SUMIF(INDIRECT(Equipo!$E$4&amp;"!B10:B1000"),$B47,INDIRECT(Equipo!$E$4&amp;"!"&amp;ADDRESS(10,COLUMN(D$9)+10)&amp;":"&amp;ADDRESS(1000,COLUMN(D$9)+10))),
SUMIF(INDIRECT(Equipo!$F$4&amp;"!B10:B1000"),$B47,INDIRECT(Equipo!$F$4&amp;"!"&amp;ADDRESS(10,COLUMN(D$9)+10)&amp;":"&amp;ADDRESS(1000,COLUMN(D$9)+10))),
SUMIF(INDIRECT(Equipo!$G$4&amp;"!B10:B1000"),$B47,INDIRECT(Equipo!$G$4&amp;"!"&amp;ADDRESS(10,COLUMN(D$9)+10)&amp;":"&amp;ADDRESS(1000,COLUMN(D$9)+10)))
))</f>
        <v>0</v>
      </c>
      <c r="E47" s="19">
        <f t="array" ref="E47">IF(ISBLANK(Tareas!$B43),"-",
SUM(
SUMIF(INDIRECT(Equipo!$C$4&amp;"!B10:B1000"),$B47,INDIRECT(Equipo!$C$4&amp;"!"&amp;ADDRESS(10,COLUMN(E$9)+10)&amp;":"&amp;ADDRESS(1000,COLUMN(E$9)+10))),
SUMIF(INDIRECT(Equipo!$D$4&amp;"!B10:B1000"),$B47,INDIRECT(Equipo!$D$4&amp;"!"&amp;ADDRESS(10,COLUMN(E$9)+10)&amp;":"&amp;ADDRESS(1000,COLUMN(E$9)+10))),
SUMIF(INDIRECT(Equipo!$E$4&amp;"!B10:B1000"),$B47,INDIRECT(Equipo!$E$4&amp;"!"&amp;ADDRESS(10,COLUMN(E$9)+10)&amp;":"&amp;ADDRESS(1000,COLUMN(E$9)+10))),
SUMIF(INDIRECT(Equipo!$F$4&amp;"!B10:B1000"),$B47,INDIRECT(Equipo!$F$4&amp;"!"&amp;ADDRESS(10,COLUMN(E$9)+10)&amp;":"&amp;ADDRESS(1000,COLUMN(E$9)+10))),
SUMIF(INDIRECT(Equipo!$G$4&amp;"!B10:B1000"),$B47,INDIRECT(Equipo!$G$4&amp;"!"&amp;ADDRESS(10,COLUMN(E$9)+10)&amp;":"&amp;ADDRESS(1000,COLUMN(E$9)+10)))
))</f>
        <v>0</v>
      </c>
      <c r="F47" s="19">
        <f t="array" ref="F47">IF(ISBLANK(Tareas!$B43),"-",
SUM(
SUMIF(INDIRECT(Equipo!$C$4&amp;"!B10:B1000"),$B47,INDIRECT(Equipo!$C$4&amp;"!"&amp;ADDRESS(10,COLUMN(F$9)+10)&amp;":"&amp;ADDRESS(1000,COLUMN(F$9)+10))),
SUMIF(INDIRECT(Equipo!$D$4&amp;"!B10:B1000"),$B47,INDIRECT(Equipo!$D$4&amp;"!"&amp;ADDRESS(10,COLUMN(F$9)+10)&amp;":"&amp;ADDRESS(1000,COLUMN(F$9)+10))),
SUMIF(INDIRECT(Equipo!$E$4&amp;"!B10:B1000"),$B47,INDIRECT(Equipo!$E$4&amp;"!"&amp;ADDRESS(10,COLUMN(F$9)+10)&amp;":"&amp;ADDRESS(1000,COLUMN(F$9)+10))),
SUMIF(INDIRECT(Equipo!$F$4&amp;"!B10:B1000"),$B47,INDIRECT(Equipo!$F$4&amp;"!"&amp;ADDRESS(10,COLUMN(F$9)+10)&amp;":"&amp;ADDRESS(1000,COLUMN(F$9)+10))),
SUMIF(INDIRECT(Equipo!$G$4&amp;"!B10:B1000"),$B47,INDIRECT(Equipo!$G$4&amp;"!"&amp;ADDRESS(10,COLUMN(F$9)+10)&amp;":"&amp;ADDRESS(1000,COLUMN(F$9)+10)))
))</f>
        <v>0</v>
      </c>
      <c r="G47" s="19">
        <f t="array" ref="G47">IF(ISBLANK(Tareas!$B43),"-",
SUM(
SUMIF(INDIRECT(Equipo!$C$4&amp;"!B10:B1000"),$B47,INDIRECT(Equipo!$C$4&amp;"!"&amp;ADDRESS(10,COLUMN(G$9)+10)&amp;":"&amp;ADDRESS(1000,COLUMN(G$9)+10))),
SUMIF(INDIRECT(Equipo!$D$4&amp;"!B10:B1000"),$B47,INDIRECT(Equipo!$D$4&amp;"!"&amp;ADDRESS(10,COLUMN(G$9)+10)&amp;":"&amp;ADDRESS(1000,COLUMN(G$9)+10))),
SUMIF(INDIRECT(Equipo!$E$4&amp;"!B10:B1000"),$B47,INDIRECT(Equipo!$E$4&amp;"!"&amp;ADDRESS(10,COLUMN(G$9)+10)&amp;":"&amp;ADDRESS(1000,COLUMN(G$9)+10))),
SUMIF(INDIRECT(Equipo!$F$4&amp;"!B10:B1000"),$B47,INDIRECT(Equipo!$F$4&amp;"!"&amp;ADDRESS(10,COLUMN(G$9)+10)&amp;":"&amp;ADDRESS(1000,COLUMN(G$9)+10))),
SUMIF(INDIRECT(Equipo!$G$4&amp;"!B10:B1000"),$B47,INDIRECT(Equipo!$G$4&amp;"!"&amp;ADDRESS(10,COLUMN(G$9)+10)&amp;":"&amp;ADDRESS(1000,COLUMN(G$9)+10)))
))</f>
        <v>0</v>
      </c>
      <c r="H47" s="19">
        <f t="array" ref="H47">IF(ISBLANK(Tareas!$B43),"-",
SUM(
SUMIF(INDIRECT(Equipo!$C$4&amp;"!B10:B1000"),$B47,INDIRECT(Equipo!$C$4&amp;"!"&amp;ADDRESS(10,COLUMN(H$9)+10)&amp;":"&amp;ADDRESS(1000,COLUMN(H$9)+10))),
SUMIF(INDIRECT(Equipo!$D$4&amp;"!B10:B1000"),$B47,INDIRECT(Equipo!$D$4&amp;"!"&amp;ADDRESS(10,COLUMN(H$9)+10)&amp;":"&amp;ADDRESS(1000,COLUMN(H$9)+10))),
SUMIF(INDIRECT(Equipo!$E$4&amp;"!B10:B1000"),$B47,INDIRECT(Equipo!$E$4&amp;"!"&amp;ADDRESS(10,COLUMN(H$9)+10)&amp;":"&amp;ADDRESS(1000,COLUMN(H$9)+10))),
SUMIF(INDIRECT(Equipo!$F$4&amp;"!B10:B1000"),$B47,INDIRECT(Equipo!$F$4&amp;"!"&amp;ADDRESS(10,COLUMN(H$9)+10)&amp;":"&amp;ADDRESS(1000,COLUMN(H$9)+10))),
SUMIF(INDIRECT(Equipo!$G$4&amp;"!B10:B1000"),$B47,INDIRECT(Equipo!$G$4&amp;"!"&amp;ADDRESS(10,COLUMN(H$9)+10)&amp;":"&amp;ADDRESS(1000,COLUMN(H$9)+10)))
))</f>
        <v>0</v>
      </c>
      <c r="I47" s="19">
        <f t="array" ref="I47">IF(ISBLANK(Tareas!$B43),"-",
SUM(
SUMIF(INDIRECT(Equipo!$C$4&amp;"!B10:B1000"),$B47,INDIRECT(Equipo!$C$4&amp;"!"&amp;ADDRESS(10,COLUMN(I$9)+10)&amp;":"&amp;ADDRESS(1000,COLUMN(I$9)+10))),
SUMIF(INDIRECT(Equipo!$D$4&amp;"!B10:B1000"),$B47,INDIRECT(Equipo!$D$4&amp;"!"&amp;ADDRESS(10,COLUMN(I$9)+10)&amp;":"&amp;ADDRESS(1000,COLUMN(I$9)+10))),
SUMIF(INDIRECT(Equipo!$E$4&amp;"!B10:B1000"),$B47,INDIRECT(Equipo!$E$4&amp;"!"&amp;ADDRESS(10,COLUMN(I$9)+10)&amp;":"&amp;ADDRESS(1000,COLUMN(I$9)+10))),
SUMIF(INDIRECT(Equipo!$F$4&amp;"!B10:B1000"),$B47,INDIRECT(Equipo!$F$4&amp;"!"&amp;ADDRESS(10,COLUMN(I$9)+10)&amp;":"&amp;ADDRESS(1000,COLUMN(I$9)+10))),
SUMIF(INDIRECT(Equipo!$G$4&amp;"!B10:B1000"),$B47,INDIRECT(Equipo!$G$4&amp;"!"&amp;ADDRESS(10,COLUMN(I$9)+10)&amp;":"&amp;ADDRESS(1000,COLUMN(I$9)+10)))
))</f>
        <v>0</v>
      </c>
      <c r="J47" s="19">
        <f t="array" ref="J47">IF(ISBLANK(Tareas!$B43),"-",
SUM(
SUMIF(INDIRECT(Equipo!$C$4&amp;"!B10:B1000"),$B47,INDIRECT(Equipo!$C$4&amp;"!"&amp;ADDRESS(10,COLUMN(J$9)+10)&amp;":"&amp;ADDRESS(1000,COLUMN(J$9)+10))),
SUMIF(INDIRECT(Equipo!$D$4&amp;"!B10:B1000"),$B47,INDIRECT(Equipo!$D$4&amp;"!"&amp;ADDRESS(10,COLUMN(J$9)+10)&amp;":"&amp;ADDRESS(1000,COLUMN(J$9)+10))),
SUMIF(INDIRECT(Equipo!$E$4&amp;"!B10:B1000"),$B47,INDIRECT(Equipo!$E$4&amp;"!"&amp;ADDRESS(10,COLUMN(J$9)+10)&amp;":"&amp;ADDRESS(1000,COLUMN(J$9)+10))),
SUMIF(INDIRECT(Equipo!$F$4&amp;"!B10:B1000"),$B47,INDIRECT(Equipo!$F$4&amp;"!"&amp;ADDRESS(10,COLUMN(J$9)+10)&amp;":"&amp;ADDRESS(1000,COLUMN(J$9)+10))),
SUMIF(INDIRECT(Equipo!$G$4&amp;"!B10:B1000"),$B47,INDIRECT(Equipo!$G$4&amp;"!"&amp;ADDRESS(10,COLUMN(J$9)+10)&amp;":"&amp;ADDRESS(1000,COLUMN(J$9)+10)))
))</f>
        <v>1</v>
      </c>
      <c r="K47" s="19">
        <f t="array" ref="K47">IF(ISBLANK(Tareas!$B43),"-",
SUM(
SUMIF(INDIRECT(Equipo!$C$4&amp;"!B10:B1000"),$B47,INDIRECT(Equipo!$C$4&amp;"!"&amp;ADDRESS(10,COLUMN(K$9)+10)&amp;":"&amp;ADDRESS(1000,COLUMN(K$9)+10))),
SUMIF(INDIRECT(Equipo!$D$4&amp;"!B10:B1000"),$B47,INDIRECT(Equipo!$D$4&amp;"!"&amp;ADDRESS(10,COLUMN(K$9)+10)&amp;":"&amp;ADDRESS(1000,COLUMN(K$9)+10))),
SUMIF(INDIRECT(Equipo!$E$4&amp;"!B10:B1000"),$B47,INDIRECT(Equipo!$E$4&amp;"!"&amp;ADDRESS(10,COLUMN(K$9)+10)&amp;":"&amp;ADDRESS(1000,COLUMN(K$9)+10))),
SUMIF(INDIRECT(Equipo!$F$4&amp;"!B10:B1000"),$B47,INDIRECT(Equipo!$F$4&amp;"!"&amp;ADDRESS(10,COLUMN(K$9)+10)&amp;":"&amp;ADDRESS(1000,COLUMN(K$9)+10))),
SUMIF(INDIRECT(Equipo!$G$4&amp;"!B10:B1000"),$B47,INDIRECT(Equipo!$G$4&amp;"!"&amp;ADDRESS(10,COLUMN(K$9)+10)&amp;":"&amp;ADDRESS(1000,COLUMN(K$9)+10)))
))</f>
        <v>0</v>
      </c>
    </row>
    <row r="48" ht="15.75" customHeight="1">
      <c r="B48" s="1" t="str">
        <f>IF(ISBLANK(Tareas!B44)," - ",Tareas!B44)</f>
        <v>39. Revisión de las incidencias detectadas</v>
      </c>
      <c r="C48" s="19">
        <f>IF(ISBLANK(Tareas!$B44),"-",SUM(D48:M48))</f>
        <v>1.3</v>
      </c>
      <c r="D48" s="19">
        <f t="array" ref="D48">IF(ISBLANK(Tareas!$B44),"-",
SUM(
SUMIF(INDIRECT(Equipo!$C$4&amp;"!B10:B1000"),$B48,INDIRECT(Equipo!$C$4&amp;"!"&amp;ADDRESS(10,COLUMN(D$9)+10)&amp;":"&amp;ADDRESS(1000,COLUMN(D$9)+10))),
SUMIF(INDIRECT(Equipo!$D$4&amp;"!B10:B1000"),$B48,INDIRECT(Equipo!$D$4&amp;"!"&amp;ADDRESS(10,COLUMN(D$9)+10)&amp;":"&amp;ADDRESS(1000,COLUMN(D$9)+10))),
SUMIF(INDIRECT(Equipo!$E$4&amp;"!B10:B1000"),$B48,INDIRECT(Equipo!$E$4&amp;"!"&amp;ADDRESS(10,COLUMN(D$9)+10)&amp;":"&amp;ADDRESS(1000,COLUMN(D$9)+10))),
SUMIF(INDIRECT(Equipo!$F$4&amp;"!B10:B1000"),$B48,INDIRECT(Equipo!$F$4&amp;"!"&amp;ADDRESS(10,COLUMN(D$9)+10)&amp;":"&amp;ADDRESS(1000,COLUMN(D$9)+10))),
SUMIF(INDIRECT(Equipo!$G$4&amp;"!B10:B1000"),$B48,INDIRECT(Equipo!$G$4&amp;"!"&amp;ADDRESS(10,COLUMN(D$9)+10)&amp;":"&amp;ADDRESS(1000,COLUMN(D$9)+10)))
))</f>
        <v>0</v>
      </c>
      <c r="E48" s="19">
        <f t="array" ref="E48">IF(ISBLANK(Tareas!$B44),"-",
SUM(
SUMIF(INDIRECT(Equipo!$C$4&amp;"!B10:B1000"),$B48,INDIRECT(Equipo!$C$4&amp;"!"&amp;ADDRESS(10,COLUMN(E$9)+10)&amp;":"&amp;ADDRESS(1000,COLUMN(E$9)+10))),
SUMIF(INDIRECT(Equipo!$D$4&amp;"!B10:B1000"),$B48,INDIRECT(Equipo!$D$4&amp;"!"&amp;ADDRESS(10,COLUMN(E$9)+10)&amp;":"&amp;ADDRESS(1000,COLUMN(E$9)+10))),
SUMIF(INDIRECT(Equipo!$E$4&amp;"!B10:B1000"),$B48,INDIRECT(Equipo!$E$4&amp;"!"&amp;ADDRESS(10,COLUMN(E$9)+10)&amp;":"&amp;ADDRESS(1000,COLUMN(E$9)+10))),
SUMIF(INDIRECT(Equipo!$F$4&amp;"!B10:B1000"),$B48,INDIRECT(Equipo!$F$4&amp;"!"&amp;ADDRESS(10,COLUMN(E$9)+10)&amp;":"&amp;ADDRESS(1000,COLUMN(E$9)+10))),
SUMIF(INDIRECT(Equipo!$G$4&amp;"!B10:B1000"),$B48,INDIRECT(Equipo!$G$4&amp;"!"&amp;ADDRESS(10,COLUMN(E$9)+10)&amp;":"&amp;ADDRESS(1000,COLUMN(E$9)+10)))
))</f>
        <v>0</v>
      </c>
      <c r="F48" s="19">
        <f t="array" ref="F48">IF(ISBLANK(Tareas!$B44),"-",
SUM(
SUMIF(INDIRECT(Equipo!$C$4&amp;"!B10:B1000"),$B48,INDIRECT(Equipo!$C$4&amp;"!"&amp;ADDRESS(10,COLUMN(F$9)+10)&amp;":"&amp;ADDRESS(1000,COLUMN(F$9)+10))),
SUMIF(INDIRECT(Equipo!$D$4&amp;"!B10:B1000"),$B48,INDIRECT(Equipo!$D$4&amp;"!"&amp;ADDRESS(10,COLUMN(F$9)+10)&amp;":"&amp;ADDRESS(1000,COLUMN(F$9)+10))),
SUMIF(INDIRECT(Equipo!$E$4&amp;"!B10:B1000"),$B48,INDIRECT(Equipo!$E$4&amp;"!"&amp;ADDRESS(10,COLUMN(F$9)+10)&amp;":"&amp;ADDRESS(1000,COLUMN(F$9)+10))),
SUMIF(INDIRECT(Equipo!$F$4&amp;"!B10:B1000"),$B48,INDIRECT(Equipo!$F$4&amp;"!"&amp;ADDRESS(10,COLUMN(F$9)+10)&amp;":"&amp;ADDRESS(1000,COLUMN(F$9)+10))),
SUMIF(INDIRECT(Equipo!$G$4&amp;"!B10:B1000"),$B48,INDIRECT(Equipo!$G$4&amp;"!"&amp;ADDRESS(10,COLUMN(F$9)+10)&amp;":"&amp;ADDRESS(1000,COLUMN(F$9)+10)))
))</f>
        <v>0</v>
      </c>
      <c r="G48" s="19">
        <f t="array" ref="G48">IF(ISBLANK(Tareas!$B44),"-",
SUM(
SUMIF(INDIRECT(Equipo!$C$4&amp;"!B10:B1000"),$B48,INDIRECT(Equipo!$C$4&amp;"!"&amp;ADDRESS(10,COLUMN(G$9)+10)&amp;":"&amp;ADDRESS(1000,COLUMN(G$9)+10))),
SUMIF(INDIRECT(Equipo!$D$4&amp;"!B10:B1000"),$B48,INDIRECT(Equipo!$D$4&amp;"!"&amp;ADDRESS(10,COLUMN(G$9)+10)&amp;":"&amp;ADDRESS(1000,COLUMN(G$9)+10))),
SUMIF(INDIRECT(Equipo!$E$4&amp;"!B10:B1000"),$B48,INDIRECT(Equipo!$E$4&amp;"!"&amp;ADDRESS(10,COLUMN(G$9)+10)&amp;":"&amp;ADDRESS(1000,COLUMN(G$9)+10))),
SUMIF(INDIRECT(Equipo!$F$4&amp;"!B10:B1000"),$B48,INDIRECT(Equipo!$F$4&amp;"!"&amp;ADDRESS(10,COLUMN(G$9)+10)&amp;":"&amp;ADDRESS(1000,COLUMN(G$9)+10))),
SUMIF(INDIRECT(Equipo!$G$4&amp;"!B10:B1000"),$B48,INDIRECT(Equipo!$G$4&amp;"!"&amp;ADDRESS(10,COLUMN(G$9)+10)&amp;":"&amp;ADDRESS(1000,COLUMN(G$9)+10)))
))</f>
        <v>0</v>
      </c>
      <c r="H48" s="19">
        <f t="array" ref="H48">IF(ISBLANK(Tareas!$B44),"-",
SUM(
SUMIF(INDIRECT(Equipo!$C$4&amp;"!B10:B1000"),$B48,INDIRECT(Equipo!$C$4&amp;"!"&amp;ADDRESS(10,COLUMN(H$9)+10)&amp;":"&amp;ADDRESS(1000,COLUMN(H$9)+10))),
SUMIF(INDIRECT(Equipo!$D$4&amp;"!B10:B1000"),$B48,INDIRECT(Equipo!$D$4&amp;"!"&amp;ADDRESS(10,COLUMN(H$9)+10)&amp;":"&amp;ADDRESS(1000,COLUMN(H$9)+10))),
SUMIF(INDIRECT(Equipo!$E$4&amp;"!B10:B1000"),$B48,INDIRECT(Equipo!$E$4&amp;"!"&amp;ADDRESS(10,COLUMN(H$9)+10)&amp;":"&amp;ADDRESS(1000,COLUMN(H$9)+10))),
SUMIF(INDIRECT(Equipo!$F$4&amp;"!B10:B1000"),$B48,INDIRECT(Equipo!$F$4&amp;"!"&amp;ADDRESS(10,COLUMN(H$9)+10)&amp;":"&amp;ADDRESS(1000,COLUMN(H$9)+10))),
SUMIF(INDIRECT(Equipo!$G$4&amp;"!B10:B1000"),$B48,INDIRECT(Equipo!$G$4&amp;"!"&amp;ADDRESS(10,COLUMN(H$9)+10)&amp;":"&amp;ADDRESS(1000,COLUMN(H$9)+10)))
))</f>
        <v>0</v>
      </c>
      <c r="I48" s="19">
        <f t="array" ref="I48">IF(ISBLANK(Tareas!$B44),"-",
SUM(
SUMIF(INDIRECT(Equipo!$C$4&amp;"!B10:B1000"),$B48,INDIRECT(Equipo!$C$4&amp;"!"&amp;ADDRESS(10,COLUMN(I$9)+10)&amp;":"&amp;ADDRESS(1000,COLUMN(I$9)+10))),
SUMIF(INDIRECT(Equipo!$D$4&amp;"!B10:B1000"),$B48,INDIRECT(Equipo!$D$4&amp;"!"&amp;ADDRESS(10,COLUMN(I$9)+10)&amp;":"&amp;ADDRESS(1000,COLUMN(I$9)+10))),
SUMIF(INDIRECT(Equipo!$E$4&amp;"!B10:B1000"),$B48,INDIRECT(Equipo!$E$4&amp;"!"&amp;ADDRESS(10,COLUMN(I$9)+10)&amp;":"&amp;ADDRESS(1000,COLUMN(I$9)+10))),
SUMIF(INDIRECT(Equipo!$F$4&amp;"!B10:B1000"),$B48,INDIRECT(Equipo!$F$4&amp;"!"&amp;ADDRESS(10,COLUMN(I$9)+10)&amp;":"&amp;ADDRESS(1000,COLUMN(I$9)+10))),
SUMIF(INDIRECT(Equipo!$G$4&amp;"!B10:B1000"),$B48,INDIRECT(Equipo!$G$4&amp;"!"&amp;ADDRESS(10,COLUMN(I$9)+10)&amp;":"&amp;ADDRESS(1000,COLUMN(I$9)+10)))
))</f>
        <v>0</v>
      </c>
      <c r="J48" s="19">
        <f t="array" ref="J48">IF(ISBLANK(Tareas!$B44),"-",
SUM(
SUMIF(INDIRECT(Equipo!$C$4&amp;"!B10:B1000"),$B48,INDIRECT(Equipo!$C$4&amp;"!"&amp;ADDRESS(10,COLUMN(J$9)+10)&amp;":"&amp;ADDRESS(1000,COLUMN(J$9)+10))),
SUMIF(INDIRECT(Equipo!$D$4&amp;"!B10:B1000"),$B48,INDIRECT(Equipo!$D$4&amp;"!"&amp;ADDRESS(10,COLUMN(J$9)+10)&amp;":"&amp;ADDRESS(1000,COLUMN(J$9)+10))),
SUMIF(INDIRECT(Equipo!$E$4&amp;"!B10:B1000"),$B48,INDIRECT(Equipo!$E$4&amp;"!"&amp;ADDRESS(10,COLUMN(J$9)+10)&amp;":"&amp;ADDRESS(1000,COLUMN(J$9)+10))),
SUMIF(INDIRECT(Equipo!$F$4&amp;"!B10:B1000"),$B48,INDIRECT(Equipo!$F$4&amp;"!"&amp;ADDRESS(10,COLUMN(J$9)+10)&amp;":"&amp;ADDRESS(1000,COLUMN(J$9)+10))),
SUMIF(INDIRECT(Equipo!$G$4&amp;"!B10:B1000"),$B48,INDIRECT(Equipo!$G$4&amp;"!"&amp;ADDRESS(10,COLUMN(J$9)+10)&amp;":"&amp;ADDRESS(1000,COLUMN(J$9)+10)))
))</f>
        <v>1.3</v>
      </c>
      <c r="K48" s="19">
        <f t="array" ref="K48">IF(ISBLANK(Tareas!$B44),"-",
SUM(
SUMIF(INDIRECT(Equipo!$C$4&amp;"!B10:B1000"),$B48,INDIRECT(Equipo!$C$4&amp;"!"&amp;ADDRESS(10,COLUMN(K$9)+10)&amp;":"&amp;ADDRESS(1000,COLUMN(K$9)+10))),
SUMIF(INDIRECT(Equipo!$D$4&amp;"!B10:B1000"),$B48,INDIRECT(Equipo!$D$4&amp;"!"&amp;ADDRESS(10,COLUMN(K$9)+10)&amp;":"&amp;ADDRESS(1000,COLUMN(K$9)+10))),
SUMIF(INDIRECT(Equipo!$E$4&amp;"!B10:B1000"),$B48,INDIRECT(Equipo!$E$4&amp;"!"&amp;ADDRESS(10,COLUMN(K$9)+10)&amp;":"&amp;ADDRESS(1000,COLUMN(K$9)+10))),
SUMIF(INDIRECT(Equipo!$F$4&amp;"!B10:B1000"),$B48,INDIRECT(Equipo!$F$4&amp;"!"&amp;ADDRESS(10,COLUMN(K$9)+10)&amp;":"&amp;ADDRESS(1000,COLUMN(K$9)+10))),
SUMIF(INDIRECT(Equipo!$G$4&amp;"!B10:B1000"),$B48,INDIRECT(Equipo!$G$4&amp;"!"&amp;ADDRESS(10,COLUMN(K$9)+10)&amp;":"&amp;ADDRESS(1000,COLUMN(K$9)+10)))
))</f>
        <v>0</v>
      </c>
    </row>
    <row r="49" ht="15.75" customHeight="1">
      <c r="B49" s="1" t="str">
        <f>IF(ISBLANK(Tareas!B45)," - ",Tareas!B45)</f>
        <v>40. Implementación de la gestión de degustaciones</v>
      </c>
      <c r="C49" s="19">
        <f>IF(ISBLANK(Tareas!$B45),"-",SUM(D49:M49))</f>
        <v>3</v>
      </c>
      <c r="D49" s="19">
        <f t="array" ref="D49">IF(ISBLANK(Tareas!$B45),"-",
SUM(
SUMIF(INDIRECT(Equipo!$C$4&amp;"!B10:B1000"),$B49,INDIRECT(Equipo!$C$4&amp;"!"&amp;ADDRESS(10,COLUMN(D$9)+10)&amp;":"&amp;ADDRESS(1000,COLUMN(D$9)+10))),
SUMIF(INDIRECT(Equipo!$D$4&amp;"!B10:B1000"),$B49,INDIRECT(Equipo!$D$4&amp;"!"&amp;ADDRESS(10,COLUMN(D$9)+10)&amp;":"&amp;ADDRESS(1000,COLUMN(D$9)+10))),
SUMIF(INDIRECT(Equipo!$E$4&amp;"!B10:B1000"),$B49,INDIRECT(Equipo!$E$4&amp;"!"&amp;ADDRESS(10,COLUMN(D$9)+10)&amp;":"&amp;ADDRESS(1000,COLUMN(D$9)+10))),
SUMIF(INDIRECT(Equipo!$F$4&amp;"!B10:B1000"),$B49,INDIRECT(Equipo!$F$4&amp;"!"&amp;ADDRESS(10,COLUMN(D$9)+10)&amp;":"&amp;ADDRESS(1000,COLUMN(D$9)+10))),
SUMIF(INDIRECT(Equipo!$G$4&amp;"!B10:B1000"),$B49,INDIRECT(Equipo!$G$4&amp;"!"&amp;ADDRESS(10,COLUMN(D$9)+10)&amp;":"&amp;ADDRESS(1000,COLUMN(D$9)+10)))
))</f>
        <v>0</v>
      </c>
      <c r="E49" s="19">
        <f t="array" ref="E49">IF(ISBLANK(Tareas!$B45),"-",
SUM(
SUMIF(INDIRECT(Equipo!$C$4&amp;"!B10:B1000"),$B49,INDIRECT(Equipo!$C$4&amp;"!"&amp;ADDRESS(10,COLUMN(E$9)+10)&amp;":"&amp;ADDRESS(1000,COLUMN(E$9)+10))),
SUMIF(INDIRECT(Equipo!$D$4&amp;"!B10:B1000"),$B49,INDIRECT(Equipo!$D$4&amp;"!"&amp;ADDRESS(10,COLUMN(E$9)+10)&amp;":"&amp;ADDRESS(1000,COLUMN(E$9)+10))),
SUMIF(INDIRECT(Equipo!$E$4&amp;"!B10:B1000"),$B49,INDIRECT(Equipo!$E$4&amp;"!"&amp;ADDRESS(10,COLUMN(E$9)+10)&amp;":"&amp;ADDRESS(1000,COLUMN(E$9)+10))),
SUMIF(INDIRECT(Equipo!$F$4&amp;"!B10:B1000"),$B49,INDIRECT(Equipo!$F$4&amp;"!"&amp;ADDRESS(10,COLUMN(E$9)+10)&amp;":"&amp;ADDRESS(1000,COLUMN(E$9)+10))),
SUMIF(INDIRECT(Equipo!$G$4&amp;"!B10:B1000"),$B49,INDIRECT(Equipo!$G$4&amp;"!"&amp;ADDRESS(10,COLUMN(E$9)+10)&amp;":"&amp;ADDRESS(1000,COLUMN(E$9)+10)))
))</f>
        <v>0</v>
      </c>
      <c r="F49" s="19">
        <f t="array" ref="F49">IF(ISBLANK(Tareas!$B45),"-",
SUM(
SUMIF(INDIRECT(Equipo!$C$4&amp;"!B10:B1000"),$B49,INDIRECT(Equipo!$C$4&amp;"!"&amp;ADDRESS(10,COLUMN(F$9)+10)&amp;":"&amp;ADDRESS(1000,COLUMN(F$9)+10))),
SUMIF(INDIRECT(Equipo!$D$4&amp;"!B10:B1000"),$B49,INDIRECT(Equipo!$D$4&amp;"!"&amp;ADDRESS(10,COLUMN(F$9)+10)&amp;":"&amp;ADDRESS(1000,COLUMN(F$9)+10))),
SUMIF(INDIRECT(Equipo!$E$4&amp;"!B10:B1000"),$B49,INDIRECT(Equipo!$E$4&amp;"!"&amp;ADDRESS(10,COLUMN(F$9)+10)&amp;":"&amp;ADDRESS(1000,COLUMN(F$9)+10))),
SUMIF(INDIRECT(Equipo!$F$4&amp;"!B10:B1000"),$B49,INDIRECT(Equipo!$F$4&amp;"!"&amp;ADDRESS(10,COLUMN(F$9)+10)&amp;":"&amp;ADDRESS(1000,COLUMN(F$9)+10))),
SUMIF(INDIRECT(Equipo!$G$4&amp;"!B10:B1000"),$B49,INDIRECT(Equipo!$G$4&amp;"!"&amp;ADDRESS(10,COLUMN(F$9)+10)&amp;":"&amp;ADDRESS(1000,COLUMN(F$9)+10)))
))</f>
        <v>0</v>
      </c>
      <c r="G49" s="19">
        <f t="array" ref="G49">IF(ISBLANK(Tareas!$B45),"-",
SUM(
SUMIF(INDIRECT(Equipo!$C$4&amp;"!B10:B1000"),$B49,INDIRECT(Equipo!$C$4&amp;"!"&amp;ADDRESS(10,COLUMN(G$9)+10)&amp;":"&amp;ADDRESS(1000,COLUMN(G$9)+10))),
SUMIF(INDIRECT(Equipo!$D$4&amp;"!B10:B1000"),$B49,INDIRECT(Equipo!$D$4&amp;"!"&amp;ADDRESS(10,COLUMN(G$9)+10)&amp;":"&amp;ADDRESS(1000,COLUMN(G$9)+10))),
SUMIF(INDIRECT(Equipo!$E$4&amp;"!B10:B1000"),$B49,INDIRECT(Equipo!$E$4&amp;"!"&amp;ADDRESS(10,COLUMN(G$9)+10)&amp;":"&amp;ADDRESS(1000,COLUMN(G$9)+10))),
SUMIF(INDIRECT(Equipo!$F$4&amp;"!B10:B1000"),$B49,INDIRECT(Equipo!$F$4&amp;"!"&amp;ADDRESS(10,COLUMN(G$9)+10)&amp;":"&amp;ADDRESS(1000,COLUMN(G$9)+10))),
SUMIF(INDIRECT(Equipo!$G$4&amp;"!B10:B1000"),$B49,INDIRECT(Equipo!$G$4&amp;"!"&amp;ADDRESS(10,COLUMN(G$9)+10)&amp;":"&amp;ADDRESS(1000,COLUMN(G$9)+10)))
))</f>
        <v>0</v>
      </c>
      <c r="H49" s="19">
        <f t="array" ref="H49">IF(ISBLANK(Tareas!$B45),"-",
SUM(
SUMIF(INDIRECT(Equipo!$C$4&amp;"!B10:B1000"),$B49,INDIRECT(Equipo!$C$4&amp;"!"&amp;ADDRESS(10,COLUMN(H$9)+10)&amp;":"&amp;ADDRESS(1000,COLUMN(H$9)+10))),
SUMIF(INDIRECT(Equipo!$D$4&amp;"!B10:B1000"),$B49,INDIRECT(Equipo!$D$4&amp;"!"&amp;ADDRESS(10,COLUMN(H$9)+10)&amp;":"&amp;ADDRESS(1000,COLUMN(H$9)+10))),
SUMIF(INDIRECT(Equipo!$E$4&amp;"!B10:B1000"),$B49,INDIRECT(Equipo!$E$4&amp;"!"&amp;ADDRESS(10,COLUMN(H$9)+10)&amp;":"&amp;ADDRESS(1000,COLUMN(H$9)+10))),
SUMIF(INDIRECT(Equipo!$F$4&amp;"!B10:B1000"),$B49,INDIRECT(Equipo!$F$4&amp;"!"&amp;ADDRESS(10,COLUMN(H$9)+10)&amp;":"&amp;ADDRESS(1000,COLUMN(H$9)+10))),
SUMIF(INDIRECT(Equipo!$G$4&amp;"!B10:B1000"),$B49,INDIRECT(Equipo!$G$4&amp;"!"&amp;ADDRESS(10,COLUMN(H$9)+10)&amp;":"&amp;ADDRESS(1000,COLUMN(H$9)+10)))
))</f>
        <v>0</v>
      </c>
      <c r="I49" s="19">
        <f t="array" ref="I49">IF(ISBLANK(Tareas!$B45),"-",
SUM(
SUMIF(INDIRECT(Equipo!$C$4&amp;"!B10:B1000"),$B49,INDIRECT(Equipo!$C$4&amp;"!"&amp;ADDRESS(10,COLUMN(I$9)+10)&amp;":"&amp;ADDRESS(1000,COLUMN(I$9)+10))),
SUMIF(INDIRECT(Equipo!$D$4&amp;"!B10:B1000"),$B49,INDIRECT(Equipo!$D$4&amp;"!"&amp;ADDRESS(10,COLUMN(I$9)+10)&amp;":"&amp;ADDRESS(1000,COLUMN(I$9)+10))),
SUMIF(INDIRECT(Equipo!$E$4&amp;"!B10:B1000"),$B49,INDIRECT(Equipo!$E$4&amp;"!"&amp;ADDRESS(10,COLUMN(I$9)+10)&amp;":"&amp;ADDRESS(1000,COLUMN(I$9)+10))),
SUMIF(INDIRECT(Equipo!$F$4&amp;"!B10:B1000"),$B49,INDIRECT(Equipo!$F$4&amp;"!"&amp;ADDRESS(10,COLUMN(I$9)+10)&amp;":"&amp;ADDRESS(1000,COLUMN(I$9)+10))),
SUMIF(INDIRECT(Equipo!$G$4&amp;"!B10:B1000"),$B49,INDIRECT(Equipo!$G$4&amp;"!"&amp;ADDRESS(10,COLUMN(I$9)+10)&amp;":"&amp;ADDRESS(1000,COLUMN(I$9)+10)))
))</f>
        <v>0</v>
      </c>
      <c r="J49" s="19">
        <f t="array" ref="J49">IF(ISBLANK(Tareas!$B45),"-",
SUM(
SUMIF(INDIRECT(Equipo!$C$4&amp;"!B10:B1000"),$B49,INDIRECT(Equipo!$C$4&amp;"!"&amp;ADDRESS(10,COLUMN(J$9)+10)&amp;":"&amp;ADDRESS(1000,COLUMN(J$9)+10))),
SUMIF(INDIRECT(Equipo!$D$4&amp;"!B10:B1000"),$B49,INDIRECT(Equipo!$D$4&amp;"!"&amp;ADDRESS(10,COLUMN(J$9)+10)&amp;":"&amp;ADDRESS(1000,COLUMN(J$9)+10))),
SUMIF(INDIRECT(Equipo!$E$4&amp;"!B10:B1000"),$B49,INDIRECT(Equipo!$E$4&amp;"!"&amp;ADDRESS(10,COLUMN(J$9)+10)&amp;":"&amp;ADDRESS(1000,COLUMN(J$9)+10))),
SUMIF(INDIRECT(Equipo!$F$4&amp;"!B10:B1000"),$B49,INDIRECT(Equipo!$F$4&amp;"!"&amp;ADDRESS(10,COLUMN(J$9)+10)&amp;":"&amp;ADDRESS(1000,COLUMN(J$9)+10))),
SUMIF(INDIRECT(Equipo!$G$4&amp;"!B10:B1000"),$B49,INDIRECT(Equipo!$G$4&amp;"!"&amp;ADDRESS(10,COLUMN(J$9)+10)&amp;":"&amp;ADDRESS(1000,COLUMN(J$9)+10)))
))</f>
        <v>3</v>
      </c>
      <c r="K49" s="19">
        <f t="array" ref="K49">IF(ISBLANK(Tareas!$B45),"-",
SUM(
SUMIF(INDIRECT(Equipo!$C$4&amp;"!B10:B1000"),$B49,INDIRECT(Equipo!$C$4&amp;"!"&amp;ADDRESS(10,COLUMN(K$9)+10)&amp;":"&amp;ADDRESS(1000,COLUMN(K$9)+10))),
SUMIF(INDIRECT(Equipo!$D$4&amp;"!B10:B1000"),$B49,INDIRECT(Equipo!$D$4&amp;"!"&amp;ADDRESS(10,COLUMN(K$9)+10)&amp;":"&amp;ADDRESS(1000,COLUMN(K$9)+10))),
SUMIF(INDIRECT(Equipo!$E$4&amp;"!B10:B1000"),$B49,INDIRECT(Equipo!$E$4&amp;"!"&amp;ADDRESS(10,COLUMN(K$9)+10)&amp;":"&amp;ADDRESS(1000,COLUMN(K$9)+10))),
SUMIF(INDIRECT(Equipo!$F$4&amp;"!B10:B1000"),$B49,INDIRECT(Equipo!$F$4&amp;"!"&amp;ADDRESS(10,COLUMN(K$9)+10)&amp;":"&amp;ADDRESS(1000,COLUMN(K$9)+10))),
SUMIF(INDIRECT(Equipo!$G$4&amp;"!B10:B1000"),$B49,INDIRECT(Equipo!$G$4&amp;"!"&amp;ADDRESS(10,COLUMN(K$9)+10)&amp;":"&amp;ADDRESS(1000,COLUMN(K$9)+10)))
))</f>
        <v>0</v>
      </c>
    </row>
    <row r="50" ht="15.75" customHeight="1">
      <c r="B50" s="1" t="str">
        <f>IF(ISBLANK(Tareas!B46)," - ",Tareas!B46)</f>
        <v>41. Implementación de la pantalla principal (feed y menú)</v>
      </c>
      <c r="C50" s="19">
        <f>IF(ISBLANK(Tareas!$B46),"-",SUM(D50:M50))</f>
        <v>4</v>
      </c>
      <c r="D50" s="19">
        <f t="array" ref="D50">IF(ISBLANK(Tareas!$B46),"-",
SUM(
SUMIF(INDIRECT(Equipo!$C$4&amp;"!B10:B1000"),$B50,INDIRECT(Equipo!$C$4&amp;"!"&amp;ADDRESS(10,COLUMN(D$9)+10)&amp;":"&amp;ADDRESS(1000,COLUMN(D$9)+10))),
SUMIF(INDIRECT(Equipo!$D$4&amp;"!B10:B1000"),$B50,INDIRECT(Equipo!$D$4&amp;"!"&amp;ADDRESS(10,COLUMN(D$9)+10)&amp;":"&amp;ADDRESS(1000,COLUMN(D$9)+10))),
SUMIF(INDIRECT(Equipo!$E$4&amp;"!B10:B1000"),$B50,INDIRECT(Equipo!$E$4&amp;"!"&amp;ADDRESS(10,COLUMN(D$9)+10)&amp;":"&amp;ADDRESS(1000,COLUMN(D$9)+10))),
SUMIF(INDIRECT(Equipo!$F$4&amp;"!B10:B1000"),$B50,INDIRECT(Equipo!$F$4&amp;"!"&amp;ADDRESS(10,COLUMN(D$9)+10)&amp;":"&amp;ADDRESS(1000,COLUMN(D$9)+10))),
SUMIF(INDIRECT(Equipo!$G$4&amp;"!B10:B1000"),$B50,INDIRECT(Equipo!$G$4&amp;"!"&amp;ADDRESS(10,COLUMN(D$9)+10)&amp;":"&amp;ADDRESS(1000,COLUMN(D$9)+10)))
))</f>
        <v>0</v>
      </c>
      <c r="E50" s="19">
        <f t="array" ref="E50">IF(ISBLANK(Tareas!$B46),"-",
SUM(
SUMIF(INDIRECT(Equipo!$C$4&amp;"!B10:B1000"),$B50,INDIRECT(Equipo!$C$4&amp;"!"&amp;ADDRESS(10,COLUMN(E$9)+10)&amp;":"&amp;ADDRESS(1000,COLUMN(E$9)+10))),
SUMIF(INDIRECT(Equipo!$D$4&amp;"!B10:B1000"),$B50,INDIRECT(Equipo!$D$4&amp;"!"&amp;ADDRESS(10,COLUMN(E$9)+10)&amp;":"&amp;ADDRESS(1000,COLUMN(E$9)+10))),
SUMIF(INDIRECT(Equipo!$E$4&amp;"!B10:B1000"),$B50,INDIRECT(Equipo!$E$4&amp;"!"&amp;ADDRESS(10,COLUMN(E$9)+10)&amp;":"&amp;ADDRESS(1000,COLUMN(E$9)+10))),
SUMIF(INDIRECT(Equipo!$F$4&amp;"!B10:B1000"),$B50,INDIRECT(Equipo!$F$4&amp;"!"&amp;ADDRESS(10,COLUMN(E$9)+10)&amp;":"&amp;ADDRESS(1000,COLUMN(E$9)+10))),
SUMIF(INDIRECT(Equipo!$G$4&amp;"!B10:B1000"),$B50,INDIRECT(Equipo!$G$4&amp;"!"&amp;ADDRESS(10,COLUMN(E$9)+10)&amp;":"&amp;ADDRESS(1000,COLUMN(E$9)+10)))
))</f>
        <v>0</v>
      </c>
      <c r="F50" s="19">
        <f t="array" ref="F50">IF(ISBLANK(Tareas!$B46),"-",
SUM(
SUMIF(INDIRECT(Equipo!$C$4&amp;"!B10:B1000"),$B50,INDIRECT(Equipo!$C$4&amp;"!"&amp;ADDRESS(10,COLUMN(F$9)+10)&amp;":"&amp;ADDRESS(1000,COLUMN(F$9)+10))),
SUMIF(INDIRECT(Equipo!$D$4&amp;"!B10:B1000"),$B50,INDIRECT(Equipo!$D$4&amp;"!"&amp;ADDRESS(10,COLUMN(F$9)+10)&amp;":"&amp;ADDRESS(1000,COLUMN(F$9)+10))),
SUMIF(INDIRECT(Equipo!$E$4&amp;"!B10:B1000"),$B50,INDIRECT(Equipo!$E$4&amp;"!"&amp;ADDRESS(10,COLUMN(F$9)+10)&amp;":"&amp;ADDRESS(1000,COLUMN(F$9)+10))),
SUMIF(INDIRECT(Equipo!$F$4&amp;"!B10:B1000"),$B50,INDIRECT(Equipo!$F$4&amp;"!"&amp;ADDRESS(10,COLUMN(F$9)+10)&amp;":"&amp;ADDRESS(1000,COLUMN(F$9)+10))),
SUMIF(INDIRECT(Equipo!$G$4&amp;"!B10:B1000"),$B50,INDIRECT(Equipo!$G$4&amp;"!"&amp;ADDRESS(10,COLUMN(F$9)+10)&amp;":"&amp;ADDRESS(1000,COLUMN(F$9)+10)))
))</f>
        <v>0</v>
      </c>
      <c r="G50" s="19">
        <f t="array" ref="G50">IF(ISBLANK(Tareas!$B46),"-",
SUM(
SUMIF(INDIRECT(Equipo!$C$4&amp;"!B10:B1000"),$B50,INDIRECT(Equipo!$C$4&amp;"!"&amp;ADDRESS(10,COLUMN(G$9)+10)&amp;":"&amp;ADDRESS(1000,COLUMN(G$9)+10))),
SUMIF(INDIRECT(Equipo!$D$4&amp;"!B10:B1000"),$B50,INDIRECT(Equipo!$D$4&amp;"!"&amp;ADDRESS(10,COLUMN(G$9)+10)&amp;":"&amp;ADDRESS(1000,COLUMN(G$9)+10))),
SUMIF(INDIRECT(Equipo!$E$4&amp;"!B10:B1000"),$B50,INDIRECT(Equipo!$E$4&amp;"!"&amp;ADDRESS(10,COLUMN(G$9)+10)&amp;":"&amp;ADDRESS(1000,COLUMN(G$9)+10))),
SUMIF(INDIRECT(Equipo!$F$4&amp;"!B10:B1000"),$B50,INDIRECT(Equipo!$F$4&amp;"!"&amp;ADDRESS(10,COLUMN(G$9)+10)&amp;":"&amp;ADDRESS(1000,COLUMN(G$9)+10))),
SUMIF(INDIRECT(Equipo!$G$4&amp;"!B10:B1000"),$B50,INDIRECT(Equipo!$G$4&amp;"!"&amp;ADDRESS(10,COLUMN(G$9)+10)&amp;":"&amp;ADDRESS(1000,COLUMN(G$9)+10)))
))</f>
        <v>0</v>
      </c>
      <c r="H50" s="19">
        <f t="array" ref="H50">IF(ISBLANK(Tareas!$B46),"-",
SUM(
SUMIF(INDIRECT(Equipo!$C$4&amp;"!B10:B1000"),$B50,INDIRECT(Equipo!$C$4&amp;"!"&amp;ADDRESS(10,COLUMN(H$9)+10)&amp;":"&amp;ADDRESS(1000,COLUMN(H$9)+10))),
SUMIF(INDIRECT(Equipo!$D$4&amp;"!B10:B1000"),$B50,INDIRECT(Equipo!$D$4&amp;"!"&amp;ADDRESS(10,COLUMN(H$9)+10)&amp;":"&amp;ADDRESS(1000,COLUMN(H$9)+10))),
SUMIF(INDIRECT(Equipo!$E$4&amp;"!B10:B1000"),$B50,INDIRECT(Equipo!$E$4&amp;"!"&amp;ADDRESS(10,COLUMN(H$9)+10)&amp;":"&amp;ADDRESS(1000,COLUMN(H$9)+10))),
SUMIF(INDIRECT(Equipo!$F$4&amp;"!B10:B1000"),$B50,INDIRECT(Equipo!$F$4&amp;"!"&amp;ADDRESS(10,COLUMN(H$9)+10)&amp;":"&amp;ADDRESS(1000,COLUMN(H$9)+10))),
SUMIF(INDIRECT(Equipo!$G$4&amp;"!B10:B1000"),$B50,INDIRECT(Equipo!$G$4&amp;"!"&amp;ADDRESS(10,COLUMN(H$9)+10)&amp;":"&amp;ADDRESS(1000,COLUMN(H$9)+10)))
))</f>
        <v>0</v>
      </c>
      <c r="I50" s="19">
        <f t="array" ref="I50">IF(ISBLANK(Tareas!$B46),"-",
SUM(
SUMIF(INDIRECT(Equipo!$C$4&amp;"!B10:B1000"),$B50,INDIRECT(Equipo!$C$4&amp;"!"&amp;ADDRESS(10,COLUMN(I$9)+10)&amp;":"&amp;ADDRESS(1000,COLUMN(I$9)+10))),
SUMIF(INDIRECT(Equipo!$D$4&amp;"!B10:B1000"),$B50,INDIRECT(Equipo!$D$4&amp;"!"&amp;ADDRESS(10,COLUMN(I$9)+10)&amp;":"&amp;ADDRESS(1000,COLUMN(I$9)+10))),
SUMIF(INDIRECT(Equipo!$E$4&amp;"!B10:B1000"),$B50,INDIRECT(Equipo!$E$4&amp;"!"&amp;ADDRESS(10,COLUMN(I$9)+10)&amp;":"&amp;ADDRESS(1000,COLUMN(I$9)+10))),
SUMIF(INDIRECT(Equipo!$F$4&amp;"!B10:B1000"),$B50,INDIRECT(Equipo!$F$4&amp;"!"&amp;ADDRESS(10,COLUMN(I$9)+10)&amp;":"&amp;ADDRESS(1000,COLUMN(I$9)+10))),
SUMIF(INDIRECT(Equipo!$G$4&amp;"!B10:B1000"),$B50,INDIRECT(Equipo!$G$4&amp;"!"&amp;ADDRESS(10,COLUMN(I$9)+10)&amp;":"&amp;ADDRESS(1000,COLUMN(I$9)+10)))
))</f>
        <v>0</v>
      </c>
      <c r="J50" s="19">
        <f t="array" ref="J50">IF(ISBLANK(Tareas!$B46),"-",
SUM(
SUMIF(INDIRECT(Equipo!$C$4&amp;"!B10:B1000"),$B50,INDIRECT(Equipo!$C$4&amp;"!"&amp;ADDRESS(10,COLUMN(J$9)+10)&amp;":"&amp;ADDRESS(1000,COLUMN(J$9)+10))),
SUMIF(INDIRECT(Equipo!$D$4&amp;"!B10:B1000"),$B50,INDIRECT(Equipo!$D$4&amp;"!"&amp;ADDRESS(10,COLUMN(J$9)+10)&amp;":"&amp;ADDRESS(1000,COLUMN(J$9)+10))),
SUMIF(INDIRECT(Equipo!$E$4&amp;"!B10:B1000"),$B50,INDIRECT(Equipo!$E$4&amp;"!"&amp;ADDRESS(10,COLUMN(J$9)+10)&amp;":"&amp;ADDRESS(1000,COLUMN(J$9)+10))),
SUMIF(INDIRECT(Equipo!$F$4&amp;"!B10:B1000"),$B50,INDIRECT(Equipo!$F$4&amp;"!"&amp;ADDRESS(10,COLUMN(J$9)+10)&amp;":"&amp;ADDRESS(1000,COLUMN(J$9)+10))),
SUMIF(INDIRECT(Equipo!$G$4&amp;"!B10:B1000"),$B50,INDIRECT(Equipo!$G$4&amp;"!"&amp;ADDRESS(10,COLUMN(J$9)+10)&amp;":"&amp;ADDRESS(1000,COLUMN(J$9)+10)))
))</f>
        <v>4</v>
      </c>
      <c r="K50" s="19">
        <f t="array" ref="K50">IF(ISBLANK(Tareas!$B46),"-",
SUM(
SUMIF(INDIRECT(Equipo!$C$4&amp;"!B10:B1000"),$B50,INDIRECT(Equipo!$C$4&amp;"!"&amp;ADDRESS(10,COLUMN(K$9)+10)&amp;":"&amp;ADDRESS(1000,COLUMN(K$9)+10))),
SUMIF(INDIRECT(Equipo!$D$4&amp;"!B10:B1000"),$B50,INDIRECT(Equipo!$D$4&amp;"!"&amp;ADDRESS(10,COLUMN(K$9)+10)&amp;":"&amp;ADDRESS(1000,COLUMN(K$9)+10))),
SUMIF(INDIRECT(Equipo!$E$4&amp;"!B10:B1000"),$B50,INDIRECT(Equipo!$E$4&amp;"!"&amp;ADDRESS(10,COLUMN(K$9)+10)&amp;":"&amp;ADDRESS(1000,COLUMN(K$9)+10))),
SUMIF(INDIRECT(Equipo!$F$4&amp;"!B10:B1000"),$B50,INDIRECT(Equipo!$F$4&amp;"!"&amp;ADDRESS(10,COLUMN(K$9)+10)&amp;":"&amp;ADDRESS(1000,COLUMN(K$9)+10))),
SUMIF(INDIRECT(Equipo!$G$4&amp;"!B10:B1000"),$B50,INDIRECT(Equipo!$G$4&amp;"!"&amp;ADDRESS(10,COLUMN(K$9)+10)&amp;":"&amp;ADDRESS(1000,COLUMN(K$9)+10)))
))</f>
        <v>0</v>
      </c>
    </row>
    <row r="51" ht="15.75" customHeight="1">
      <c r="B51" s="1" t="str">
        <f>IF(ISBLANK(Tareas!B47)," - ",Tareas!B47)</f>
        <v>42. Integración del prototipo UI</v>
      </c>
      <c r="C51" s="19">
        <f>IF(ISBLANK(Tareas!$B47),"-",SUM(D51:M51))</f>
        <v>3</v>
      </c>
      <c r="D51" s="19">
        <f t="array" ref="D51">IF(ISBLANK(Tareas!$B47),"-",
SUM(
SUMIF(INDIRECT(Equipo!$C$4&amp;"!B10:B1000"),$B51,INDIRECT(Equipo!$C$4&amp;"!"&amp;ADDRESS(10,COLUMN(D$9)+10)&amp;":"&amp;ADDRESS(1000,COLUMN(D$9)+10))),
SUMIF(INDIRECT(Equipo!$D$4&amp;"!B10:B1000"),$B51,INDIRECT(Equipo!$D$4&amp;"!"&amp;ADDRESS(10,COLUMN(D$9)+10)&amp;":"&amp;ADDRESS(1000,COLUMN(D$9)+10))),
SUMIF(INDIRECT(Equipo!$E$4&amp;"!B10:B1000"),$B51,INDIRECT(Equipo!$E$4&amp;"!"&amp;ADDRESS(10,COLUMN(D$9)+10)&amp;":"&amp;ADDRESS(1000,COLUMN(D$9)+10))),
SUMIF(INDIRECT(Equipo!$F$4&amp;"!B10:B1000"),$B51,INDIRECT(Equipo!$F$4&amp;"!"&amp;ADDRESS(10,COLUMN(D$9)+10)&amp;":"&amp;ADDRESS(1000,COLUMN(D$9)+10))),
SUMIF(INDIRECT(Equipo!$G$4&amp;"!B10:B1000"),$B51,INDIRECT(Equipo!$G$4&amp;"!"&amp;ADDRESS(10,COLUMN(D$9)+10)&amp;":"&amp;ADDRESS(1000,COLUMN(D$9)+10)))
))</f>
        <v>0</v>
      </c>
      <c r="E51" s="19">
        <f t="array" ref="E51">IF(ISBLANK(Tareas!$B47),"-",
SUM(
SUMIF(INDIRECT(Equipo!$C$4&amp;"!B10:B1000"),$B51,INDIRECT(Equipo!$C$4&amp;"!"&amp;ADDRESS(10,COLUMN(E$9)+10)&amp;":"&amp;ADDRESS(1000,COLUMN(E$9)+10))),
SUMIF(INDIRECT(Equipo!$D$4&amp;"!B10:B1000"),$B51,INDIRECT(Equipo!$D$4&amp;"!"&amp;ADDRESS(10,COLUMN(E$9)+10)&amp;":"&amp;ADDRESS(1000,COLUMN(E$9)+10))),
SUMIF(INDIRECT(Equipo!$E$4&amp;"!B10:B1000"),$B51,INDIRECT(Equipo!$E$4&amp;"!"&amp;ADDRESS(10,COLUMN(E$9)+10)&amp;":"&amp;ADDRESS(1000,COLUMN(E$9)+10))),
SUMIF(INDIRECT(Equipo!$F$4&amp;"!B10:B1000"),$B51,INDIRECT(Equipo!$F$4&amp;"!"&amp;ADDRESS(10,COLUMN(E$9)+10)&amp;":"&amp;ADDRESS(1000,COLUMN(E$9)+10))),
SUMIF(INDIRECT(Equipo!$G$4&amp;"!B10:B1000"),$B51,INDIRECT(Equipo!$G$4&amp;"!"&amp;ADDRESS(10,COLUMN(E$9)+10)&amp;":"&amp;ADDRESS(1000,COLUMN(E$9)+10)))
))</f>
        <v>0</v>
      </c>
      <c r="F51" s="19">
        <f t="array" ref="F51">IF(ISBLANK(Tareas!$B47),"-",
SUM(
SUMIF(INDIRECT(Equipo!$C$4&amp;"!B10:B1000"),$B51,INDIRECT(Equipo!$C$4&amp;"!"&amp;ADDRESS(10,COLUMN(F$9)+10)&amp;":"&amp;ADDRESS(1000,COLUMN(F$9)+10))),
SUMIF(INDIRECT(Equipo!$D$4&amp;"!B10:B1000"),$B51,INDIRECT(Equipo!$D$4&amp;"!"&amp;ADDRESS(10,COLUMN(F$9)+10)&amp;":"&amp;ADDRESS(1000,COLUMN(F$9)+10))),
SUMIF(INDIRECT(Equipo!$E$4&amp;"!B10:B1000"),$B51,INDIRECT(Equipo!$E$4&amp;"!"&amp;ADDRESS(10,COLUMN(F$9)+10)&amp;":"&amp;ADDRESS(1000,COLUMN(F$9)+10))),
SUMIF(INDIRECT(Equipo!$F$4&amp;"!B10:B1000"),$B51,INDIRECT(Equipo!$F$4&amp;"!"&amp;ADDRESS(10,COLUMN(F$9)+10)&amp;":"&amp;ADDRESS(1000,COLUMN(F$9)+10))),
SUMIF(INDIRECT(Equipo!$G$4&amp;"!B10:B1000"),$B51,INDIRECT(Equipo!$G$4&amp;"!"&amp;ADDRESS(10,COLUMN(F$9)+10)&amp;":"&amp;ADDRESS(1000,COLUMN(F$9)+10)))
))</f>
        <v>0</v>
      </c>
      <c r="G51" s="19">
        <f t="array" ref="G51">IF(ISBLANK(Tareas!$B47),"-",
SUM(
SUMIF(INDIRECT(Equipo!$C$4&amp;"!B10:B1000"),$B51,INDIRECT(Equipo!$C$4&amp;"!"&amp;ADDRESS(10,COLUMN(G$9)+10)&amp;":"&amp;ADDRESS(1000,COLUMN(G$9)+10))),
SUMIF(INDIRECT(Equipo!$D$4&amp;"!B10:B1000"),$B51,INDIRECT(Equipo!$D$4&amp;"!"&amp;ADDRESS(10,COLUMN(G$9)+10)&amp;":"&amp;ADDRESS(1000,COLUMN(G$9)+10))),
SUMIF(INDIRECT(Equipo!$E$4&amp;"!B10:B1000"),$B51,INDIRECT(Equipo!$E$4&amp;"!"&amp;ADDRESS(10,COLUMN(G$9)+10)&amp;":"&amp;ADDRESS(1000,COLUMN(G$9)+10))),
SUMIF(INDIRECT(Equipo!$F$4&amp;"!B10:B1000"),$B51,INDIRECT(Equipo!$F$4&amp;"!"&amp;ADDRESS(10,COLUMN(G$9)+10)&amp;":"&amp;ADDRESS(1000,COLUMN(G$9)+10))),
SUMIF(INDIRECT(Equipo!$G$4&amp;"!B10:B1000"),$B51,INDIRECT(Equipo!$G$4&amp;"!"&amp;ADDRESS(10,COLUMN(G$9)+10)&amp;":"&amp;ADDRESS(1000,COLUMN(G$9)+10)))
))</f>
        <v>0</v>
      </c>
      <c r="H51" s="19">
        <f t="array" ref="H51">IF(ISBLANK(Tareas!$B47),"-",
SUM(
SUMIF(INDIRECT(Equipo!$C$4&amp;"!B10:B1000"),$B51,INDIRECT(Equipo!$C$4&amp;"!"&amp;ADDRESS(10,COLUMN(H$9)+10)&amp;":"&amp;ADDRESS(1000,COLUMN(H$9)+10))),
SUMIF(INDIRECT(Equipo!$D$4&amp;"!B10:B1000"),$B51,INDIRECT(Equipo!$D$4&amp;"!"&amp;ADDRESS(10,COLUMN(H$9)+10)&amp;":"&amp;ADDRESS(1000,COLUMN(H$9)+10))),
SUMIF(INDIRECT(Equipo!$E$4&amp;"!B10:B1000"),$B51,INDIRECT(Equipo!$E$4&amp;"!"&amp;ADDRESS(10,COLUMN(H$9)+10)&amp;":"&amp;ADDRESS(1000,COLUMN(H$9)+10))),
SUMIF(INDIRECT(Equipo!$F$4&amp;"!B10:B1000"),$B51,INDIRECT(Equipo!$F$4&amp;"!"&amp;ADDRESS(10,COLUMN(H$9)+10)&amp;":"&amp;ADDRESS(1000,COLUMN(H$9)+10))),
SUMIF(INDIRECT(Equipo!$G$4&amp;"!B10:B1000"),$B51,INDIRECT(Equipo!$G$4&amp;"!"&amp;ADDRESS(10,COLUMN(H$9)+10)&amp;":"&amp;ADDRESS(1000,COLUMN(H$9)+10)))
))</f>
        <v>0</v>
      </c>
      <c r="I51" s="19">
        <f t="array" ref="I51">IF(ISBLANK(Tareas!$B47),"-",
SUM(
SUMIF(INDIRECT(Equipo!$C$4&amp;"!B10:B1000"),$B51,INDIRECT(Equipo!$C$4&amp;"!"&amp;ADDRESS(10,COLUMN(I$9)+10)&amp;":"&amp;ADDRESS(1000,COLUMN(I$9)+10))),
SUMIF(INDIRECT(Equipo!$D$4&amp;"!B10:B1000"),$B51,INDIRECT(Equipo!$D$4&amp;"!"&amp;ADDRESS(10,COLUMN(I$9)+10)&amp;":"&amp;ADDRESS(1000,COLUMN(I$9)+10))),
SUMIF(INDIRECT(Equipo!$E$4&amp;"!B10:B1000"),$B51,INDIRECT(Equipo!$E$4&amp;"!"&amp;ADDRESS(10,COLUMN(I$9)+10)&amp;":"&amp;ADDRESS(1000,COLUMN(I$9)+10))),
SUMIF(INDIRECT(Equipo!$F$4&amp;"!B10:B1000"),$B51,INDIRECT(Equipo!$F$4&amp;"!"&amp;ADDRESS(10,COLUMN(I$9)+10)&amp;":"&amp;ADDRESS(1000,COLUMN(I$9)+10))),
SUMIF(INDIRECT(Equipo!$G$4&amp;"!B10:B1000"),$B51,INDIRECT(Equipo!$G$4&amp;"!"&amp;ADDRESS(10,COLUMN(I$9)+10)&amp;":"&amp;ADDRESS(1000,COLUMN(I$9)+10)))
))</f>
        <v>0</v>
      </c>
      <c r="J51" s="19">
        <f t="array" ref="J51">IF(ISBLANK(Tareas!$B47),"-",
SUM(
SUMIF(INDIRECT(Equipo!$C$4&amp;"!B10:B1000"),$B51,INDIRECT(Equipo!$C$4&amp;"!"&amp;ADDRESS(10,COLUMN(J$9)+10)&amp;":"&amp;ADDRESS(1000,COLUMN(J$9)+10))),
SUMIF(INDIRECT(Equipo!$D$4&amp;"!B10:B1000"),$B51,INDIRECT(Equipo!$D$4&amp;"!"&amp;ADDRESS(10,COLUMN(J$9)+10)&amp;":"&amp;ADDRESS(1000,COLUMN(J$9)+10))),
SUMIF(INDIRECT(Equipo!$E$4&amp;"!B10:B1000"),$B51,INDIRECT(Equipo!$E$4&amp;"!"&amp;ADDRESS(10,COLUMN(J$9)+10)&amp;":"&amp;ADDRESS(1000,COLUMN(J$9)+10))),
SUMIF(INDIRECT(Equipo!$F$4&amp;"!B10:B1000"),$B51,INDIRECT(Equipo!$F$4&amp;"!"&amp;ADDRESS(10,COLUMN(J$9)+10)&amp;":"&amp;ADDRESS(1000,COLUMN(J$9)+10))),
SUMIF(INDIRECT(Equipo!$G$4&amp;"!B10:B1000"),$B51,INDIRECT(Equipo!$G$4&amp;"!"&amp;ADDRESS(10,COLUMN(J$9)+10)&amp;":"&amp;ADDRESS(1000,COLUMN(J$9)+10)))
))</f>
        <v>3</v>
      </c>
      <c r="K51" s="19">
        <f t="array" ref="K51">IF(ISBLANK(Tareas!$B47),"-",
SUM(
SUMIF(INDIRECT(Equipo!$C$4&amp;"!B10:B1000"),$B51,INDIRECT(Equipo!$C$4&amp;"!"&amp;ADDRESS(10,COLUMN(K$9)+10)&amp;":"&amp;ADDRESS(1000,COLUMN(K$9)+10))),
SUMIF(INDIRECT(Equipo!$D$4&amp;"!B10:B1000"),$B51,INDIRECT(Equipo!$D$4&amp;"!"&amp;ADDRESS(10,COLUMN(K$9)+10)&amp;":"&amp;ADDRESS(1000,COLUMN(K$9)+10))),
SUMIF(INDIRECT(Equipo!$E$4&amp;"!B10:B1000"),$B51,INDIRECT(Equipo!$E$4&amp;"!"&amp;ADDRESS(10,COLUMN(K$9)+10)&amp;":"&amp;ADDRESS(1000,COLUMN(K$9)+10))),
SUMIF(INDIRECT(Equipo!$F$4&amp;"!B10:B1000"),$B51,INDIRECT(Equipo!$F$4&amp;"!"&amp;ADDRESS(10,COLUMN(K$9)+10)&amp;":"&amp;ADDRESS(1000,COLUMN(K$9)+10))),
SUMIF(INDIRECT(Equipo!$G$4&amp;"!B10:B1000"),$B51,INDIRECT(Equipo!$G$4&amp;"!"&amp;ADDRESS(10,COLUMN(K$9)+10)&amp;":"&amp;ADDRESS(1000,COLUMN(K$9)+10)))
))</f>
        <v>0</v>
      </c>
    </row>
    <row r="52" ht="15.75" customHeight="1">
      <c r="B52" s="1" t="str">
        <f>IF(ISBLANK(Tareas!B48)," - ",Tareas!B48)</f>
        <v>43. Definición de los casos de prueba</v>
      </c>
      <c r="C52" s="19">
        <f>IF(ISBLANK(Tareas!$B48),"-",SUM(D52:M52))</f>
        <v>1</v>
      </c>
      <c r="D52" s="19">
        <f t="array" ref="D52">IF(ISBLANK(Tareas!$B48),"-",
SUM(
SUMIF(INDIRECT(Equipo!$C$4&amp;"!B10:B1000"),$B52,INDIRECT(Equipo!$C$4&amp;"!"&amp;ADDRESS(10,COLUMN(D$9)+10)&amp;":"&amp;ADDRESS(1000,COLUMN(D$9)+10))),
SUMIF(INDIRECT(Equipo!$D$4&amp;"!B10:B1000"),$B52,INDIRECT(Equipo!$D$4&amp;"!"&amp;ADDRESS(10,COLUMN(D$9)+10)&amp;":"&amp;ADDRESS(1000,COLUMN(D$9)+10))),
SUMIF(INDIRECT(Equipo!$E$4&amp;"!B10:B1000"),$B52,INDIRECT(Equipo!$E$4&amp;"!"&amp;ADDRESS(10,COLUMN(D$9)+10)&amp;":"&amp;ADDRESS(1000,COLUMN(D$9)+10))),
SUMIF(INDIRECT(Equipo!$F$4&amp;"!B10:B1000"),$B52,INDIRECT(Equipo!$F$4&amp;"!"&amp;ADDRESS(10,COLUMN(D$9)+10)&amp;":"&amp;ADDRESS(1000,COLUMN(D$9)+10))),
SUMIF(INDIRECT(Equipo!$G$4&amp;"!B10:B1000"),$B52,INDIRECT(Equipo!$G$4&amp;"!"&amp;ADDRESS(10,COLUMN(D$9)+10)&amp;":"&amp;ADDRESS(1000,COLUMN(D$9)+10)))
))</f>
        <v>0</v>
      </c>
      <c r="E52" s="19">
        <f t="array" ref="E52">IF(ISBLANK(Tareas!$B48),"-",
SUM(
SUMIF(INDIRECT(Equipo!$C$4&amp;"!B10:B1000"),$B52,INDIRECT(Equipo!$C$4&amp;"!"&amp;ADDRESS(10,COLUMN(E$9)+10)&amp;":"&amp;ADDRESS(1000,COLUMN(E$9)+10))),
SUMIF(INDIRECT(Equipo!$D$4&amp;"!B10:B1000"),$B52,INDIRECT(Equipo!$D$4&amp;"!"&amp;ADDRESS(10,COLUMN(E$9)+10)&amp;":"&amp;ADDRESS(1000,COLUMN(E$9)+10))),
SUMIF(INDIRECT(Equipo!$E$4&amp;"!B10:B1000"),$B52,INDIRECT(Equipo!$E$4&amp;"!"&amp;ADDRESS(10,COLUMN(E$9)+10)&amp;":"&amp;ADDRESS(1000,COLUMN(E$9)+10))),
SUMIF(INDIRECT(Equipo!$F$4&amp;"!B10:B1000"),$B52,INDIRECT(Equipo!$F$4&amp;"!"&amp;ADDRESS(10,COLUMN(E$9)+10)&amp;":"&amp;ADDRESS(1000,COLUMN(E$9)+10))),
SUMIF(INDIRECT(Equipo!$G$4&amp;"!B10:B1000"),$B52,INDIRECT(Equipo!$G$4&amp;"!"&amp;ADDRESS(10,COLUMN(E$9)+10)&amp;":"&amp;ADDRESS(1000,COLUMN(E$9)+10)))
))</f>
        <v>0</v>
      </c>
      <c r="F52" s="19">
        <f t="array" ref="F52">IF(ISBLANK(Tareas!$B48),"-",
SUM(
SUMIF(INDIRECT(Equipo!$C$4&amp;"!B10:B1000"),$B52,INDIRECT(Equipo!$C$4&amp;"!"&amp;ADDRESS(10,COLUMN(F$9)+10)&amp;":"&amp;ADDRESS(1000,COLUMN(F$9)+10))),
SUMIF(INDIRECT(Equipo!$D$4&amp;"!B10:B1000"),$B52,INDIRECT(Equipo!$D$4&amp;"!"&amp;ADDRESS(10,COLUMN(F$9)+10)&amp;":"&amp;ADDRESS(1000,COLUMN(F$9)+10))),
SUMIF(INDIRECT(Equipo!$E$4&amp;"!B10:B1000"),$B52,INDIRECT(Equipo!$E$4&amp;"!"&amp;ADDRESS(10,COLUMN(F$9)+10)&amp;":"&amp;ADDRESS(1000,COLUMN(F$9)+10))),
SUMIF(INDIRECT(Equipo!$F$4&amp;"!B10:B1000"),$B52,INDIRECT(Equipo!$F$4&amp;"!"&amp;ADDRESS(10,COLUMN(F$9)+10)&amp;":"&amp;ADDRESS(1000,COLUMN(F$9)+10))),
SUMIF(INDIRECT(Equipo!$G$4&amp;"!B10:B1000"),$B52,INDIRECT(Equipo!$G$4&amp;"!"&amp;ADDRESS(10,COLUMN(F$9)+10)&amp;":"&amp;ADDRESS(1000,COLUMN(F$9)+10)))
))</f>
        <v>0</v>
      </c>
      <c r="G52" s="19">
        <f t="array" ref="G52">IF(ISBLANK(Tareas!$B48),"-",
SUM(
SUMIF(INDIRECT(Equipo!$C$4&amp;"!B10:B1000"),$B52,INDIRECT(Equipo!$C$4&amp;"!"&amp;ADDRESS(10,COLUMN(G$9)+10)&amp;":"&amp;ADDRESS(1000,COLUMN(G$9)+10))),
SUMIF(INDIRECT(Equipo!$D$4&amp;"!B10:B1000"),$B52,INDIRECT(Equipo!$D$4&amp;"!"&amp;ADDRESS(10,COLUMN(G$9)+10)&amp;":"&amp;ADDRESS(1000,COLUMN(G$9)+10))),
SUMIF(INDIRECT(Equipo!$E$4&amp;"!B10:B1000"),$B52,INDIRECT(Equipo!$E$4&amp;"!"&amp;ADDRESS(10,COLUMN(G$9)+10)&amp;":"&amp;ADDRESS(1000,COLUMN(G$9)+10))),
SUMIF(INDIRECT(Equipo!$F$4&amp;"!B10:B1000"),$B52,INDIRECT(Equipo!$F$4&amp;"!"&amp;ADDRESS(10,COLUMN(G$9)+10)&amp;":"&amp;ADDRESS(1000,COLUMN(G$9)+10))),
SUMIF(INDIRECT(Equipo!$G$4&amp;"!B10:B1000"),$B52,INDIRECT(Equipo!$G$4&amp;"!"&amp;ADDRESS(10,COLUMN(G$9)+10)&amp;":"&amp;ADDRESS(1000,COLUMN(G$9)+10)))
))</f>
        <v>0</v>
      </c>
      <c r="H52" s="19">
        <f t="array" ref="H52">IF(ISBLANK(Tareas!$B48),"-",
SUM(
SUMIF(INDIRECT(Equipo!$C$4&amp;"!B10:B1000"),$B52,INDIRECT(Equipo!$C$4&amp;"!"&amp;ADDRESS(10,COLUMN(H$9)+10)&amp;":"&amp;ADDRESS(1000,COLUMN(H$9)+10))),
SUMIF(INDIRECT(Equipo!$D$4&amp;"!B10:B1000"),$B52,INDIRECT(Equipo!$D$4&amp;"!"&amp;ADDRESS(10,COLUMN(H$9)+10)&amp;":"&amp;ADDRESS(1000,COLUMN(H$9)+10))),
SUMIF(INDIRECT(Equipo!$E$4&amp;"!B10:B1000"),$B52,INDIRECT(Equipo!$E$4&amp;"!"&amp;ADDRESS(10,COLUMN(H$9)+10)&amp;":"&amp;ADDRESS(1000,COLUMN(H$9)+10))),
SUMIF(INDIRECT(Equipo!$F$4&amp;"!B10:B1000"),$B52,INDIRECT(Equipo!$F$4&amp;"!"&amp;ADDRESS(10,COLUMN(H$9)+10)&amp;":"&amp;ADDRESS(1000,COLUMN(H$9)+10))),
SUMIF(INDIRECT(Equipo!$G$4&amp;"!B10:B1000"),$B52,INDIRECT(Equipo!$G$4&amp;"!"&amp;ADDRESS(10,COLUMN(H$9)+10)&amp;":"&amp;ADDRESS(1000,COLUMN(H$9)+10)))
))</f>
        <v>0</v>
      </c>
      <c r="I52" s="19">
        <f t="array" ref="I52">IF(ISBLANK(Tareas!$B48),"-",
SUM(
SUMIF(INDIRECT(Equipo!$C$4&amp;"!B10:B1000"),$B52,INDIRECT(Equipo!$C$4&amp;"!"&amp;ADDRESS(10,COLUMN(I$9)+10)&amp;":"&amp;ADDRESS(1000,COLUMN(I$9)+10))),
SUMIF(INDIRECT(Equipo!$D$4&amp;"!B10:B1000"),$B52,INDIRECT(Equipo!$D$4&amp;"!"&amp;ADDRESS(10,COLUMN(I$9)+10)&amp;":"&amp;ADDRESS(1000,COLUMN(I$9)+10))),
SUMIF(INDIRECT(Equipo!$E$4&amp;"!B10:B1000"),$B52,INDIRECT(Equipo!$E$4&amp;"!"&amp;ADDRESS(10,COLUMN(I$9)+10)&amp;":"&amp;ADDRESS(1000,COLUMN(I$9)+10))),
SUMIF(INDIRECT(Equipo!$F$4&amp;"!B10:B1000"),$B52,INDIRECT(Equipo!$F$4&amp;"!"&amp;ADDRESS(10,COLUMN(I$9)+10)&amp;":"&amp;ADDRESS(1000,COLUMN(I$9)+10))),
SUMIF(INDIRECT(Equipo!$G$4&amp;"!B10:B1000"),$B52,INDIRECT(Equipo!$G$4&amp;"!"&amp;ADDRESS(10,COLUMN(I$9)+10)&amp;":"&amp;ADDRESS(1000,COLUMN(I$9)+10)))
))</f>
        <v>0</v>
      </c>
      <c r="J52" s="19">
        <f t="array" ref="J52">IF(ISBLANK(Tareas!$B48),"-",
SUM(
SUMIF(INDIRECT(Equipo!$C$4&amp;"!B10:B1000"),$B52,INDIRECT(Equipo!$C$4&amp;"!"&amp;ADDRESS(10,COLUMN(J$9)+10)&amp;":"&amp;ADDRESS(1000,COLUMN(J$9)+10))),
SUMIF(INDIRECT(Equipo!$D$4&amp;"!B10:B1000"),$B52,INDIRECT(Equipo!$D$4&amp;"!"&amp;ADDRESS(10,COLUMN(J$9)+10)&amp;":"&amp;ADDRESS(1000,COLUMN(J$9)+10))),
SUMIF(INDIRECT(Equipo!$E$4&amp;"!B10:B1000"),$B52,INDIRECT(Equipo!$E$4&amp;"!"&amp;ADDRESS(10,COLUMN(J$9)+10)&amp;":"&amp;ADDRESS(1000,COLUMN(J$9)+10))),
SUMIF(INDIRECT(Equipo!$F$4&amp;"!B10:B1000"),$B52,INDIRECT(Equipo!$F$4&amp;"!"&amp;ADDRESS(10,COLUMN(J$9)+10)&amp;":"&amp;ADDRESS(1000,COLUMN(J$9)+10))),
SUMIF(INDIRECT(Equipo!$G$4&amp;"!B10:B1000"),$B52,INDIRECT(Equipo!$G$4&amp;"!"&amp;ADDRESS(10,COLUMN(J$9)+10)&amp;":"&amp;ADDRESS(1000,COLUMN(J$9)+10)))
))</f>
        <v>1</v>
      </c>
      <c r="K52" s="19">
        <f t="array" ref="K52">IF(ISBLANK(Tareas!$B48),"-",
SUM(
SUMIF(INDIRECT(Equipo!$C$4&amp;"!B10:B1000"),$B52,INDIRECT(Equipo!$C$4&amp;"!"&amp;ADDRESS(10,COLUMN(K$9)+10)&amp;":"&amp;ADDRESS(1000,COLUMN(K$9)+10))),
SUMIF(INDIRECT(Equipo!$D$4&amp;"!B10:B1000"),$B52,INDIRECT(Equipo!$D$4&amp;"!"&amp;ADDRESS(10,COLUMN(K$9)+10)&amp;":"&amp;ADDRESS(1000,COLUMN(K$9)+10))),
SUMIF(INDIRECT(Equipo!$E$4&amp;"!B10:B1000"),$B52,INDIRECT(Equipo!$E$4&amp;"!"&amp;ADDRESS(10,COLUMN(K$9)+10)&amp;":"&amp;ADDRESS(1000,COLUMN(K$9)+10))),
SUMIF(INDIRECT(Equipo!$F$4&amp;"!B10:B1000"),$B52,INDIRECT(Equipo!$F$4&amp;"!"&amp;ADDRESS(10,COLUMN(K$9)+10)&amp;":"&amp;ADDRESS(1000,COLUMN(K$9)+10))),
SUMIF(INDIRECT(Equipo!$G$4&amp;"!B10:B1000"),$B52,INDIRECT(Equipo!$G$4&amp;"!"&amp;ADDRESS(10,COLUMN(K$9)+10)&amp;":"&amp;ADDRESS(1000,COLUMN(K$9)+10)))
))</f>
        <v>0</v>
      </c>
    </row>
    <row r="53" ht="15.75" customHeight="1">
      <c r="B53" s="1" t="str">
        <f>IF(ISBLANK(Tareas!B49)," - ",Tareas!B49)</f>
        <v>44. Reunión 8</v>
      </c>
      <c r="C53" s="19">
        <f>IF(ISBLANK(Tareas!$B49),"-",SUM(D53:M53))</f>
        <v>2.5</v>
      </c>
      <c r="D53" s="19">
        <f t="array" ref="D53">IF(ISBLANK(Tareas!$B49),"-",
SUM(
SUMIF(INDIRECT(Equipo!$C$4&amp;"!B10:B1000"),$B53,INDIRECT(Equipo!$C$4&amp;"!"&amp;ADDRESS(10,COLUMN(D$9)+10)&amp;":"&amp;ADDRESS(1000,COLUMN(D$9)+10))),
SUMIF(INDIRECT(Equipo!$D$4&amp;"!B10:B1000"),$B53,INDIRECT(Equipo!$D$4&amp;"!"&amp;ADDRESS(10,COLUMN(D$9)+10)&amp;":"&amp;ADDRESS(1000,COLUMN(D$9)+10))),
SUMIF(INDIRECT(Equipo!$E$4&amp;"!B10:B1000"),$B53,INDIRECT(Equipo!$E$4&amp;"!"&amp;ADDRESS(10,COLUMN(D$9)+10)&amp;":"&amp;ADDRESS(1000,COLUMN(D$9)+10))),
SUMIF(INDIRECT(Equipo!$F$4&amp;"!B10:B1000"),$B53,INDIRECT(Equipo!$F$4&amp;"!"&amp;ADDRESS(10,COLUMN(D$9)+10)&amp;":"&amp;ADDRESS(1000,COLUMN(D$9)+10))),
SUMIF(INDIRECT(Equipo!$G$4&amp;"!B10:B1000"),$B53,INDIRECT(Equipo!$G$4&amp;"!"&amp;ADDRESS(10,COLUMN(D$9)+10)&amp;":"&amp;ADDRESS(1000,COLUMN(D$9)+10)))
))</f>
        <v>0</v>
      </c>
      <c r="E53" s="19">
        <f t="array" ref="E53">IF(ISBLANK(Tareas!$B49),"-",
SUM(
SUMIF(INDIRECT(Equipo!$C$4&amp;"!B10:B1000"),$B53,INDIRECT(Equipo!$C$4&amp;"!"&amp;ADDRESS(10,COLUMN(E$9)+10)&amp;":"&amp;ADDRESS(1000,COLUMN(E$9)+10))),
SUMIF(INDIRECT(Equipo!$D$4&amp;"!B10:B1000"),$B53,INDIRECT(Equipo!$D$4&amp;"!"&amp;ADDRESS(10,COLUMN(E$9)+10)&amp;":"&amp;ADDRESS(1000,COLUMN(E$9)+10))),
SUMIF(INDIRECT(Equipo!$E$4&amp;"!B10:B1000"),$B53,INDIRECT(Equipo!$E$4&amp;"!"&amp;ADDRESS(10,COLUMN(E$9)+10)&amp;":"&amp;ADDRESS(1000,COLUMN(E$9)+10))),
SUMIF(INDIRECT(Equipo!$F$4&amp;"!B10:B1000"),$B53,INDIRECT(Equipo!$F$4&amp;"!"&amp;ADDRESS(10,COLUMN(E$9)+10)&amp;":"&amp;ADDRESS(1000,COLUMN(E$9)+10))),
SUMIF(INDIRECT(Equipo!$G$4&amp;"!B10:B1000"),$B53,INDIRECT(Equipo!$G$4&amp;"!"&amp;ADDRESS(10,COLUMN(E$9)+10)&amp;":"&amp;ADDRESS(1000,COLUMN(E$9)+10)))
))</f>
        <v>0</v>
      </c>
      <c r="F53" s="19">
        <f t="array" ref="F53">IF(ISBLANK(Tareas!$B49),"-",
SUM(
SUMIF(INDIRECT(Equipo!$C$4&amp;"!B10:B1000"),$B53,INDIRECT(Equipo!$C$4&amp;"!"&amp;ADDRESS(10,COLUMN(F$9)+10)&amp;":"&amp;ADDRESS(1000,COLUMN(F$9)+10))),
SUMIF(INDIRECT(Equipo!$D$4&amp;"!B10:B1000"),$B53,INDIRECT(Equipo!$D$4&amp;"!"&amp;ADDRESS(10,COLUMN(F$9)+10)&amp;":"&amp;ADDRESS(1000,COLUMN(F$9)+10))),
SUMIF(INDIRECT(Equipo!$E$4&amp;"!B10:B1000"),$B53,INDIRECT(Equipo!$E$4&amp;"!"&amp;ADDRESS(10,COLUMN(F$9)+10)&amp;":"&amp;ADDRESS(1000,COLUMN(F$9)+10))),
SUMIF(INDIRECT(Equipo!$F$4&amp;"!B10:B1000"),$B53,INDIRECT(Equipo!$F$4&amp;"!"&amp;ADDRESS(10,COLUMN(F$9)+10)&amp;":"&amp;ADDRESS(1000,COLUMN(F$9)+10))),
SUMIF(INDIRECT(Equipo!$G$4&amp;"!B10:B1000"),$B53,INDIRECT(Equipo!$G$4&amp;"!"&amp;ADDRESS(10,COLUMN(F$9)+10)&amp;":"&amp;ADDRESS(1000,COLUMN(F$9)+10)))
))</f>
        <v>0</v>
      </c>
      <c r="G53" s="19">
        <f t="array" ref="G53">IF(ISBLANK(Tareas!$B49),"-",
SUM(
SUMIF(INDIRECT(Equipo!$C$4&amp;"!B10:B1000"),$B53,INDIRECT(Equipo!$C$4&amp;"!"&amp;ADDRESS(10,COLUMN(G$9)+10)&amp;":"&amp;ADDRESS(1000,COLUMN(G$9)+10))),
SUMIF(INDIRECT(Equipo!$D$4&amp;"!B10:B1000"),$B53,INDIRECT(Equipo!$D$4&amp;"!"&amp;ADDRESS(10,COLUMN(G$9)+10)&amp;":"&amp;ADDRESS(1000,COLUMN(G$9)+10))),
SUMIF(INDIRECT(Equipo!$E$4&amp;"!B10:B1000"),$B53,INDIRECT(Equipo!$E$4&amp;"!"&amp;ADDRESS(10,COLUMN(G$9)+10)&amp;":"&amp;ADDRESS(1000,COLUMN(G$9)+10))),
SUMIF(INDIRECT(Equipo!$F$4&amp;"!B10:B1000"),$B53,INDIRECT(Equipo!$F$4&amp;"!"&amp;ADDRESS(10,COLUMN(G$9)+10)&amp;":"&amp;ADDRESS(1000,COLUMN(G$9)+10))),
SUMIF(INDIRECT(Equipo!$G$4&amp;"!B10:B1000"),$B53,INDIRECT(Equipo!$G$4&amp;"!"&amp;ADDRESS(10,COLUMN(G$9)+10)&amp;":"&amp;ADDRESS(1000,COLUMN(G$9)+10)))
))</f>
        <v>0</v>
      </c>
      <c r="H53" s="19">
        <f t="array" ref="H53">IF(ISBLANK(Tareas!$B49),"-",
SUM(
SUMIF(INDIRECT(Equipo!$C$4&amp;"!B10:B1000"),$B53,INDIRECT(Equipo!$C$4&amp;"!"&amp;ADDRESS(10,COLUMN(H$9)+10)&amp;":"&amp;ADDRESS(1000,COLUMN(H$9)+10))),
SUMIF(INDIRECT(Equipo!$D$4&amp;"!B10:B1000"),$B53,INDIRECT(Equipo!$D$4&amp;"!"&amp;ADDRESS(10,COLUMN(H$9)+10)&amp;":"&amp;ADDRESS(1000,COLUMN(H$9)+10))),
SUMIF(INDIRECT(Equipo!$E$4&amp;"!B10:B1000"),$B53,INDIRECT(Equipo!$E$4&amp;"!"&amp;ADDRESS(10,COLUMN(H$9)+10)&amp;":"&amp;ADDRESS(1000,COLUMN(H$9)+10))),
SUMIF(INDIRECT(Equipo!$F$4&amp;"!B10:B1000"),$B53,INDIRECT(Equipo!$F$4&amp;"!"&amp;ADDRESS(10,COLUMN(H$9)+10)&amp;":"&amp;ADDRESS(1000,COLUMN(H$9)+10))),
SUMIF(INDIRECT(Equipo!$G$4&amp;"!B10:B1000"),$B53,INDIRECT(Equipo!$G$4&amp;"!"&amp;ADDRESS(10,COLUMN(H$9)+10)&amp;":"&amp;ADDRESS(1000,COLUMN(H$9)+10)))
))</f>
        <v>0</v>
      </c>
      <c r="I53" s="19">
        <f t="array" ref="I53">IF(ISBLANK(Tareas!$B49),"-",
SUM(
SUMIF(INDIRECT(Equipo!$C$4&amp;"!B10:B1000"),$B53,INDIRECT(Equipo!$C$4&amp;"!"&amp;ADDRESS(10,COLUMN(I$9)+10)&amp;":"&amp;ADDRESS(1000,COLUMN(I$9)+10))),
SUMIF(INDIRECT(Equipo!$D$4&amp;"!B10:B1000"),$B53,INDIRECT(Equipo!$D$4&amp;"!"&amp;ADDRESS(10,COLUMN(I$9)+10)&amp;":"&amp;ADDRESS(1000,COLUMN(I$9)+10))),
SUMIF(INDIRECT(Equipo!$E$4&amp;"!B10:B1000"),$B53,INDIRECT(Equipo!$E$4&amp;"!"&amp;ADDRESS(10,COLUMN(I$9)+10)&amp;":"&amp;ADDRESS(1000,COLUMN(I$9)+10))),
SUMIF(INDIRECT(Equipo!$F$4&amp;"!B10:B1000"),$B53,INDIRECT(Equipo!$F$4&amp;"!"&amp;ADDRESS(10,COLUMN(I$9)+10)&amp;":"&amp;ADDRESS(1000,COLUMN(I$9)+10))),
SUMIF(INDIRECT(Equipo!$G$4&amp;"!B10:B1000"),$B53,INDIRECT(Equipo!$G$4&amp;"!"&amp;ADDRESS(10,COLUMN(I$9)+10)&amp;":"&amp;ADDRESS(1000,COLUMN(I$9)+10)))
))</f>
        <v>0</v>
      </c>
      <c r="J53" s="19">
        <f t="array" ref="J53">IF(ISBLANK(Tareas!$B49),"-",
SUM(
SUMIF(INDIRECT(Equipo!$C$4&amp;"!B10:B1000"),$B53,INDIRECT(Equipo!$C$4&amp;"!"&amp;ADDRESS(10,COLUMN(J$9)+10)&amp;":"&amp;ADDRESS(1000,COLUMN(J$9)+10))),
SUMIF(INDIRECT(Equipo!$D$4&amp;"!B10:B1000"),$B53,INDIRECT(Equipo!$D$4&amp;"!"&amp;ADDRESS(10,COLUMN(J$9)+10)&amp;":"&amp;ADDRESS(1000,COLUMN(J$9)+10))),
SUMIF(INDIRECT(Equipo!$E$4&amp;"!B10:B1000"),$B53,INDIRECT(Equipo!$E$4&amp;"!"&amp;ADDRESS(10,COLUMN(J$9)+10)&amp;":"&amp;ADDRESS(1000,COLUMN(J$9)+10))),
SUMIF(INDIRECT(Equipo!$F$4&amp;"!B10:B1000"),$B53,INDIRECT(Equipo!$F$4&amp;"!"&amp;ADDRESS(10,COLUMN(J$9)+10)&amp;":"&amp;ADDRESS(1000,COLUMN(J$9)+10))),
SUMIF(INDIRECT(Equipo!$G$4&amp;"!B10:B1000"),$B53,INDIRECT(Equipo!$G$4&amp;"!"&amp;ADDRESS(10,COLUMN(J$9)+10)&amp;":"&amp;ADDRESS(1000,COLUMN(J$9)+10)))
))</f>
        <v>0</v>
      </c>
      <c r="K53" s="19">
        <f t="array" ref="K53">IF(ISBLANK(Tareas!$B49),"-",
SUM(
SUMIF(INDIRECT(Equipo!$C$4&amp;"!B10:B1000"),$B53,INDIRECT(Equipo!$C$4&amp;"!"&amp;ADDRESS(10,COLUMN(K$9)+10)&amp;":"&amp;ADDRESS(1000,COLUMN(K$9)+10))),
SUMIF(INDIRECT(Equipo!$D$4&amp;"!B10:B1000"),$B53,INDIRECT(Equipo!$D$4&amp;"!"&amp;ADDRESS(10,COLUMN(K$9)+10)&amp;":"&amp;ADDRESS(1000,COLUMN(K$9)+10))),
SUMIF(INDIRECT(Equipo!$E$4&amp;"!B10:B1000"),$B53,INDIRECT(Equipo!$E$4&amp;"!"&amp;ADDRESS(10,COLUMN(K$9)+10)&amp;":"&amp;ADDRESS(1000,COLUMN(K$9)+10))),
SUMIF(INDIRECT(Equipo!$F$4&amp;"!B10:B1000"),$B53,INDIRECT(Equipo!$F$4&amp;"!"&amp;ADDRESS(10,COLUMN(K$9)+10)&amp;":"&amp;ADDRESS(1000,COLUMN(K$9)+10))),
SUMIF(INDIRECT(Equipo!$G$4&amp;"!B10:B1000"),$B53,INDIRECT(Equipo!$G$4&amp;"!"&amp;ADDRESS(10,COLUMN(K$9)+10)&amp;":"&amp;ADDRESS(1000,COLUMN(K$9)+10)))
))</f>
        <v>2.5</v>
      </c>
    </row>
    <row r="54" ht="15.75" customHeight="1">
      <c r="B54" s="1" t="str">
        <f>IF(ISBLANK(Tareas!B50)," - ",Tareas!B50)</f>
        <v>45. Realización el informe de post-mortem</v>
      </c>
      <c r="C54" s="19">
        <f>IF(ISBLANK(Tareas!$B50),"-",SUM(D54:M54))</f>
        <v>1.5</v>
      </c>
      <c r="D54" s="19">
        <f t="array" ref="D54">IF(ISBLANK(Tareas!$B50),"-",
SUM(
SUMIF(INDIRECT(Equipo!$C$4&amp;"!B10:B1000"),$B54,INDIRECT(Equipo!$C$4&amp;"!"&amp;ADDRESS(10,COLUMN(D$9)+10)&amp;":"&amp;ADDRESS(1000,COLUMN(D$9)+10))),
SUMIF(INDIRECT(Equipo!$D$4&amp;"!B10:B1000"),$B54,INDIRECT(Equipo!$D$4&amp;"!"&amp;ADDRESS(10,COLUMN(D$9)+10)&amp;":"&amp;ADDRESS(1000,COLUMN(D$9)+10))),
SUMIF(INDIRECT(Equipo!$E$4&amp;"!B10:B1000"),$B54,INDIRECT(Equipo!$E$4&amp;"!"&amp;ADDRESS(10,COLUMN(D$9)+10)&amp;":"&amp;ADDRESS(1000,COLUMN(D$9)+10))),
SUMIF(INDIRECT(Equipo!$F$4&amp;"!B10:B1000"),$B54,INDIRECT(Equipo!$F$4&amp;"!"&amp;ADDRESS(10,COLUMN(D$9)+10)&amp;":"&amp;ADDRESS(1000,COLUMN(D$9)+10))),
SUMIF(INDIRECT(Equipo!$G$4&amp;"!B10:B1000"),$B54,INDIRECT(Equipo!$G$4&amp;"!"&amp;ADDRESS(10,COLUMN(D$9)+10)&amp;":"&amp;ADDRESS(1000,COLUMN(D$9)+10)))
))</f>
        <v>0</v>
      </c>
      <c r="E54" s="19">
        <f t="array" ref="E54">IF(ISBLANK(Tareas!$B50),"-",
SUM(
SUMIF(INDIRECT(Equipo!$C$4&amp;"!B10:B1000"),$B54,INDIRECT(Equipo!$C$4&amp;"!"&amp;ADDRESS(10,COLUMN(E$9)+10)&amp;":"&amp;ADDRESS(1000,COLUMN(E$9)+10))),
SUMIF(INDIRECT(Equipo!$D$4&amp;"!B10:B1000"),$B54,INDIRECT(Equipo!$D$4&amp;"!"&amp;ADDRESS(10,COLUMN(E$9)+10)&amp;":"&amp;ADDRESS(1000,COLUMN(E$9)+10))),
SUMIF(INDIRECT(Equipo!$E$4&amp;"!B10:B1000"),$B54,INDIRECT(Equipo!$E$4&amp;"!"&amp;ADDRESS(10,COLUMN(E$9)+10)&amp;":"&amp;ADDRESS(1000,COLUMN(E$9)+10))),
SUMIF(INDIRECT(Equipo!$F$4&amp;"!B10:B1000"),$B54,INDIRECT(Equipo!$F$4&amp;"!"&amp;ADDRESS(10,COLUMN(E$9)+10)&amp;":"&amp;ADDRESS(1000,COLUMN(E$9)+10))),
SUMIF(INDIRECT(Equipo!$G$4&amp;"!B10:B1000"),$B54,INDIRECT(Equipo!$G$4&amp;"!"&amp;ADDRESS(10,COLUMN(E$9)+10)&amp;":"&amp;ADDRESS(1000,COLUMN(E$9)+10)))
))</f>
        <v>0</v>
      </c>
      <c r="F54" s="19">
        <f t="array" ref="F54">IF(ISBLANK(Tareas!$B50),"-",
SUM(
SUMIF(INDIRECT(Equipo!$C$4&amp;"!B10:B1000"),$B54,INDIRECT(Equipo!$C$4&amp;"!"&amp;ADDRESS(10,COLUMN(F$9)+10)&amp;":"&amp;ADDRESS(1000,COLUMN(F$9)+10))),
SUMIF(INDIRECT(Equipo!$D$4&amp;"!B10:B1000"),$B54,INDIRECT(Equipo!$D$4&amp;"!"&amp;ADDRESS(10,COLUMN(F$9)+10)&amp;":"&amp;ADDRESS(1000,COLUMN(F$9)+10))),
SUMIF(INDIRECT(Equipo!$E$4&amp;"!B10:B1000"),$B54,INDIRECT(Equipo!$E$4&amp;"!"&amp;ADDRESS(10,COLUMN(F$9)+10)&amp;":"&amp;ADDRESS(1000,COLUMN(F$9)+10))),
SUMIF(INDIRECT(Equipo!$F$4&amp;"!B10:B1000"),$B54,INDIRECT(Equipo!$F$4&amp;"!"&amp;ADDRESS(10,COLUMN(F$9)+10)&amp;":"&amp;ADDRESS(1000,COLUMN(F$9)+10))),
SUMIF(INDIRECT(Equipo!$G$4&amp;"!B10:B1000"),$B54,INDIRECT(Equipo!$G$4&amp;"!"&amp;ADDRESS(10,COLUMN(F$9)+10)&amp;":"&amp;ADDRESS(1000,COLUMN(F$9)+10)))
))</f>
        <v>0</v>
      </c>
      <c r="G54" s="19">
        <f t="array" ref="G54">IF(ISBLANK(Tareas!$B50),"-",
SUM(
SUMIF(INDIRECT(Equipo!$C$4&amp;"!B10:B1000"),$B54,INDIRECT(Equipo!$C$4&amp;"!"&amp;ADDRESS(10,COLUMN(G$9)+10)&amp;":"&amp;ADDRESS(1000,COLUMN(G$9)+10))),
SUMIF(INDIRECT(Equipo!$D$4&amp;"!B10:B1000"),$B54,INDIRECT(Equipo!$D$4&amp;"!"&amp;ADDRESS(10,COLUMN(G$9)+10)&amp;":"&amp;ADDRESS(1000,COLUMN(G$9)+10))),
SUMIF(INDIRECT(Equipo!$E$4&amp;"!B10:B1000"),$B54,INDIRECT(Equipo!$E$4&amp;"!"&amp;ADDRESS(10,COLUMN(G$9)+10)&amp;":"&amp;ADDRESS(1000,COLUMN(G$9)+10))),
SUMIF(INDIRECT(Equipo!$F$4&amp;"!B10:B1000"),$B54,INDIRECT(Equipo!$F$4&amp;"!"&amp;ADDRESS(10,COLUMN(G$9)+10)&amp;":"&amp;ADDRESS(1000,COLUMN(G$9)+10))),
SUMIF(INDIRECT(Equipo!$G$4&amp;"!B10:B1000"),$B54,INDIRECT(Equipo!$G$4&amp;"!"&amp;ADDRESS(10,COLUMN(G$9)+10)&amp;":"&amp;ADDRESS(1000,COLUMN(G$9)+10)))
))</f>
        <v>0</v>
      </c>
      <c r="H54" s="19">
        <f t="array" ref="H54">IF(ISBLANK(Tareas!$B50),"-",
SUM(
SUMIF(INDIRECT(Equipo!$C$4&amp;"!B10:B1000"),$B54,INDIRECT(Equipo!$C$4&amp;"!"&amp;ADDRESS(10,COLUMN(H$9)+10)&amp;":"&amp;ADDRESS(1000,COLUMN(H$9)+10))),
SUMIF(INDIRECT(Equipo!$D$4&amp;"!B10:B1000"),$B54,INDIRECT(Equipo!$D$4&amp;"!"&amp;ADDRESS(10,COLUMN(H$9)+10)&amp;":"&amp;ADDRESS(1000,COLUMN(H$9)+10))),
SUMIF(INDIRECT(Equipo!$E$4&amp;"!B10:B1000"),$B54,INDIRECT(Equipo!$E$4&amp;"!"&amp;ADDRESS(10,COLUMN(H$9)+10)&amp;":"&amp;ADDRESS(1000,COLUMN(H$9)+10))),
SUMIF(INDIRECT(Equipo!$F$4&amp;"!B10:B1000"),$B54,INDIRECT(Equipo!$F$4&amp;"!"&amp;ADDRESS(10,COLUMN(H$9)+10)&amp;":"&amp;ADDRESS(1000,COLUMN(H$9)+10))),
SUMIF(INDIRECT(Equipo!$G$4&amp;"!B10:B1000"),$B54,INDIRECT(Equipo!$G$4&amp;"!"&amp;ADDRESS(10,COLUMN(H$9)+10)&amp;":"&amp;ADDRESS(1000,COLUMN(H$9)+10)))
))</f>
        <v>0</v>
      </c>
      <c r="I54" s="19">
        <f t="array" ref="I54">IF(ISBLANK(Tareas!$B50),"-",
SUM(
SUMIF(INDIRECT(Equipo!$C$4&amp;"!B10:B1000"),$B54,INDIRECT(Equipo!$C$4&amp;"!"&amp;ADDRESS(10,COLUMN(I$9)+10)&amp;":"&amp;ADDRESS(1000,COLUMN(I$9)+10))),
SUMIF(INDIRECT(Equipo!$D$4&amp;"!B10:B1000"),$B54,INDIRECT(Equipo!$D$4&amp;"!"&amp;ADDRESS(10,COLUMN(I$9)+10)&amp;":"&amp;ADDRESS(1000,COLUMN(I$9)+10))),
SUMIF(INDIRECT(Equipo!$E$4&amp;"!B10:B1000"),$B54,INDIRECT(Equipo!$E$4&amp;"!"&amp;ADDRESS(10,COLUMN(I$9)+10)&amp;":"&amp;ADDRESS(1000,COLUMN(I$9)+10))),
SUMIF(INDIRECT(Equipo!$F$4&amp;"!B10:B1000"),$B54,INDIRECT(Equipo!$F$4&amp;"!"&amp;ADDRESS(10,COLUMN(I$9)+10)&amp;":"&amp;ADDRESS(1000,COLUMN(I$9)+10))),
SUMIF(INDIRECT(Equipo!$G$4&amp;"!B10:B1000"),$B54,INDIRECT(Equipo!$G$4&amp;"!"&amp;ADDRESS(10,COLUMN(I$9)+10)&amp;":"&amp;ADDRESS(1000,COLUMN(I$9)+10)))
))</f>
        <v>0</v>
      </c>
      <c r="J54" s="19">
        <f t="array" ref="J54">IF(ISBLANK(Tareas!$B50),"-",
SUM(
SUMIF(INDIRECT(Equipo!$C$4&amp;"!B10:B1000"),$B54,INDIRECT(Equipo!$C$4&amp;"!"&amp;ADDRESS(10,COLUMN(J$9)+10)&amp;":"&amp;ADDRESS(1000,COLUMN(J$9)+10))),
SUMIF(INDIRECT(Equipo!$D$4&amp;"!B10:B1000"),$B54,INDIRECT(Equipo!$D$4&amp;"!"&amp;ADDRESS(10,COLUMN(J$9)+10)&amp;":"&amp;ADDRESS(1000,COLUMN(J$9)+10))),
SUMIF(INDIRECT(Equipo!$E$4&amp;"!B10:B1000"),$B54,INDIRECT(Equipo!$E$4&amp;"!"&amp;ADDRESS(10,COLUMN(J$9)+10)&amp;":"&amp;ADDRESS(1000,COLUMN(J$9)+10))),
SUMIF(INDIRECT(Equipo!$F$4&amp;"!B10:B1000"),$B54,INDIRECT(Equipo!$F$4&amp;"!"&amp;ADDRESS(10,COLUMN(J$9)+10)&amp;":"&amp;ADDRESS(1000,COLUMN(J$9)+10))),
SUMIF(INDIRECT(Equipo!$G$4&amp;"!B10:B1000"),$B54,INDIRECT(Equipo!$G$4&amp;"!"&amp;ADDRESS(10,COLUMN(J$9)+10)&amp;":"&amp;ADDRESS(1000,COLUMN(J$9)+10)))
))</f>
        <v>0</v>
      </c>
      <c r="K54" s="19">
        <f t="array" ref="K54">IF(ISBLANK(Tareas!$B50),"-",
SUM(
SUMIF(INDIRECT(Equipo!$C$4&amp;"!B10:B1000"),$B54,INDIRECT(Equipo!$C$4&amp;"!"&amp;ADDRESS(10,COLUMN(K$9)+10)&amp;":"&amp;ADDRESS(1000,COLUMN(K$9)+10))),
SUMIF(INDIRECT(Equipo!$D$4&amp;"!B10:B1000"),$B54,INDIRECT(Equipo!$D$4&amp;"!"&amp;ADDRESS(10,COLUMN(K$9)+10)&amp;":"&amp;ADDRESS(1000,COLUMN(K$9)+10))),
SUMIF(INDIRECT(Equipo!$E$4&amp;"!B10:B1000"),$B54,INDIRECT(Equipo!$E$4&amp;"!"&amp;ADDRESS(10,COLUMN(K$9)+10)&amp;":"&amp;ADDRESS(1000,COLUMN(K$9)+10))),
SUMIF(INDIRECT(Equipo!$F$4&amp;"!B10:B1000"),$B54,INDIRECT(Equipo!$F$4&amp;"!"&amp;ADDRESS(10,COLUMN(K$9)+10)&amp;":"&amp;ADDRESS(1000,COLUMN(K$9)+10))),
SUMIF(INDIRECT(Equipo!$G$4&amp;"!B10:B1000"),$B54,INDIRECT(Equipo!$G$4&amp;"!"&amp;ADDRESS(10,COLUMN(K$9)+10)&amp;":"&amp;ADDRESS(1000,COLUMN(K$9)+10)))
))</f>
        <v>1.5</v>
      </c>
    </row>
    <row r="55" ht="15.75" customHeight="1">
      <c r="B55" s="1" t="str">
        <f>IF(ISBLANK(Tareas!B51)," - ",Tareas!B51)</f>
        <v>46. Ejecución de las pruebas</v>
      </c>
      <c r="C55" s="19">
        <f>IF(ISBLANK(Tareas!$B51),"-",SUM(D55:M55))</f>
        <v>1</v>
      </c>
      <c r="D55" s="19">
        <f t="array" ref="D55">IF(ISBLANK(Tareas!$B51),"-",
SUM(
SUMIF(INDIRECT(Equipo!$C$4&amp;"!B10:B1000"),$B55,INDIRECT(Equipo!$C$4&amp;"!"&amp;ADDRESS(10,COLUMN(D$9)+10)&amp;":"&amp;ADDRESS(1000,COLUMN(D$9)+10))),
SUMIF(INDIRECT(Equipo!$D$4&amp;"!B10:B1000"),$B55,INDIRECT(Equipo!$D$4&amp;"!"&amp;ADDRESS(10,COLUMN(D$9)+10)&amp;":"&amp;ADDRESS(1000,COLUMN(D$9)+10))),
SUMIF(INDIRECT(Equipo!$E$4&amp;"!B10:B1000"),$B55,INDIRECT(Equipo!$E$4&amp;"!"&amp;ADDRESS(10,COLUMN(D$9)+10)&amp;":"&amp;ADDRESS(1000,COLUMN(D$9)+10))),
SUMIF(INDIRECT(Equipo!$F$4&amp;"!B10:B1000"),$B55,INDIRECT(Equipo!$F$4&amp;"!"&amp;ADDRESS(10,COLUMN(D$9)+10)&amp;":"&amp;ADDRESS(1000,COLUMN(D$9)+10))),
SUMIF(INDIRECT(Equipo!$G$4&amp;"!B10:B1000"),$B55,INDIRECT(Equipo!$G$4&amp;"!"&amp;ADDRESS(10,COLUMN(D$9)+10)&amp;":"&amp;ADDRESS(1000,COLUMN(D$9)+10)))
))</f>
        <v>0</v>
      </c>
      <c r="E55" s="19">
        <f t="array" ref="E55">IF(ISBLANK(Tareas!$B51),"-",
SUM(
SUMIF(INDIRECT(Equipo!$C$4&amp;"!B10:B1000"),$B55,INDIRECT(Equipo!$C$4&amp;"!"&amp;ADDRESS(10,COLUMN(E$9)+10)&amp;":"&amp;ADDRESS(1000,COLUMN(E$9)+10))),
SUMIF(INDIRECT(Equipo!$D$4&amp;"!B10:B1000"),$B55,INDIRECT(Equipo!$D$4&amp;"!"&amp;ADDRESS(10,COLUMN(E$9)+10)&amp;":"&amp;ADDRESS(1000,COLUMN(E$9)+10))),
SUMIF(INDIRECT(Equipo!$E$4&amp;"!B10:B1000"),$B55,INDIRECT(Equipo!$E$4&amp;"!"&amp;ADDRESS(10,COLUMN(E$9)+10)&amp;":"&amp;ADDRESS(1000,COLUMN(E$9)+10))),
SUMIF(INDIRECT(Equipo!$F$4&amp;"!B10:B1000"),$B55,INDIRECT(Equipo!$F$4&amp;"!"&amp;ADDRESS(10,COLUMN(E$9)+10)&amp;":"&amp;ADDRESS(1000,COLUMN(E$9)+10))),
SUMIF(INDIRECT(Equipo!$G$4&amp;"!B10:B1000"),$B55,INDIRECT(Equipo!$G$4&amp;"!"&amp;ADDRESS(10,COLUMN(E$9)+10)&amp;":"&amp;ADDRESS(1000,COLUMN(E$9)+10)))
))</f>
        <v>0</v>
      </c>
      <c r="F55" s="19">
        <f t="array" ref="F55">IF(ISBLANK(Tareas!$B51),"-",
SUM(
SUMIF(INDIRECT(Equipo!$C$4&amp;"!B10:B1000"),$B55,INDIRECT(Equipo!$C$4&amp;"!"&amp;ADDRESS(10,COLUMN(F$9)+10)&amp;":"&amp;ADDRESS(1000,COLUMN(F$9)+10))),
SUMIF(INDIRECT(Equipo!$D$4&amp;"!B10:B1000"),$B55,INDIRECT(Equipo!$D$4&amp;"!"&amp;ADDRESS(10,COLUMN(F$9)+10)&amp;":"&amp;ADDRESS(1000,COLUMN(F$9)+10))),
SUMIF(INDIRECT(Equipo!$E$4&amp;"!B10:B1000"),$B55,INDIRECT(Equipo!$E$4&amp;"!"&amp;ADDRESS(10,COLUMN(F$9)+10)&amp;":"&amp;ADDRESS(1000,COLUMN(F$9)+10))),
SUMIF(INDIRECT(Equipo!$F$4&amp;"!B10:B1000"),$B55,INDIRECT(Equipo!$F$4&amp;"!"&amp;ADDRESS(10,COLUMN(F$9)+10)&amp;":"&amp;ADDRESS(1000,COLUMN(F$9)+10))),
SUMIF(INDIRECT(Equipo!$G$4&amp;"!B10:B1000"),$B55,INDIRECT(Equipo!$G$4&amp;"!"&amp;ADDRESS(10,COLUMN(F$9)+10)&amp;":"&amp;ADDRESS(1000,COLUMN(F$9)+10)))
))</f>
        <v>0</v>
      </c>
      <c r="G55" s="19">
        <f t="array" ref="G55">IF(ISBLANK(Tareas!$B51),"-",
SUM(
SUMIF(INDIRECT(Equipo!$C$4&amp;"!B10:B1000"),$B55,INDIRECT(Equipo!$C$4&amp;"!"&amp;ADDRESS(10,COLUMN(G$9)+10)&amp;":"&amp;ADDRESS(1000,COLUMN(G$9)+10))),
SUMIF(INDIRECT(Equipo!$D$4&amp;"!B10:B1000"),$B55,INDIRECT(Equipo!$D$4&amp;"!"&amp;ADDRESS(10,COLUMN(G$9)+10)&amp;":"&amp;ADDRESS(1000,COLUMN(G$9)+10))),
SUMIF(INDIRECT(Equipo!$E$4&amp;"!B10:B1000"),$B55,INDIRECT(Equipo!$E$4&amp;"!"&amp;ADDRESS(10,COLUMN(G$9)+10)&amp;":"&amp;ADDRESS(1000,COLUMN(G$9)+10))),
SUMIF(INDIRECT(Equipo!$F$4&amp;"!B10:B1000"),$B55,INDIRECT(Equipo!$F$4&amp;"!"&amp;ADDRESS(10,COLUMN(G$9)+10)&amp;":"&amp;ADDRESS(1000,COLUMN(G$9)+10))),
SUMIF(INDIRECT(Equipo!$G$4&amp;"!B10:B1000"),$B55,INDIRECT(Equipo!$G$4&amp;"!"&amp;ADDRESS(10,COLUMN(G$9)+10)&amp;":"&amp;ADDRESS(1000,COLUMN(G$9)+10)))
))</f>
        <v>0</v>
      </c>
      <c r="H55" s="19">
        <f t="array" ref="H55">IF(ISBLANK(Tareas!$B51),"-",
SUM(
SUMIF(INDIRECT(Equipo!$C$4&amp;"!B10:B1000"),$B55,INDIRECT(Equipo!$C$4&amp;"!"&amp;ADDRESS(10,COLUMN(H$9)+10)&amp;":"&amp;ADDRESS(1000,COLUMN(H$9)+10))),
SUMIF(INDIRECT(Equipo!$D$4&amp;"!B10:B1000"),$B55,INDIRECT(Equipo!$D$4&amp;"!"&amp;ADDRESS(10,COLUMN(H$9)+10)&amp;":"&amp;ADDRESS(1000,COLUMN(H$9)+10))),
SUMIF(INDIRECT(Equipo!$E$4&amp;"!B10:B1000"),$B55,INDIRECT(Equipo!$E$4&amp;"!"&amp;ADDRESS(10,COLUMN(H$9)+10)&amp;":"&amp;ADDRESS(1000,COLUMN(H$9)+10))),
SUMIF(INDIRECT(Equipo!$F$4&amp;"!B10:B1000"),$B55,INDIRECT(Equipo!$F$4&amp;"!"&amp;ADDRESS(10,COLUMN(H$9)+10)&amp;":"&amp;ADDRESS(1000,COLUMN(H$9)+10))),
SUMIF(INDIRECT(Equipo!$G$4&amp;"!B10:B1000"),$B55,INDIRECT(Equipo!$G$4&amp;"!"&amp;ADDRESS(10,COLUMN(H$9)+10)&amp;":"&amp;ADDRESS(1000,COLUMN(H$9)+10)))
))</f>
        <v>0</v>
      </c>
      <c r="I55" s="19">
        <f t="array" ref="I55">IF(ISBLANK(Tareas!$B51),"-",
SUM(
SUMIF(INDIRECT(Equipo!$C$4&amp;"!B10:B1000"),$B55,INDIRECT(Equipo!$C$4&amp;"!"&amp;ADDRESS(10,COLUMN(I$9)+10)&amp;":"&amp;ADDRESS(1000,COLUMN(I$9)+10))),
SUMIF(INDIRECT(Equipo!$D$4&amp;"!B10:B1000"),$B55,INDIRECT(Equipo!$D$4&amp;"!"&amp;ADDRESS(10,COLUMN(I$9)+10)&amp;":"&amp;ADDRESS(1000,COLUMN(I$9)+10))),
SUMIF(INDIRECT(Equipo!$E$4&amp;"!B10:B1000"),$B55,INDIRECT(Equipo!$E$4&amp;"!"&amp;ADDRESS(10,COLUMN(I$9)+10)&amp;":"&amp;ADDRESS(1000,COLUMN(I$9)+10))),
SUMIF(INDIRECT(Equipo!$F$4&amp;"!B10:B1000"),$B55,INDIRECT(Equipo!$F$4&amp;"!"&amp;ADDRESS(10,COLUMN(I$9)+10)&amp;":"&amp;ADDRESS(1000,COLUMN(I$9)+10))),
SUMIF(INDIRECT(Equipo!$G$4&amp;"!B10:B1000"),$B55,INDIRECT(Equipo!$G$4&amp;"!"&amp;ADDRESS(10,COLUMN(I$9)+10)&amp;":"&amp;ADDRESS(1000,COLUMN(I$9)+10)))
))</f>
        <v>0</v>
      </c>
      <c r="J55" s="19">
        <f t="array" ref="J55">IF(ISBLANK(Tareas!$B51),"-",
SUM(
SUMIF(INDIRECT(Equipo!$C$4&amp;"!B10:B1000"),$B55,INDIRECT(Equipo!$C$4&amp;"!"&amp;ADDRESS(10,COLUMN(J$9)+10)&amp;":"&amp;ADDRESS(1000,COLUMN(J$9)+10))),
SUMIF(INDIRECT(Equipo!$D$4&amp;"!B10:B1000"),$B55,INDIRECT(Equipo!$D$4&amp;"!"&amp;ADDRESS(10,COLUMN(J$9)+10)&amp;":"&amp;ADDRESS(1000,COLUMN(J$9)+10))),
SUMIF(INDIRECT(Equipo!$E$4&amp;"!B10:B1000"),$B55,INDIRECT(Equipo!$E$4&amp;"!"&amp;ADDRESS(10,COLUMN(J$9)+10)&amp;":"&amp;ADDRESS(1000,COLUMN(J$9)+10))),
SUMIF(INDIRECT(Equipo!$F$4&amp;"!B10:B1000"),$B55,INDIRECT(Equipo!$F$4&amp;"!"&amp;ADDRESS(10,COLUMN(J$9)+10)&amp;":"&amp;ADDRESS(1000,COLUMN(J$9)+10))),
SUMIF(INDIRECT(Equipo!$G$4&amp;"!B10:B1000"),$B55,INDIRECT(Equipo!$G$4&amp;"!"&amp;ADDRESS(10,COLUMN(J$9)+10)&amp;":"&amp;ADDRESS(1000,COLUMN(J$9)+10)))
))</f>
        <v>0</v>
      </c>
      <c r="K55" s="19">
        <f t="array" ref="K55">IF(ISBLANK(Tareas!$B51),"-",
SUM(
SUMIF(INDIRECT(Equipo!$C$4&amp;"!B10:B1000"),$B55,INDIRECT(Equipo!$C$4&amp;"!"&amp;ADDRESS(10,COLUMN(K$9)+10)&amp;":"&amp;ADDRESS(1000,COLUMN(K$9)+10))),
SUMIF(INDIRECT(Equipo!$D$4&amp;"!B10:B1000"),$B55,INDIRECT(Equipo!$D$4&amp;"!"&amp;ADDRESS(10,COLUMN(K$9)+10)&amp;":"&amp;ADDRESS(1000,COLUMN(K$9)+10))),
SUMIF(INDIRECT(Equipo!$E$4&amp;"!B10:B1000"),$B55,INDIRECT(Equipo!$E$4&amp;"!"&amp;ADDRESS(10,COLUMN(K$9)+10)&amp;":"&amp;ADDRESS(1000,COLUMN(K$9)+10))),
SUMIF(INDIRECT(Equipo!$F$4&amp;"!B10:B1000"),$B55,INDIRECT(Equipo!$F$4&amp;"!"&amp;ADDRESS(10,COLUMN(K$9)+10)&amp;":"&amp;ADDRESS(1000,COLUMN(K$9)+10))),
SUMIF(INDIRECT(Equipo!$G$4&amp;"!B10:B1000"),$B55,INDIRECT(Equipo!$G$4&amp;"!"&amp;ADDRESS(10,COLUMN(K$9)+10)&amp;":"&amp;ADDRESS(1000,COLUMN(K$9)+10)))
))</f>
        <v>1</v>
      </c>
    </row>
    <row r="56" ht="15.75" customHeight="1">
      <c r="B56" s="1" t="str">
        <f>IF(ISBLANK(Tareas!B52)," - ",Tareas!B52)</f>
        <v>47. Control de versiones y revisión final del código</v>
      </c>
      <c r="C56" s="19">
        <f>IF(ISBLANK(Tareas!$B52),"-",SUM(D56:M56))</f>
        <v>1.9</v>
      </c>
      <c r="D56" s="19">
        <f t="array" ref="D56">IF(ISBLANK(Tareas!$B52),"-",
SUM(
SUMIF(INDIRECT(Equipo!$C$4&amp;"!B10:B1000"),$B56,INDIRECT(Equipo!$C$4&amp;"!"&amp;ADDRESS(10,COLUMN(D$9)+10)&amp;":"&amp;ADDRESS(1000,COLUMN(D$9)+10))),
SUMIF(INDIRECT(Equipo!$D$4&amp;"!B10:B1000"),$B56,INDIRECT(Equipo!$D$4&amp;"!"&amp;ADDRESS(10,COLUMN(D$9)+10)&amp;":"&amp;ADDRESS(1000,COLUMN(D$9)+10))),
SUMIF(INDIRECT(Equipo!$E$4&amp;"!B10:B1000"),$B56,INDIRECT(Equipo!$E$4&amp;"!"&amp;ADDRESS(10,COLUMN(D$9)+10)&amp;":"&amp;ADDRESS(1000,COLUMN(D$9)+10))),
SUMIF(INDIRECT(Equipo!$F$4&amp;"!B10:B1000"),$B56,INDIRECT(Equipo!$F$4&amp;"!"&amp;ADDRESS(10,COLUMN(D$9)+10)&amp;":"&amp;ADDRESS(1000,COLUMN(D$9)+10))),
SUMIF(INDIRECT(Equipo!$G$4&amp;"!B10:B1000"),$B56,INDIRECT(Equipo!$G$4&amp;"!"&amp;ADDRESS(10,COLUMN(D$9)+10)&amp;":"&amp;ADDRESS(1000,COLUMN(D$9)+10)))
))</f>
        <v>0</v>
      </c>
      <c r="E56" s="19">
        <f t="array" ref="E56">IF(ISBLANK(Tareas!$B52),"-",
SUM(
SUMIF(INDIRECT(Equipo!$C$4&amp;"!B10:B1000"),$B56,INDIRECT(Equipo!$C$4&amp;"!"&amp;ADDRESS(10,COLUMN(E$9)+10)&amp;":"&amp;ADDRESS(1000,COLUMN(E$9)+10))),
SUMIF(INDIRECT(Equipo!$D$4&amp;"!B10:B1000"),$B56,INDIRECT(Equipo!$D$4&amp;"!"&amp;ADDRESS(10,COLUMN(E$9)+10)&amp;":"&amp;ADDRESS(1000,COLUMN(E$9)+10))),
SUMIF(INDIRECT(Equipo!$E$4&amp;"!B10:B1000"),$B56,INDIRECT(Equipo!$E$4&amp;"!"&amp;ADDRESS(10,COLUMN(E$9)+10)&amp;":"&amp;ADDRESS(1000,COLUMN(E$9)+10))),
SUMIF(INDIRECT(Equipo!$F$4&amp;"!B10:B1000"),$B56,INDIRECT(Equipo!$F$4&amp;"!"&amp;ADDRESS(10,COLUMN(E$9)+10)&amp;":"&amp;ADDRESS(1000,COLUMN(E$9)+10))),
SUMIF(INDIRECT(Equipo!$G$4&amp;"!B10:B1000"),$B56,INDIRECT(Equipo!$G$4&amp;"!"&amp;ADDRESS(10,COLUMN(E$9)+10)&amp;":"&amp;ADDRESS(1000,COLUMN(E$9)+10)))
))</f>
        <v>0</v>
      </c>
      <c r="F56" s="19">
        <f t="array" ref="F56">IF(ISBLANK(Tareas!$B52),"-",
SUM(
SUMIF(INDIRECT(Equipo!$C$4&amp;"!B10:B1000"),$B56,INDIRECT(Equipo!$C$4&amp;"!"&amp;ADDRESS(10,COLUMN(F$9)+10)&amp;":"&amp;ADDRESS(1000,COLUMN(F$9)+10))),
SUMIF(INDIRECT(Equipo!$D$4&amp;"!B10:B1000"),$B56,INDIRECT(Equipo!$D$4&amp;"!"&amp;ADDRESS(10,COLUMN(F$9)+10)&amp;":"&amp;ADDRESS(1000,COLUMN(F$9)+10))),
SUMIF(INDIRECT(Equipo!$E$4&amp;"!B10:B1000"),$B56,INDIRECT(Equipo!$E$4&amp;"!"&amp;ADDRESS(10,COLUMN(F$9)+10)&amp;":"&amp;ADDRESS(1000,COLUMN(F$9)+10))),
SUMIF(INDIRECT(Equipo!$F$4&amp;"!B10:B1000"),$B56,INDIRECT(Equipo!$F$4&amp;"!"&amp;ADDRESS(10,COLUMN(F$9)+10)&amp;":"&amp;ADDRESS(1000,COLUMN(F$9)+10))),
SUMIF(INDIRECT(Equipo!$G$4&amp;"!B10:B1000"),$B56,INDIRECT(Equipo!$G$4&amp;"!"&amp;ADDRESS(10,COLUMN(F$9)+10)&amp;":"&amp;ADDRESS(1000,COLUMN(F$9)+10)))
))</f>
        <v>0</v>
      </c>
      <c r="G56" s="19">
        <f t="array" ref="G56">IF(ISBLANK(Tareas!$B52),"-",
SUM(
SUMIF(INDIRECT(Equipo!$C$4&amp;"!B10:B1000"),$B56,INDIRECT(Equipo!$C$4&amp;"!"&amp;ADDRESS(10,COLUMN(G$9)+10)&amp;":"&amp;ADDRESS(1000,COLUMN(G$9)+10))),
SUMIF(INDIRECT(Equipo!$D$4&amp;"!B10:B1000"),$B56,INDIRECT(Equipo!$D$4&amp;"!"&amp;ADDRESS(10,COLUMN(G$9)+10)&amp;":"&amp;ADDRESS(1000,COLUMN(G$9)+10))),
SUMIF(INDIRECT(Equipo!$E$4&amp;"!B10:B1000"),$B56,INDIRECT(Equipo!$E$4&amp;"!"&amp;ADDRESS(10,COLUMN(G$9)+10)&amp;":"&amp;ADDRESS(1000,COLUMN(G$9)+10))),
SUMIF(INDIRECT(Equipo!$F$4&amp;"!B10:B1000"),$B56,INDIRECT(Equipo!$F$4&amp;"!"&amp;ADDRESS(10,COLUMN(G$9)+10)&amp;":"&amp;ADDRESS(1000,COLUMN(G$9)+10))),
SUMIF(INDIRECT(Equipo!$G$4&amp;"!B10:B1000"),$B56,INDIRECT(Equipo!$G$4&amp;"!"&amp;ADDRESS(10,COLUMN(G$9)+10)&amp;":"&amp;ADDRESS(1000,COLUMN(G$9)+10)))
))</f>
        <v>0</v>
      </c>
      <c r="H56" s="19">
        <f t="array" ref="H56">IF(ISBLANK(Tareas!$B52),"-",
SUM(
SUMIF(INDIRECT(Equipo!$C$4&amp;"!B10:B1000"),$B56,INDIRECT(Equipo!$C$4&amp;"!"&amp;ADDRESS(10,COLUMN(H$9)+10)&amp;":"&amp;ADDRESS(1000,COLUMN(H$9)+10))),
SUMIF(INDIRECT(Equipo!$D$4&amp;"!B10:B1000"),$B56,INDIRECT(Equipo!$D$4&amp;"!"&amp;ADDRESS(10,COLUMN(H$9)+10)&amp;":"&amp;ADDRESS(1000,COLUMN(H$9)+10))),
SUMIF(INDIRECT(Equipo!$E$4&amp;"!B10:B1000"),$B56,INDIRECT(Equipo!$E$4&amp;"!"&amp;ADDRESS(10,COLUMN(H$9)+10)&amp;":"&amp;ADDRESS(1000,COLUMN(H$9)+10))),
SUMIF(INDIRECT(Equipo!$F$4&amp;"!B10:B1000"),$B56,INDIRECT(Equipo!$F$4&amp;"!"&amp;ADDRESS(10,COLUMN(H$9)+10)&amp;":"&amp;ADDRESS(1000,COLUMN(H$9)+10))),
SUMIF(INDIRECT(Equipo!$G$4&amp;"!B10:B1000"),$B56,INDIRECT(Equipo!$G$4&amp;"!"&amp;ADDRESS(10,COLUMN(H$9)+10)&amp;":"&amp;ADDRESS(1000,COLUMN(H$9)+10)))
))</f>
        <v>0</v>
      </c>
      <c r="I56" s="19">
        <f t="array" ref="I56">IF(ISBLANK(Tareas!$B52),"-",
SUM(
SUMIF(INDIRECT(Equipo!$C$4&amp;"!B10:B1000"),$B56,INDIRECT(Equipo!$C$4&amp;"!"&amp;ADDRESS(10,COLUMN(I$9)+10)&amp;":"&amp;ADDRESS(1000,COLUMN(I$9)+10))),
SUMIF(INDIRECT(Equipo!$D$4&amp;"!B10:B1000"),$B56,INDIRECT(Equipo!$D$4&amp;"!"&amp;ADDRESS(10,COLUMN(I$9)+10)&amp;":"&amp;ADDRESS(1000,COLUMN(I$9)+10))),
SUMIF(INDIRECT(Equipo!$E$4&amp;"!B10:B1000"),$B56,INDIRECT(Equipo!$E$4&amp;"!"&amp;ADDRESS(10,COLUMN(I$9)+10)&amp;":"&amp;ADDRESS(1000,COLUMN(I$9)+10))),
SUMIF(INDIRECT(Equipo!$F$4&amp;"!B10:B1000"),$B56,INDIRECT(Equipo!$F$4&amp;"!"&amp;ADDRESS(10,COLUMN(I$9)+10)&amp;":"&amp;ADDRESS(1000,COLUMN(I$9)+10))),
SUMIF(INDIRECT(Equipo!$G$4&amp;"!B10:B1000"),$B56,INDIRECT(Equipo!$G$4&amp;"!"&amp;ADDRESS(10,COLUMN(I$9)+10)&amp;":"&amp;ADDRESS(1000,COLUMN(I$9)+10)))
))</f>
        <v>0</v>
      </c>
      <c r="J56" s="19">
        <f t="array" ref="J56">IF(ISBLANK(Tareas!$B52),"-",
SUM(
SUMIF(INDIRECT(Equipo!$C$4&amp;"!B10:B1000"),$B56,INDIRECT(Equipo!$C$4&amp;"!"&amp;ADDRESS(10,COLUMN(J$9)+10)&amp;":"&amp;ADDRESS(1000,COLUMN(J$9)+10))),
SUMIF(INDIRECT(Equipo!$D$4&amp;"!B10:B1000"),$B56,INDIRECT(Equipo!$D$4&amp;"!"&amp;ADDRESS(10,COLUMN(J$9)+10)&amp;":"&amp;ADDRESS(1000,COLUMN(J$9)+10))),
SUMIF(INDIRECT(Equipo!$E$4&amp;"!B10:B1000"),$B56,INDIRECT(Equipo!$E$4&amp;"!"&amp;ADDRESS(10,COLUMN(J$9)+10)&amp;":"&amp;ADDRESS(1000,COLUMN(J$9)+10))),
SUMIF(INDIRECT(Equipo!$F$4&amp;"!B10:B1000"),$B56,INDIRECT(Equipo!$F$4&amp;"!"&amp;ADDRESS(10,COLUMN(J$9)+10)&amp;":"&amp;ADDRESS(1000,COLUMN(J$9)+10))),
SUMIF(INDIRECT(Equipo!$G$4&amp;"!B10:B1000"),$B56,INDIRECT(Equipo!$G$4&amp;"!"&amp;ADDRESS(10,COLUMN(J$9)+10)&amp;":"&amp;ADDRESS(1000,COLUMN(J$9)+10)))
))</f>
        <v>0</v>
      </c>
      <c r="K56" s="19">
        <f t="array" ref="K56">IF(ISBLANK(Tareas!$B52),"-",
SUM(
SUMIF(INDIRECT(Equipo!$C$4&amp;"!B10:B1000"),$B56,INDIRECT(Equipo!$C$4&amp;"!"&amp;ADDRESS(10,COLUMN(K$9)+10)&amp;":"&amp;ADDRESS(1000,COLUMN(K$9)+10))),
SUMIF(INDIRECT(Equipo!$D$4&amp;"!B10:B1000"),$B56,INDIRECT(Equipo!$D$4&amp;"!"&amp;ADDRESS(10,COLUMN(K$9)+10)&amp;":"&amp;ADDRESS(1000,COLUMN(K$9)+10))),
SUMIF(INDIRECT(Equipo!$E$4&amp;"!B10:B1000"),$B56,INDIRECT(Equipo!$E$4&amp;"!"&amp;ADDRESS(10,COLUMN(K$9)+10)&amp;":"&amp;ADDRESS(1000,COLUMN(K$9)+10))),
SUMIF(INDIRECT(Equipo!$F$4&amp;"!B10:B1000"),$B56,INDIRECT(Equipo!$F$4&amp;"!"&amp;ADDRESS(10,COLUMN(K$9)+10)&amp;":"&amp;ADDRESS(1000,COLUMN(K$9)+10))),
SUMIF(INDIRECT(Equipo!$G$4&amp;"!B10:B1000"),$B56,INDIRECT(Equipo!$G$4&amp;"!"&amp;ADDRESS(10,COLUMN(K$9)+10)&amp;":"&amp;ADDRESS(1000,COLUMN(K$9)+10)))
))</f>
        <v>1.9</v>
      </c>
    </row>
    <row r="57" ht="15.75" customHeight="1">
      <c r="B57" s="1" t="str">
        <f>IF(ISBLANK(Tareas!B53)," - ",Tareas!B53)</f>
        <v>48. Revisión de la configuración y los documentos entregables</v>
      </c>
      <c r="C57" s="19">
        <f>IF(ISBLANK(Tareas!$B53),"-",SUM(D57:M57))</f>
        <v>0.8</v>
      </c>
      <c r="D57" s="19">
        <f t="array" ref="D57">IF(ISBLANK(Tareas!$B53),"-",
SUM(
SUMIF(INDIRECT(Equipo!$C$4&amp;"!B10:B1000"),$B57,INDIRECT(Equipo!$C$4&amp;"!"&amp;ADDRESS(10,COLUMN(D$9)+10)&amp;":"&amp;ADDRESS(1000,COLUMN(D$9)+10))),
SUMIF(INDIRECT(Equipo!$D$4&amp;"!B10:B1000"),$B57,INDIRECT(Equipo!$D$4&amp;"!"&amp;ADDRESS(10,COLUMN(D$9)+10)&amp;":"&amp;ADDRESS(1000,COLUMN(D$9)+10))),
SUMIF(INDIRECT(Equipo!$E$4&amp;"!B10:B1000"),$B57,INDIRECT(Equipo!$E$4&amp;"!"&amp;ADDRESS(10,COLUMN(D$9)+10)&amp;":"&amp;ADDRESS(1000,COLUMN(D$9)+10))),
SUMIF(INDIRECT(Equipo!$F$4&amp;"!B10:B1000"),$B57,INDIRECT(Equipo!$F$4&amp;"!"&amp;ADDRESS(10,COLUMN(D$9)+10)&amp;":"&amp;ADDRESS(1000,COLUMN(D$9)+10))),
SUMIF(INDIRECT(Equipo!$G$4&amp;"!B10:B1000"),$B57,INDIRECT(Equipo!$G$4&amp;"!"&amp;ADDRESS(10,COLUMN(D$9)+10)&amp;":"&amp;ADDRESS(1000,COLUMN(D$9)+10)))
))</f>
        <v>0</v>
      </c>
      <c r="E57" s="19">
        <f t="array" ref="E57">IF(ISBLANK(Tareas!$B53),"-",
SUM(
SUMIF(INDIRECT(Equipo!$C$4&amp;"!B10:B1000"),$B57,INDIRECT(Equipo!$C$4&amp;"!"&amp;ADDRESS(10,COLUMN(E$9)+10)&amp;":"&amp;ADDRESS(1000,COLUMN(E$9)+10))),
SUMIF(INDIRECT(Equipo!$D$4&amp;"!B10:B1000"),$B57,INDIRECT(Equipo!$D$4&amp;"!"&amp;ADDRESS(10,COLUMN(E$9)+10)&amp;":"&amp;ADDRESS(1000,COLUMN(E$9)+10))),
SUMIF(INDIRECT(Equipo!$E$4&amp;"!B10:B1000"),$B57,INDIRECT(Equipo!$E$4&amp;"!"&amp;ADDRESS(10,COLUMN(E$9)+10)&amp;":"&amp;ADDRESS(1000,COLUMN(E$9)+10))),
SUMIF(INDIRECT(Equipo!$F$4&amp;"!B10:B1000"),$B57,INDIRECT(Equipo!$F$4&amp;"!"&amp;ADDRESS(10,COLUMN(E$9)+10)&amp;":"&amp;ADDRESS(1000,COLUMN(E$9)+10))),
SUMIF(INDIRECT(Equipo!$G$4&amp;"!B10:B1000"),$B57,INDIRECT(Equipo!$G$4&amp;"!"&amp;ADDRESS(10,COLUMN(E$9)+10)&amp;":"&amp;ADDRESS(1000,COLUMN(E$9)+10)))
))</f>
        <v>0</v>
      </c>
      <c r="F57" s="19">
        <f t="array" ref="F57">IF(ISBLANK(Tareas!$B53),"-",
SUM(
SUMIF(INDIRECT(Equipo!$C$4&amp;"!B10:B1000"),$B57,INDIRECT(Equipo!$C$4&amp;"!"&amp;ADDRESS(10,COLUMN(F$9)+10)&amp;":"&amp;ADDRESS(1000,COLUMN(F$9)+10))),
SUMIF(INDIRECT(Equipo!$D$4&amp;"!B10:B1000"),$B57,INDIRECT(Equipo!$D$4&amp;"!"&amp;ADDRESS(10,COLUMN(F$9)+10)&amp;":"&amp;ADDRESS(1000,COLUMN(F$9)+10))),
SUMIF(INDIRECT(Equipo!$E$4&amp;"!B10:B1000"),$B57,INDIRECT(Equipo!$E$4&amp;"!"&amp;ADDRESS(10,COLUMN(F$9)+10)&amp;":"&amp;ADDRESS(1000,COLUMN(F$9)+10))),
SUMIF(INDIRECT(Equipo!$F$4&amp;"!B10:B1000"),$B57,INDIRECT(Equipo!$F$4&amp;"!"&amp;ADDRESS(10,COLUMN(F$9)+10)&amp;":"&amp;ADDRESS(1000,COLUMN(F$9)+10))),
SUMIF(INDIRECT(Equipo!$G$4&amp;"!B10:B1000"),$B57,INDIRECT(Equipo!$G$4&amp;"!"&amp;ADDRESS(10,COLUMN(F$9)+10)&amp;":"&amp;ADDRESS(1000,COLUMN(F$9)+10)))
))</f>
        <v>0</v>
      </c>
      <c r="G57" s="19">
        <f t="array" ref="G57">IF(ISBLANK(Tareas!$B53),"-",
SUM(
SUMIF(INDIRECT(Equipo!$C$4&amp;"!B10:B1000"),$B57,INDIRECT(Equipo!$C$4&amp;"!"&amp;ADDRESS(10,COLUMN(G$9)+10)&amp;":"&amp;ADDRESS(1000,COLUMN(G$9)+10))),
SUMIF(INDIRECT(Equipo!$D$4&amp;"!B10:B1000"),$B57,INDIRECT(Equipo!$D$4&amp;"!"&amp;ADDRESS(10,COLUMN(G$9)+10)&amp;":"&amp;ADDRESS(1000,COLUMN(G$9)+10))),
SUMIF(INDIRECT(Equipo!$E$4&amp;"!B10:B1000"),$B57,INDIRECT(Equipo!$E$4&amp;"!"&amp;ADDRESS(10,COLUMN(G$9)+10)&amp;":"&amp;ADDRESS(1000,COLUMN(G$9)+10))),
SUMIF(INDIRECT(Equipo!$F$4&amp;"!B10:B1000"),$B57,INDIRECT(Equipo!$F$4&amp;"!"&amp;ADDRESS(10,COLUMN(G$9)+10)&amp;":"&amp;ADDRESS(1000,COLUMN(G$9)+10))),
SUMIF(INDIRECT(Equipo!$G$4&amp;"!B10:B1000"),$B57,INDIRECT(Equipo!$G$4&amp;"!"&amp;ADDRESS(10,COLUMN(G$9)+10)&amp;":"&amp;ADDRESS(1000,COLUMN(G$9)+10)))
))</f>
        <v>0</v>
      </c>
      <c r="H57" s="19">
        <f t="array" ref="H57">IF(ISBLANK(Tareas!$B53),"-",
SUM(
SUMIF(INDIRECT(Equipo!$C$4&amp;"!B10:B1000"),$B57,INDIRECT(Equipo!$C$4&amp;"!"&amp;ADDRESS(10,COLUMN(H$9)+10)&amp;":"&amp;ADDRESS(1000,COLUMN(H$9)+10))),
SUMIF(INDIRECT(Equipo!$D$4&amp;"!B10:B1000"),$B57,INDIRECT(Equipo!$D$4&amp;"!"&amp;ADDRESS(10,COLUMN(H$9)+10)&amp;":"&amp;ADDRESS(1000,COLUMN(H$9)+10))),
SUMIF(INDIRECT(Equipo!$E$4&amp;"!B10:B1000"),$B57,INDIRECT(Equipo!$E$4&amp;"!"&amp;ADDRESS(10,COLUMN(H$9)+10)&amp;":"&amp;ADDRESS(1000,COLUMN(H$9)+10))),
SUMIF(INDIRECT(Equipo!$F$4&amp;"!B10:B1000"),$B57,INDIRECT(Equipo!$F$4&amp;"!"&amp;ADDRESS(10,COLUMN(H$9)+10)&amp;":"&amp;ADDRESS(1000,COLUMN(H$9)+10))),
SUMIF(INDIRECT(Equipo!$G$4&amp;"!B10:B1000"),$B57,INDIRECT(Equipo!$G$4&amp;"!"&amp;ADDRESS(10,COLUMN(H$9)+10)&amp;":"&amp;ADDRESS(1000,COLUMN(H$9)+10)))
))</f>
        <v>0</v>
      </c>
      <c r="I57" s="19">
        <f t="array" ref="I57">IF(ISBLANK(Tareas!$B53),"-",
SUM(
SUMIF(INDIRECT(Equipo!$C$4&amp;"!B10:B1000"),$B57,INDIRECT(Equipo!$C$4&amp;"!"&amp;ADDRESS(10,COLUMN(I$9)+10)&amp;":"&amp;ADDRESS(1000,COLUMN(I$9)+10))),
SUMIF(INDIRECT(Equipo!$D$4&amp;"!B10:B1000"),$B57,INDIRECT(Equipo!$D$4&amp;"!"&amp;ADDRESS(10,COLUMN(I$9)+10)&amp;":"&amp;ADDRESS(1000,COLUMN(I$9)+10))),
SUMIF(INDIRECT(Equipo!$E$4&amp;"!B10:B1000"),$B57,INDIRECT(Equipo!$E$4&amp;"!"&amp;ADDRESS(10,COLUMN(I$9)+10)&amp;":"&amp;ADDRESS(1000,COLUMN(I$9)+10))),
SUMIF(INDIRECT(Equipo!$F$4&amp;"!B10:B1000"),$B57,INDIRECT(Equipo!$F$4&amp;"!"&amp;ADDRESS(10,COLUMN(I$9)+10)&amp;":"&amp;ADDRESS(1000,COLUMN(I$9)+10))),
SUMIF(INDIRECT(Equipo!$G$4&amp;"!B10:B1000"),$B57,INDIRECT(Equipo!$G$4&amp;"!"&amp;ADDRESS(10,COLUMN(I$9)+10)&amp;":"&amp;ADDRESS(1000,COLUMN(I$9)+10)))
))</f>
        <v>0</v>
      </c>
      <c r="J57" s="19">
        <f t="array" ref="J57">IF(ISBLANK(Tareas!$B53),"-",
SUM(
SUMIF(INDIRECT(Equipo!$C$4&amp;"!B10:B1000"),$B57,INDIRECT(Equipo!$C$4&amp;"!"&amp;ADDRESS(10,COLUMN(J$9)+10)&amp;":"&amp;ADDRESS(1000,COLUMN(J$9)+10))),
SUMIF(INDIRECT(Equipo!$D$4&amp;"!B10:B1000"),$B57,INDIRECT(Equipo!$D$4&amp;"!"&amp;ADDRESS(10,COLUMN(J$9)+10)&amp;":"&amp;ADDRESS(1000,COLUMN(J$9)+10))),
SUMIF(INDIRECT(Equipo!$E$4&amp;"!B10:B1000"),$B57,INDIRECT(Equipo!$E$4&amp;"!"&amp;ADDRESS(10,COLUMN(J$9)+10)&amp;":"&amp;ADDRESS(1000,COLUMN(J$9)+10))),
SUMIF(INDIRECT(Equipo!$F$4&amp;"!B10:B1000"),$B57,INDIRECT(Equipo!$F$4&amp;"!"&amp;ADDRESS(10,COLUMN(J$9)+10)&amp;":"&amp;ADDRESS(1000,COLUMN(J$9)+10))),
SUMIF(INDIRECT(Equipo!$G$4&amp;"!B10:B1000"),$B57,INDIRECT(Equipo!$G$4&amp;"!"&amp;ADDRESS(10,COLUMN(J$9)+10)&amp;":"&amp;ADDRESS(1000,COLUMN(J$9)+10)))
))</f>
        <v>0</v>
      </c>
      <c r="K57" s="19">
        <f t="array" ref="K57">IF(ISBLANK(Tareas!$B53),"-",
SUM(
SUMIF(INDIRECT(Equipo!$C$4&amp;"!B10:B1000"),$B57,INDIRECT(Equipo!$C$4&amp;"!"&amp;ADDRESS(10,COLUMN(K$9)+10)&amp;":"&amp;ADDRESS(1000,COLUMN(K$9)+10))),
SUMIF(INDIRECT(Equipo!$D$4&amp;"!B10:B1000"),$B57,INDIRECT(Equipo!$D$4&amp;"!"&amp;ADDRESS(10,COLUMN(K$9)+10)&amp;":"&amp;ADDRESS(1000,COLUMN(K$9)+10))),
SUMIF(INDIRECT(Equipo!$E$4&amp;"!B10:B1000"),$B57,INDIRECT(Equipo!$E$4&amp;"!"&amp;ADDRESS(10,COLUMN(K$9)+10)&amp;":"&amp;ADDRESS(1000,COLUMN(K$9)+10))),
SUMIF(INDIRECT(Equipo!$F$4&amp;"!B10:B1000"),$B57,INDIRECT(Equipo!$F$4&amp;"!"&amp;ADDRESS(10,COLUMN(K$9)+10)&amp;":"&amp;ADDRESS(1000,COLUMN(K$9)+10))),
SUMIF(INDIRECT(Equipo!$G$4&amp;"!B10:B1000"),$B57,INDIRECT(Equipo!$G$4&amp;"!"&amp;ADDRESS(10,COLUMN(K$9)+10)&amp;":"&amp;ADDRESS(1000,COLUMN(K$9)+10)))
))</f>
        <v>0.8</v>
      </c>
    </row>
    <row r="58" ht="15.75" customHeight="1">
      <c r="B58" s="1" t="str">
        <f>IF(ISBLANK(Tareas!B54)," - ",Tareas!B54)</f>
        <v>49. Revisión de los resultados de las pruebas y corrección de errores</v>
      </c>
      <c r="C58" s="19">
        <f>IF(ISBLANK(Tareas!$B54),"-",SUM(D58:M58))</f>
        <v>0.3</v>
      </c>
      <c r="D58" s="19">
        <f t="array" ref="D58">IF(ISBLANK(Tareas!$B54),"-",
SUM(
SUMIF(INDIRECT(Equipo!$C$4&amp;"!B10:B1000"),$B58,INDIRECT(Equipo!$C$4&amp;"!"&amp;ADDRESS(10,COLUMN(D$9)+10)&amp;":"&amp;ADDRESS(1000,COLUMN(D$9)+10))),
SUMIF(INDIRECT(Equipo!$D$4&amp;"!B10:B1000"),$B58,INDIRECT(Equipo!$D$4&amp;"!"&amp;ADDRESS(10,COLUMN(D$9)+10)&amp;":"&amp;ADDRESS(1000,COLUMN(D$9)+10))),
SUMIF(INDIRECT(Equipo!$E$4&amp;"!B10:B1000"),$B58,INDIRECT(Equipo!$E$4&amp;"!"&amp;ADDRESS(10,COLUMN(D$9)+10)&amp;":"&amp;ADDRESS(1000,COLUMN(D$9)+10))),
SUMIF(INDIRECT(Equipo!$F$4&amp;"!B10:B1000"),$B58,INDIRECT(Equipo!$F$4&amp;"!"&amp;ADDRESS(10,COLUMN(D$9)+10)&amp;":"&amp;ADDRESS(1000,COLUMN(D$9)+10))),
SUMIF(INDIRECT(Equipo!$G$4&amp;"!B10:B1000"),$B58,INDIRECT(Equipo!$G$4&amp;"!"&amp;ADDRESS(10,COLUMN(D$9)+10)&amp;":"&amp;ADDRESS(1000,COLUMN(D$9)+10)))
))</f>
        <v>0</v>
      </c>
      <c r="E58" s="19">
        <f t="array" ref="E58">IF(ISBLANK(Tareas!$B54),"-",
SUM(
SUMIF(INDIRECT(Equipo!$C$4&amp;"!B10:B1000"),$B58,INDIRECT(Equipo!$C$4&amp;"!"&amp;ADDRESS(10,COLUMN(E$9)+10)&amp;":"&amp;ADDRESS(1000,COLUMN(E$9)+10))),
SUMIF(INDIRECT(Equipo!$D$4&amp;"!B10:B1000"),$B58,INDIRECT(Equipo!$D$4&amp;"!"&amp;ADDRESS(10,COLUMN(E$9)+10)&amp;":"&amp;ADDRESS(1000,COLUMN(E$9)+10))),
SUMIF(INDIRECT(Equipo!$E$4&amp;"!B10:B1000"),$B58,INDIRECT(Equipo!$E$4&amp;"!"&amp;ADDRESS(10,COLUMN(E$9)+10)&amp;":"&amp;ADDRESS(1000,COLUMN(E$9)+10))),
SUMIF(INDIRECT(Equipo!$F$4&amp;"!B10:B1000"),$B58,INDIRECT(Equipo!$F$4&amp;"!"&amp;ADDRESS(10,COLUMN(E$9)+10)&amp;":"&amp;ADDRESS(1000,COLUMN(E$9)+10))),
SUMIF(INDIRECT(Equipo!$G$4&amp;"!B10:B1000"),$B58,INDIRECT(Equipo!$G$4&amp;"!"&amp;ADDRESS(10,COLUMN(E$9)+10)&amp;":"&amp;ADDRESS(1000,COLUMN(E$9)+10)))
))</f>
        <v>0</v>
      </c>
      <c r="F58" s="19">
        <f t="array" ref="F58">IF(ISBLANK(Tareas!$B54),"-",
SUM(
SUMIF(INDIRECT(Equipo!$C$4&amp;"!B10:B1000"),$B58,INDIRECT(Equipo!$C$4&amp;"!"&amp;ADDRESS(10,COLUMN(F$9)+10)&amp;":"&amp;ADDRESS(1000,COLUMN(F$9)+10))),
SUMIF(INDIRECT(Equipo!$D$4&amp;"!B10:B1000"),$B58,INDIRECT(Equipo!$D$4&amp;"!"&amp;ADDRESS(10,COLUMN(F$9)+10)&amp;":"&amp;ADDRESS(1000,COLUMN(F$9)+10))),
SUMIF(INDIRECT(Equipo!$E$4&amp;"!B10:B1000"),$B58,INDIRECT(Equipo!$E$4&amp;"!"&amp;ADDRESS(10,COLUMN(F$9)+10)&amp;":"&amp;ADDRESS(1000,COLUMN(F$9)+10))),
SUMIF(INDIRECT(Equipo!$F$4&amp;"!B10:B1000"),$B58,INDIRECT(Equipo!$F$4&amp;"!"&amp;ADDRESS(10,COLUMN(F$9)+10)&amp;":"&amp;ADDRESS(1000,COLUMN(F$9)+10))),
SUMIF(INDIRECT(Equipo!$G$4&amp;"!B10:B1000"),$B58,INDIRECT(Equipo!$G$4&amp;"!"&amp;ADDRESS(10,COLUMN(F$9)+10)&amp;":"&amp;ADDRESS(1000,COLUMN(F$9)+10)))
))</f>
        <v>0</v>
      </c>
      <c r="G58" s="19">
        <f t="array" ref="G58">IF(ISBLANK(Tareas!$B54),"-",
SUM(
SUMIF(INDIRECT(Equipo!$C$4&amp;"!B10:B1000"),$B58,INDIRECT(Equipo!$C$4&amp;"!"&amp;ADDRESS(10,COLUMN(G$9)+10)&amp;":"&amp;ADDRESS(1000,COLUMN(G$9)+10))),
SUMIF(INDIRECT(Equipo!$D$4&amp;"!B10:B1000"),$B58,INDIRECT(Equipo!$D$4&amp;"!"&amp;ADDRESS(10,COLUMN(G$9)+10)&amp;":"&amp;ADDRESS(1000,COLUMN(G$9)+10))),
SUMIF(INDIRECT(Equipo!$E$4&amp;"!B10:B1000"),$B58,INDIRECT(Equipo!$E$4&amp;"!"&amp;ADDRESS(10,COLUMN(G$9)+10)&amp;":"&amp;ADDRESS(1000,COLUMN(G$9)+10))),
SUMIF(INDIRECT(Equipo!$F$4&amp;"!B10:B1000"),$B58,INDIRECT(Equipo!$F$4&amp;"!"&amp;ADDRESS(10,COLUMN(G$9)+10)&amp;":"&amp;ADDRESS(1000,COLUMN(G$9)+10))),
SUMIF(INDIRECT(Equipo!$G$4&amp;"!B10:B1000"),$B58,INDIRECT(Equipo!$G$4&amp;"!"&amp;ADDRESS(10,COLUMN(G$9)+10)&amp;":"&amp;ADDRESS(1000,COLUMN(G$9)+10)))
))</f>
        <v>0</v>
      </c>
      <c r="H58" s="19">
        <f t="array" ref="H58">IF(ISBLANK(Tareas!$B54),"-",
SUM(
SUMIF(INDIRECT(Equipo!$C$4&amp;"!B10:B1000"),$B58,INDIRECT(Equipo!$C$4&amp;"!"&amp;ADDRESS(10,COLUMN(H$9)+10)&amp;":"&amp;ADDRESS(1000,COLUMN(H$9)+10))),
SUMIF(INDIRECT(Equipo!$D$4&amp;"!B10:B1000"),$B58,INDIRECT(Equipo!$D$4&amp;"!"&amp;ADDRESS(10,COLUMN(H$9)+10)&amp;":"&amp;ADDRESS(1000,COLUMN(H$9)+10))),
SUMIF(INDIRECT(Equipo!$E$4&amp;"!B10:B1000"),$B58,INDIRECT(Equipo!$E$4&amp;"!"&amp;ADDRESS(10,COLUMN(H$9)+10)&amp;":"&amp;ADDRESS(1000,COLUMN(H$9)+10))),
SUMIF(INDIRECT(Equipo!$F$4&amp;"!B10:B1000"),$B58,INDIRECT(Equipo!$F$4&amp;"!"&amp;ADDRESS(10,COLUMN(H$9)+10)&amp;":"&amp;ADDRESS(1000,COLUMN(H$9)+10))),
SUMIF(INDIRECT(Equipo!$G$4&amp;"!B10:B1000"),$B58,INDIRECT(Equipo!$G$4&amp;"!"&amp;ADDRESS(10,COLUMN(H$9)+10)&amp;":"&amp;ADDRESS(1000,COLUMN(H$9)+10)))
))</f>
        <v>0</v>
      </c>
      <c r="I58" s="19">
        <f t="array" ref="I58">IF(ISBLANK(Tareas!$B54),"-",
SUM(
SUMIF(INDIRECT(Equipo!$C$4&amp;"!B10:B1000"),$B58,INDIRECT(Equipo!$C$4&amp;"!"&amp;ADDRESS(10,COLUMN(I$9)+10)&amp;":"&amp;ADDRESS(1000,COLUMN(I$9)+10))),
SUMIF(INDIRECT(Equipo!$D$4&amp;"!B10:B1000"),$B58,INDIRECT(Equipo!$D$4&amp;"!"&amp;ADDRESS(10,COLUMN(I$9)+10)&amp;":"&amp;ADDRESS(1000,COLUMN(I$9)+10))),
SUMIF(INDIRECT(Equipo!$E$4&amp;"!B10:B1000"),$B58,INDIRECT(Equipo!$E$4&amp;"!"&amp;ADDRESS(10,COLUMN(I$9)+10)&amp;":"&amp;ADDRESS(1000,COLUMN(I$9)+10))),
SUMIF(INDIRECT(Equipo!$F$4&amp;"!B10:B1000"),$B58,INDIRECT(Equipo!$F$4&amp;"!"&amp;ADDRESS(10,COLUMN(I$9)+10)&amp;":"&amp;ADDRESS(1000,COLUMN(I$9)+10))),
SUMIF(INDIRECT(Equipo!$G$4&amp;"!B10:B1000"),$B58,INDIRECT(Equipo!$G$4&amp;"!"&amp;ADDRESS(10,COLUMN(I$9)+10)&amp;":"&amp;ADDRESS(1000,COLUMN(I$9)+10)))
))</f>
        <v>0</v>
      </c>
      <c r="J58" s="19">
        <f t="array" ref="J58">IF(ISBLANK(Tareas!$B54),"-",
SUM(
SUMIF(INDIRECT(Equipo!$C$4&amp;"!B10:B1000"),$B58,INDIRECT(Equipo!$C$4&amp;"!"&amp;ADDRESS(10,COLUMN(J$9)+10)&amp;":"&amp;ADDRESS(1000,COLUMN(J$9)+10))),
SUMIF(INDIRECT(Equipo!$D$4&amp;"!B10:B1000"),$B58,INDIRECT(Equipo!$D$4&amp;"!"&amp;ADDRESS(10,COLUMN(J$9)+10)&amp;":"&amp;ADDRESS(1000,COLUMN(J$9)+10))),
SUMIF(INDIRECT(Equipo!$E$4&amp;"!B10:B1000"),$B58,INDIRECT(Equipo!$E$4&amp;"!"&amp;ADDRESS(10,COLUMN(J$9)+10)&amp;":"&amp;ADDRESS(1000,COLUMN(J$9)+10))),
SUMIF(INDIRECT(Equipo!$F$4&amp;"!B10:B1000"),$B58,INDIRECT(Equipo!$F$4&amp;"!"&amp;ADDRESS(10,COLUMN(J$9)+10)&amp;":"&amp;ADDRESS(1000,COLUMN(J$9)+10))),
SUMIF(INDIRECT(Equipo!$G$4&amp;"!B10:B1000"),$B58,INDIRECT(Equipo!$G$4&amp;"!"&amp;ADDRESS(10,COLUMN(J$9)+10)&amp;":"&amp;ADDRESS(1000,COLUMN(J$9)+10)))
))</f>
        <v>0</v>
      </c>
      <c r="K58" s="19">
        <f t="array" ref="K58">IF(ISBLANK(Tareas!$B54),"-",
SUM(
SUMIF(INDIRECT(Equipo!$C$4&amp;"!B10:B1000"),$B58,INDIRECT(Equipo!$C$4&amp;"!"&amp;ADDRESS(10,COLUMN(K$9)+10)&amp;":"&amp;ADDRESS(1000,COLUMN(K$9)+10))),
SUMIF(INDIRECT(Equipo!$D$4&amp;"!B10:B1000"),$B58,INDIRECT(Equipo!$D$4&amp;"!"&amp;ADDRESS(10,COLUMN(K$9)+10)&amp;":"&amp;ADDRESS(1000,COLUMN(K$9)+10))),
SUMIF(INDIRECT(Equipo!$E$4&amp;"!B10:B1000"),$B58,INDIRECT(Equipo!$E$4&amp;"!"&amp;ADDRESS(10,COLUMN(K$9)+10)&amp;":"&amp;ADDRESS(1000,COLUMN(K$9)+10))),
SUMIF(INDIRECT(Equipo!$F$4&amp;"!B10:B1000"),$B58,INDIRECT(Equipo!$F$4&amp;"!"&amp;ADDRESS(10,COLUMN(K$9)+10)&amp;":"&amp;ADDRESS(1000,COLUMN(K$9)+10))),
SUMIF(INDIRECT(Equipo!$G$4&amp;"!B10:B1000"),$B58,INDIRECT(Equipo!$G$4&amp;"!"&amp;ADDRESS(10,COLUMN(K$9)+10)&amp;":"&amp;ADDRESS(1000,COLUMN(K$9)+10)))
))</f>
        <v>0.3</v>
      </c>
    </row>
    <row r="59" ht="15.75" customHeight="1">
      <c r="B59" s="1" t="str">
        <f>IF(ISBLANK(Tareas!B55)," - ",Tareas!B55)</f>
        <v>50. Corrección del código (post-revisión)</v>
      </c>
      <c r="C59" s="19">
        <f>IF(ISBLANK(Tareas!$B55),"-",SUM(D59:M59))</f>
        <v>1.6</v>
      </c>
      <c r="D59" s="19">
        <f t="array" ref="D59">IF(ISBLANK(Tareas!$B55),"-",
SUM(
SUMIF(INDIRECT(Equipo!$C$4&amp;"!B10:B1000"),$B59,INDIRECT(Equipo!$C$4&amp;"!"&amp;ADDRESS(10,COLUMN(D$9)+10)&amp;":"&amp;ADDRESS(1000,COLUMN(D$9)+10))),
SUMIF(INDIRECT(Equipo!$D$4&amp;"!B10:B1000"),$B59,INDIRECT(Equipo!$D$4&amp;"!"&amp;ADDRESS(10,COLUMN(D$9)+10)&amp;":"&amp;ADDRESS(1000,COLUMN(D$9)+10))),
SUMIF(INDIRECT(Equipo!$E$4&amp;"!B10:B1000"),$B59,INDIRECT(Equipo!$E$4&amp;"!"&amp;ADDRESS(10,COLUMN(D$9)+10)&amp;":"&amp;ADDRESS(1000,COLUMN(D$9)+10))),
SUMIF(INDIRECT(Equipo!$F$4&amp;"!B10:B1000"),$B59,INDIRECT(Equipo!$F$4&amp;"!"&amp;ADDRESS(10,COLUMN(D$9)+10)&amp;":"&amp;ADDRESS(1000,COLUMN(D$9)+10))),
SUMIF(INDIRECT(Equipo!$G$4&amp;"!B10:B1000"),$B59,INDIRECT(Equipo!$G$4&amp;"!"&amp;ADDRESS(10,COLUMN(D$9)+10)&amp;":"&amp;ADDRESS(1000,COLUMN(D$9)+10)))
))</f>
        <v>0</v>
      </c>
      <c r="E59" s="19">
        <f t="array" ref="E59">IF(ISBLANK(Tareas!$B55),"-",
SUM(
SUMIF(INDIRECT(Equipo!$C$4&amp;"!B10:B1000"),$B59,INDIRECT(Equipo!$C$4&amp;"!"&amp;ADDRESS(10,COLUMN(E$9)+10)&amp;":"&amp;ADDRESS(1000,COLUMN(E$9)+10))),
SUMIF(INDIRECT(Equipo!$D$4&amp;"!B10:B1000"),$B59,INDIRECT(Equipo!$D$4&amp;"!"&amp;ADDRESS(10,COLUMN(E$9)+10)&amp;":"&amp;ADDRESS(1000,COLUMN(E$9)+10))),
SUMIF(INDIRECT(Equipo!$E$4&amp;"!B10:B1000"),$B59,INDIRECT(Equipo!$E$4&amp;"!"&amp;ADDRESS(10,COLUMN(E$9)+10)&amp;":"&amp;ADDRESS(1000,COLUMN(E$9)+10))),
SUMIF(INDIRECT(Equipo!$F$4&amp;"!B10:B1000"),$B59,INDIRECT(Equipo!$F$4&amp;"!"&amp;ADDRESS(10,COLUMN(E$9)+10)&amp;":"&amp;ADDRESS(1000,COLUMN(E$9)+10))),
SUMIF(INDIRECT(Equipo!$G$4&amp;"!B10:B1000"),$B59,INDIRECT(Equipo!$G$4&amp;"!"&amp;ADDRESS(10,COLUMN(E$9)+10)&amp;":"&amp;ADDRESS(1000,COLUMN(E$9)+10)))
))</f>
        <v>0</v>
      </c>
      <c r="F59" s="19">
        <f t="array" ref="F59">IF(ISBLANK(Tareas!$B55),"-",
SUM(
SUMIF(INDIRECT(Equipo!$C$4&amp;"!B10:B1000"),$B59,INDIRECT(Equipo!$C$4&amp;"!"&amp;ADDRESS(10,COLUMN(F$9)+10)&amp;":"&amp;ADDRESS(1000,COLUMN(F$9)+10))),
SUMIF(INDIRECT(Equipo!$D$4&amp;"!B10:B1000"),$B59,INDIRECT(Equipo!$D$4&amp;"!"&amp;ADDRESS(10,COLUMN(F$9)+10)&amp;":"&amp;ADDRESS(1000,COLUMN(F$9)+10))),
SUMIF(INDIRECT(Equipo!$E$4&amp;"!B10:B1000"),$B59,INDIRECT(Equipo!$E$4&amp;"!"&amp;ADDRESS(10,COLUMN(F$9)+10)&amp;":"&amp;ADDRESS(1000,COLUMN(F$9)+10))),
SUMIF(INDIRECT(Equipo!$F$4&amp;"!B10:B1000"),$B59,INDIRECT(Equipo!$F$4&amp;"!"&amp;ADDRESS(10,COLUMN(F$9)+10)&amp;":"&amp;ADDRESS(1000,COLUMN(F$9)+10))),
SUMIF(INDIRECT(Equipo!$G$4&amp;"!B10:B1000"),$B59,INDIRECT(Equipo!$G$4&amp;"!"&amp;ADDRESS(10,COLUMN(F$9)+10)&amp;":"&amp;ADDRESS(1000,COLUMN(F$9)+10)))
))</f>
        <v>0</v>
      </c>
      <c r="G59" s="19">
        <f t="array" ref="G59">IF(ISBLANK(Tareas!$B55),"-",
SUM(
SUMIF(INDIRECT(Equipo!$C$4&amp;"!B10:B1000"),$B59,INDIRECT(Equipo!$C$4&amp;"!"&amp;ADDRESS(10,COLUMN(G$9)+10)&amp;":"&amp;ADDRESS(1000,COLUMN(G$9)+10))),
SUMIF(INDIRECT(Equipo!$D$4&amp;"!B10:B1000"),$B59,INDIRECT(Equipo!$D$4&amp;"!"&amp;ADDRESS(10,COLUMN(G$9)+10)&amp;":"&amp;ADDRESS(1000,COLUMN(G$9)+10))),
SUMIF(INDIRECT(Equipo!$E$4&amp;"!B10:B1000"),$B59,INDIRECT(Equipo!$E$4&amp;"!"&amp;ADDRESS(10,COLUMN(G$9)+10)&amp;":"&amp;ADDRESS(1000,COLUMN(G$9)+10))),
SUMIF(INDIRECT(Equipo!$F$4&amp;"!B10:B1000"),$B59,INDIRECT(Equipo!$F$4&amp;"!"&amp;ADDRESS(10,COLUMN(G$9)+10)&amp;":"&amp;ADDRESS(1000,COLUMN(G$9)+10))),
SUMIF(INDIRECT(Equipo!$G$4&amp;"!B10:B1000"),$B59,INDIRECT(Equipo!$G$4&amp;"!"&amp;ADDRESS(10,COLUMN(G$9)+10)&amp;":"&amp;ADDRESS(1000,COLUMN(G$9)+10)))
))</f>
        <v>0</v>
      </c>
      <c r="H59" s="19">
        <f t="array" ref="H59">IF(ISBLANK(Tareas!$B55),"-",
SUM(
SUMIF(INDIRECT(Equipo!$C$4&amp;"!B10:B1000"),$B59,INDIRECT(Equipo!$C$4&amp;"!"&amp;ADDRESS(10,COLUMN(H$9)+10)&amp;":"&amp;ADDRESS(1000,COLUMN(H$9)+10))),
SUMIF(INDIRECT(Equipo!$D$4&amp;"!B10:B1000"),$B59,INDIRECT(Equipo!$D$4&amp;"!"&amp;ADDRESS(10,COLUMN(H$9)+10)&amp;":"&amp;ADDRESS(1000,COLUMN(H$9)+10))),
SUMIF(INDIRECT(Equipo!$E$4&amp;"!B10:B1000"),$B59,INDIRECT(Equipo!$E$4&amp;"!"&amp;ADDRESS(10,COLUMN(H$9)+10)&amp;":"&amp;ADDRESS(1000,COLUMN(H$9)+10))),
SUMIF(INDIRECT(Equipo!$F$4&amp;"!B10:B1000"),$B59,INDIRECT(Equipo!$F$4&amp;"!"&amp;ADDRESS(10,COLUMN(H$9)+10)&amp;":"&amp;ADDRESS(1000,COLUMN(H$9)+10))),
SUMIF(INDIRECT(Equipo!$G$4&amp;"!B10:B1000"),$B59,INDIRECT(Equipo!$G$4&amp;"!"&amp;ADDRESS(10,COLUMN(H$9)+10)&amp;":"&amp;ADDRESS(1000,COLUMN(H$9)+10)))
))</f>
        <v>0</v>
      </c>
      <c r="I59" s="19">
        <f t="array" ref="I59">IF(ISBLANK(Tareas!$B55),"-",
SUM(
SUMIF(INDIRECT(Equipo!$C$4&amp;"!B10:B1000"),$B59,INDIRECT(Equipo!$C$4&amp;"!"&amp;ADDRESS(10,COLUMN(I$9)+10)&amp;":"&amp;ADDRESS(1000,COLUMN(I$9)+10))),
SUMIF(INDIRECT(Equipo!$D$4&amp;"!B10:B1000"),$B59,INDIRECT(Equipo!$D$4&amp;"!"&amp;ADDRESS(10,COLUMN(I$9)+10)&amp;":"&amp;ADDRESS(1000,COLUMN(I$9)+10))),
SUMIF(INDIRECT(Equipo!$E$4&amp;"!B10:B1000"),$B59,INDIRECT(Equipo!$E$4&amp;"!"&amp;ADDRESS(10,COLUMN(I$9)+10)&amp;":"&amp;ADDRESS(1000,COLUMN(I$9)+10))),
SUMIF(INDIRECT(Equipo!$F$4&amp;"!B10:B1000"),$B59,INDIRECT(Equipo!$F$4&amp;"!"&amp;ADDRESS(10,COLUMN(I$9)+10)&amp;":"&amp;ADDRESS(1000,COLUMN(I$9)+10))),
SUMIF(INDIRECT(Equipo!$G$4&amp;"!B10:B1000"),$B59,INDIRECT(Equipo!$G$4&amp;"!"&amp;ADDRESS(10,COLUMN(I$9)+10)&amp;":"&amp;ADDRESS(1000,COLUMN(I$9)+10)))
))</f>
        <v>0</v>
      </c>
      <c r="J59" s="19">
        <f t="array" ref="J59">IF(ISBLANK(Tareas!$B55),"-",
SUM(
SUMIF(INDIRECT(Equipo!$C$4&amp;"!B10:B1000"),$B59,INDIRECT(Equipo!$C$4&amp;"!"&amp;ADDRESS(10,COLUMN(J$9)+10)&amp;":"&amp;ADDRESS(1000,COLUMN(J$9)+10))),
SUMIF(INDIRECT(Equipo!$D$4&amp;"!B10:B1000"),$B59,INDIRECT(Equipo!$D$4&amp;"!"&amp;ADDRESS(10,COLUMN(J$9)+10)&amp;":"&amp;ADDRESS(1000,COLUMN(J$9)+10))),
SUMIF(INDIRECT(Equipo!$E$4&amp;"!B10:B1000"),$B59,INDIRECT(Equipo!$E$4&amp;"!"&amp;ADDRESS(10,COLUMN(J$9)+10)&amp;":"&amp;ADDRESS(1000,COLUMN(J$9)+10))),
SUMIF(INDIRECT(Equipo!$F$4&amp;"!B10:B1000"),$B59,INDIRECT(Equipo!$F$4&amp;"!"&amp;ADDRESS(10,COLUMN(J$9)+10)&amp;":"&amp;ADDRESS(1000,COLUMN(J$9)+10))),
SUMIF(INDIRECT(Equipo!$G$4&amp;"!B10:B1000"),$B59,INDIRECT(Equipo!$G$4&amp;"!"&amp;ADDRESS(10,COLUMN(J$9)+10)&amp;":"&amp;ADDRESS(1000,COLUMN(J$9)+10)))
))</f>
        <v>0</v>
      </c>
      <c r="K59" s="19">
        <f t="array" ref="K59">IF(ISBLANK(Tareas!$B55),"-",
SUM(
SUMIF(INDIRECT(Equipo!$C$4&amp;"!B10:B1000"),$B59,INDIRECT(Equipo!$C$4&amp;"!"&amp;ADDRESS(10,COLUMN(K$9)+10)&amp;":"&amp;ADDRESS(1000,COLUMN(K$9)+10))),
SUMIF(INDIRECT(Equipo!$D$4&amp;"!B10:B1000"),$B59,INDIRECT(Equipo!$D$4&amp;"!"&amp;ADDRESS(10,COLUMN(K$9)+10)&amp;":"&amp;ADDRESS(1000,COLUMN(K$9)+10))),
SUMIF(INDIRECT(Equipo!$E$4&amp;"!B10:B1000"),$B59,INDIRECT(Equipo!$E$4&amp;"!"&amp;ADDRESS(10,COLUMN(K$9)+10)&amp;":"&amp;ADDRESS(1000,COLUMN(K$9)+10))),
SUMIF(INDIRECT(Equipo!$F$4&amp;"!B10:B1000"),$B59,INDIRECT(Equipo!$F$4&amp;"!"&amp;ADDRESS(10,COLUMN(K$9)+10)&amp;":"&amp;ADDRESS(1000,COLUMN(K$9)+10))),
SUMIF(INDIRECT(Equipo!$G$4&amp;"!B10:B1000"),$B59,INDIRECT(Equipo!$G$4&amp;"!"&amp;ADDRESS(10,COLUMN(K$9)+10)&amp;":"&amp;ADDRESS(1000,COLUMN(K$9)+10)))
))</f>
        <v>1.6</v>
      </c>
    </row>
    <row r="60" ht="15.75" customHeight="1">
      <c r="B60" s="1" t="str">
        <f>IF(ISBLANK(Tareas!B56)," - ",Tareas!B56)</f>
        <v>51. Documentación de los resultados y errores de las pruebas</v>
      </c>
      <c r="C60" s="19">
        <f>IF(ISBLANK(Tareas!$B56),"-",SUM(D60:M60))</f>
        <v>0.3</v>
      </c>
      <c r="D60" s="19">
        <f t="array" ref="D60">IF(ISBLANK(Tareas!$B56),"-",
SUM(
SUMIF(INDIRECT(Equipo!$C$4&amp;"!B10:B1000"),$B60,INDIRECT(Equipo!$C$4&amp;"!"&amp;ADDRESS(10,COLUMN(D$9)+10)&amp;":"&amp;ADDRESS(1000,COLUMN(D$9)+10))),
SUMIF(INDIRECT(Equipo!$D$4&amp;"!B10:B1000"),$B60,INDIRECT(Equipo!$D$4&amp;"!"&amp;ADDRESS(10,COLUMN(D$9)+10)&amp;":"&amp;ADDRESS(1000,COLUMN(D$9)+10))),
SUMIF(INDIRECT(Equipo!$E$4&amp;"!B10:B1000"),$B60,INDIRECT(Equipo!$E$4&amp;"!"&amp;ADDRESS(10,COLUMN(D$9)+10)&amp;":"&amp;ADDRESS(1000,COLUMN(D$9)+10))),
SUMIF(INDIRECT(Equipo!$F$4&amp;"!B10:B1000"),$B60,INDIRECT(Equipo!$F$4&amp;"!"&amp;ADDRESS(10,COLUMN(D$9)+10)&amp;":"&amp;ADDRESS(1000,COLUMN(D$9)+10))),
SUMIF(INDIRECT(Equipo!$G$4&amp;"!B10:B1000"),$B60,INDIRECT(Equipo!$G$4&amp;"!"&amp;ADDRESS(10,COLUMN(D$9)+10)&amp;":"&amp;ADDRESS(1000,COLUMN(D$9)+10)))
))</f>
        <v>0</v>
      </c>
      <c r="E60" s="19">
        <f t="array" ref="E60">IF(ISBLANK(Tareas!$B56),"-",
SUM(
SUMIF(INDIRECT(Equipo!$C$4&amp;"!B10:B1000"),$B60,INDIRECT(Equipo!$C$4&amp;"!"&amp;ADDRESS(10,COLUMN(E$9)+10)&amp;":"&amp;ADDRESS(1000,COLUMN(E$9)+10))),
SUMIF(INDIRECT(Equipo!$D$4&amp;"!B10:B1000"),$B60,INDIRECT(Equipo!$D$4&amp;"!"&amp;ADDRESS(10,COLUMN(E$9)+10)&amp;":"&amp;ADDRESS(1000,COLUMN(E$9)+10))),
SUMIF(INDIRECT(Equipo!$E$4&amp;"!B10:B1000"),$B60,INDIRECT(Equipo!$E$4&amp;"!"&amp;ADDRESS(10,COLUMN(E$9)+10)&amp;":"&amp;ADDRESS(1000,COLUMN(E$9)+10))),
SUMIF(INDIRECT(Equipo!$F$4&amp;"!B10:B1000"),$B60,INDIRECT(Equipo!$F$4&amp;"!"&amp;ADDRESS(10,COLUMN(E$9)+10)&amp;":"&amp;ADDRESS(1000,COLUMN(E$9)+10))),
SUMIF(INDIRECT(Equipo!$G$4&amp;"!B10:B1000"),$B60,INDIRECT(Equipo!$G$4&amp;"!"&amp;ADDRESS(10,COLUMN(E$9)+10)&amp;":"&amp;ADDRESS(1000,COLUMN(E$9)+10)))
))</f>
        <v>0</v>
      </c>
      <c r="F60" s="19">
        <f t="array" ref="F60">IF(ISBLANK(Tareas!$B56),"-",
SUM(
SUMIF(INDIRECT(Equipo!$C$4&amp;"!B10:B1000"),$B60,INDIRECT(Equipo!$C$4&amp;"!"&amp;ADDRESS(10,COLUMN(F$9)+10)&amp;":"&amp;ADDRESS(1000,COLUMN(F$9)+10))),
SUMIF(INDIRECT(Equipo!$D$4&amp;"!B10:B1000"),$B60,INDIRECT(Equipo!$D$4&amp;"!"&amp;ADDRESS(10,COLUMN(F$9)+10)&amp;":"&amp;ADDRESS(1000,COLUMN(F$9)+10))),
SUMIF(INDIRECT(Equipo!$E$4&amp;"!B10:B1000"),$B60,INDIRECT(Equipo!$E$4&amp;"!"&amp;ADDRESS(10,COLUMN(F$9)+10)&amp;":"&amp;ADDRESS(1000,COLUMN(F$9)+10))),
SUMIF(INDIRECT(Equipo!$F$4&amp;"!B10:B1000"),$B60,INDIRECT(Equipo!$F$4&amp;"!"&amp;ADDRESS(10,COLUMN(F$9)+10)&amp;":"&amp;ADDRESS(1000,COLUMN(F$9)+10))),
SUMIF(INDIRECT(Equipo!$G$4&amp;"!B10:B1000"),$B60,INDIRECT(Equipo!$G$4&amp;"!"&amp;ADDRESS(10,COLUMN(F$9)+10)&amp;":"&amp;ADDRESS(1000,COLUMN(F$9)+10)))
))</f>
        <v>0</v>
      </c>
      <c r="G60" s="19">
        <f t="array" ref="G60">IF(ISBLANK(Tareas!$B56),"-",
SUM(
SUMIF(INDIRECT(Equipo!$C$4&amp;"!B10:B1000"),$B60,INDIRECT(Equipo!$C$4&amp;"!"&amp;ADDRESS(10,COLUMN(G$9)+10)&amp;":"&amp;ADDRESS(1000,COLUMN(G$9)+10))),
SUMIF(INDIRECT(Equipo!$D$4&amp;"!B10:B1000"),$B60,INDIRECT(Equipo!$D$4&amp;"!"&amp;ADDRESS(10,COLUMN(G$9)+10)&amp;":"&amp;ADDRESS(1000,COLUMN(G$9)+10))),
SUMIF(INDIRECT(Equipo!$E$4&amp;"!B10:B1000"),$B60,INDIRECT(Equipo!$E$4&amp;"!"&amp;ADDRESS(10,COLUMN(G$9)+10)&amp;":"&amp;ADDRESS(1000,COLUMN(G$9)+10))),
SUMIF(INDIRECT(Equipo!$F$4&amp;"!B10:B1000"),$B60,INDIRECT(Equipo!$F$4&amp;"!"&amp;ADDRESS(10,COLUMN(G$9)+10)&amp;":"&amp;ADDRESS(1000,COLUMN(G$9)+10))),
SUMIF(INDIRECT(Equipo!$G$4&amp;"!B10:B1000"),$B60,INDIRECT(Equipo!$G$4&amp;"!"&amp;ADDRESS(10,COLUMN(G$9)+10)&amp;":"&amp;ADDRESS(1000,COLUMN(G$9)+10)))
))</f>
        <v>0</v>
      </c>
      <c r="H60" s="19">
        <f t="array" ref="H60">IF(ISBLANK(Tareas!$B56),"-",
SUM(
SUMIF(INDIRECT(Equipo!$C$4&amp;"!B10:B1000"),$B60,INDIRECT(Equipo!$C$4&amp;"!"&amp;ADDRESS(10,COLUMN(H$9)+10)&amp;":"&amp;ADDRESS(1000,COLUMN(H$9)+10))),
SUMIF(INDIRECT(Equipo!$D$4&amp;"!B10:B1000"),$B60,INDIRECT(Equipo!$D$4&amp;"!"&amp;ADDRESS(10,COLUMN(H$9)+10)&amp;":"&amp;ADDRESS(1000,COLUMN(H$9)+10))),
SUMIF(INDIRECT(Equipo!$E$4&amp;"!B10:B1000"),$B60,INDIRECT(Equipo!$E$4&amp;"!"&amp;ADDRESS(10,COLUMN(H$9)+10)&amp;":"&amp;ADDRESS(1000,COLUMN(H$9)+10))),
SUMIF(INDIRECT(Equipo!$F$4&amp;"!B10:B1000"),$B60,INDIRECT(Equipo!$F$4&amp;"!"&amp;ADDRESS(10,COLUMN(H$9)+10)&amp;":"&amp;ADDRESS(1000,COLUMN(H$9)+10))),
SUMIF(INDIRECT(Equipo!$G$4&amp;"!B10:B1000"),$B60,INDIRECT(Equipo!$G$4&amp;"!"&amp;ADDRESS(10,COLUMN(H$9)+10)&amp;":"&amp;ADDRESS(1000,COLUMN(H$9)+10)))
))</f>
        <v>0</v>
      </c>
      <c r="I60" s="19">
        <f t="array" ref="I60">IF(ISBLANK(Tareas!$B56),"-",
SUM(
SUMIF(INDIRECT(Equipo!$C$4&amp;"!B10:B1000"),$B60,INDIRECT(Equipo!$C$4&amp;"!"&amp;ADDRESS(10,COLUMN(I$9)+10)&amp;":"&amp;ADDRESS(1000,COLUMN(I$9)+10))),
SUMIF(INDIRECT(Equipo!$D$4&amp;"!B10:B1000"),$B60,INDIRECT(Equipo!$D$4&amp;"!"&amp;ADDRESS(10,COLUMN(I$9)+10)&amp;":"&amp;ADDRESS(1000,COLUMN(I$9)+10))),
SUMIF(INDIRECT(Equipo!$E$4&amp;"!B10:B1000"),$B60,INDIRECT(Equipo!$E$4&amp;"!"&amp;ADDRESS(10,COLUMN(I$9)+10)&amp;":"&amp;ADDRESS(1000,COLUMN(I$9)+10))),
SUMIF(INDIRECT(Equipo!$F$4&amp;"!B10:B1000"),$B60,INDIRECT(Equipo!$F$4&amp;"!"&amp;ADDRESS(10,COLUMN(I$9)+10)&amp;":"&amp;ADDRESS(1000,COLUMN(I$9)+10))),
SUMIF(INDIRECT(Equipo!$G$4&amp;"!B10:B1000"),$B60,INDIRECT(Equipo!$G$4&amp;"!"&amp;ADDRESS(10,COLUMN(I$9)+10)&amp;":"&amp;ADDRESS(1000,COLUMN(I$9)+10)))
))</f>
        <v>0</v>
      </c>
      <c r="J60" s="19">
        <f t="array" ref="J60">IF(ISBLANK(Tareas!$B56),"-",
SUM(
SUMIF(INDIRECT(Equipo!$C$4&amp;"!B10:B1000"),$B60,INDIRECT(Equipo!$C$4&amp;"!"&amp;ADDRESS(10,COLUMN(J$9)+10)&amp;":"&amp;ADDRESS(1000,COLUMN(J$9)+10))),
SUMIF(INDIRECT(Equipo!$D$4&amp;"!B10:B1000"),$B60,INDIRECT(Equipo!$D$4&amp;"!"&amp;ADDRESS(10,COLUMN(J$9)+10)&amp;":"&amp;ADDRESS(1000,COLUMN(J$9)+10))),
SUMIF(INDIRECT(Equipo!$E$4&amp;"!B10:B1000"),$B60,INDIRECT(Equipo!$E$4&amp;"!"&amp;ADDRESS(10,COLUMN(J$9)+10)&amp;":"&amp;ADDRESS(1000,COLUMN(J$9)+10))),
SUMIF(INDIRECT(Equipo!$F$4&amp;"!B10:B1000"),$B60,INDIRECT(Equipo!$F$4&amp;"!"&amp;ADDRESS(10,COLUMN(J$9)+10)&amp;":"&amp;ADDRESS(1000,COLUMN(J$9)+10))),
SUMIF(INDIRECT(Equipo!$G$4&amp;"!B10:B1000"),$B60,INDIRECT(Equipo!$G$4&amp;"!"&amp;ADDRESS(10,COLUMN(J$9)+10)&amp;":"&amp;ADDRESS(1000,COLUMN(J$9)+10)))
))</f>
        <v>0</v>
      </c>
      <c r="K60" s="19">
        <f t="array" ref="K60">IF(ISBLANK(Tareas!$B56),"-",
SUM(
SUMIF(INDIRECT(Equipo!$C$4&amp;"!B10:B1000"),$B60,INDIRECT(Equipo!$C$4&amp;"!"&amp;ADDRESS(10,COLUMN(K$9)+10)&amp;":"&amp;ADDRESS(1000,COLUMN(K$9)+10))),
SUMIF(INDIRECT(Equipo!$D$4&amp;"!B10:B1000"),$B60,INDIRECT(Equipo!$D$4&amp;"!"&amp;ADDRESS(10,COLUMN(K$9)+10)&amp;":"&amp;ADDRESS(1000,COLUMN(K$9)+10))),
SUMIF(INDIRECT(Equipo!$E$4&amp;"!B10:B1000"),$B60,INDIRECT(Equipo!$E$4&amp;"!"&amp;ADDRESS(10,COLUMN(K$9)+10)&amp;":"&amp;ADDRESS(1000,COLUMN(K$9)+10))),
SUMIF(INDIRECT(Equipo!$F$4&amp;"!B10:B1000"),$B60,INDIRECT(Equipo!$F$4&amp;"!"&amp;ADDRESS(10,COLUMN(K$9)+10)&amp;":"&amp;ADDRESS(1000,COLUMN(K$9)+10))),
SUMIF(INDIRECT(Equipo!$G$4&amp;"!B10:B1000"),$B60,INDIRECT(Equipo!$G$4&amp;"!"&amp;ADDRESS(10,COLUMN(K$9)+10)&amp;":"&amp;ADDRESS(1000,COLUMN(K$9)+10)))
))</f>
        <v>0.3</v>
      </c>
    </row>
    <row r="61" ht="15.75" customHeight="1">
      <c r="B61" s="1" t="str">
        <f>IF(ISBLANK(Tareas!B57)," - ",Tareas!B57)</f>
        <v>52. Disposición del código en la línea base (GCS)</v>
      </c>
      <c r="C61" s="19">
        <f>IF(ISBLANK(Tareas!$B57),"-",SUM(D61:M61))</f>
        <v>0.6</v>
      </c>
      <c r="D61" s="19">
        <f t="array" ref="D61">IF(ISBLANK(Tareas!$B57),"-",
SUM(
SUMIF(INDIRECT(Equipo!$C$4&amp;"!B10:B1000"),$B61,INDIRECT(Equipo!$C$4&amp;"!"&amp;ADDRESS(10,COLUMN(D$9)+10)&amp;":"&amp;ADDRESS(1000,COLUMN(D$9)+10))),
SUMIF(INDIRECT(Equipo!$D$4&amp;"!B10:B1000"),$B61,INDIRECT(Equipo!$D$4&amp;"!"&amp;ADDRESS(10,COLUMN(D$9)+10)&amp;":"&amp;ADDRESS(1000,COLUMN(D$9)+10))),
SUMIF(INDIRECT(Equipo!$E$4&amp;"!B10:B1000"),$B61,INDIRECT(Equipo!$E$4&amp;"!"&amp;ADDRESS(10,COLUMN(D$9)+10)&amp;":"&amp;ADDRESS(1000,COLUMN(D$9)+10))),
SUMIF(INDIRECT(Equipo!$F$4&amp;"!B10:B1000"),$B61,INDIRECT(Equipo!$F$4&amp;"!"&amp;ADDRESS(10,COLUMN(D$9)+10)&amp;":"&amp;ADDRESS(1000,COLUMN(D$9)+10))),
SUMIF(INDIRECT(Equipo!$G$4&amp;"!B10:B1000"),$B61,INDIRECT(Equipo!$G$4&amp;"!"&amp;ADDRESS(10,COLUMN(D$9)+10)&amp;":"&amp;ADDRESS(1000,COLUMN(D$9)+10)))
))</f>
        <v>0</v>
      </c>
      <c r="E61" s="19">
        <f t="array" ref="E61">IF(ISBLANK(Tareas!$B57),"-",
SUM(
SUMIF(INDIRECT(Equipo!$C$4&amp;"!B10:B1000"),$B61,INDIRECT(Equipo!$C$4&amp;"!"&amp;ADDRESS(10,COLUMN(E$9)+10)&amp;":"&amp;ADDRESS(1000,COLUMN(E$9)+10))),
SUMIF(INDIRECT(Equipo!$D$4&amp;"!B10:B1000"),$B61,INDIRECT(Equipo!$D$4&amp;"!"&amp;ADDRESS(10,COLUMN(E$9)+10)&amp;":"&amp;ADDRESS(1000,COLUMN(E$9)+10))),
SUMIF(INDIRECT(Equipo!$E$4&amp;"!B10:B1000"),$B61,INDIRECT(Equipo!$E$4&amp;"!"&amp;ADDRESS(10,COLUMN(E$9)+10)&amp;":"&amp;ADDRESS(1000,COLUMN(E$9)+10))),
SUMIF(INDIRECT(Equipo!$F$4&amp;"!B10:B1000"),$B61,INDIRECT(Equipo!$F$4&amp;"!"&amp;ADDRESS(10,COLUMN(E$9)+10)&amp;":"&amp;ADDRESS(1000,COLUMN(E$9)+10))),
SUMIF(INDIRECT(Equipo!$G$4&amp;"!B10:B1000"),$B61,INDIRECT(Equipo!$G$4&amp;"!"&amp;ADDRESS(10,COLUMN(E$9)+10)&amp;":"&amp;ADDRESS(1000,COLUMN(E$9)+10)))
))</f>
        <v>0</v>
      </c>
      <c r="F61" s="19">
        <f t="array" ref="F61">IF(ISBLANK(Tareas!$B57),"-",
SUM(
SUMIF(INDIRECT(Equipo!$C$4&amp;"!B10:B1000"),$B61,INDIRECT(Equipo!$C$4&amp;"!"&amp;ADDRESS(10,COLUMN(F$9)+10)&amp;":"&amp;ADDRESS(1000,COLUMN(F$9)+10))),
SUMIF(INDIRECT(Equipo!$D$4&amp;"!B10:B1000"),$B61,INDIRECT(Equipo!$D$4&amp;"!"&amp;ADDRESS(10,COLUMN(F$9)+10)&amp;":"&amp;ADDRESS(1000,COLUMN(F$9)+10))),
SUMIF(INDIRECT(Equipo!$E$4&amp;"!B10:B1000"),$B61,INDIRECT(Equipo!$E$4&amp;"!"&amp;ADDRESS(10,COLUMN(F$9)+10)&amp;":"&amp;ADDRESS(1000,COLUMN(F$9)+10))),
SUMIF(INDIRECT(Equipo!$F$4&amp;"!B10:B1000"),$B61,INDIRECT(Equipo!$F$4&amp;"!"&amp;ADDRESS(10,COLUMN(F$9)+10)&amp;":"&amp;ADDRESS(1000,COLUMN(F$9)+10))),
SUMIF(INDIRECT(Equipo!$G$4&amp;"!B10:B1000"),$B61,INDIRECT(Equipo!$G$4&amp;"!"&amp;ADDRESS(10,COLUMN(F$9)+10)&amp;":"&amp;ADDRESS(1000,COLUMN(F$9)+10)))
))</f>
        <v>0</v>
      </c>
      <c r="G61" s="19">
        <f t="array" ref="G61">IF(ISBLANK(Tareas!$B57),"-",
SUM(
SUMIF(INDIRECT(Equipo!$C$4&amp;"!B10:B1000"),$B61,INDIRECT(Equipo!$C$4&amp;"!"&amp;ADDRESS(10,COLUMN(G$9)+10)&amp;":"&amp;ADDRESS(1000,COLUMN(G$9)+10))),
SUMIF(INDIRECT(Equipo!$D$4&amp;"!B10:B1000"),$B61,INDIRECT(Equipo!$D$4&amp;"!"&amp;ADDRESS(10,COLUMN(G$9)+10)&amp;":"&amp;ADDRESS(1000,COLUMN(G$9)+10))),
SUMIF(INDIRECT(Equipo!$E$4&amp;"!B10:B1000"),$B61,INDIRECT(Equipo!$E$4&amp;"!"&amp;ADDRESS(10,COLUMN(G$9)+10)&amp;":"&amp;ADDRESS(1000,COLUMN(G$9)+10))),
SUMIF(INDIRECT(Equipo!$F$4&amp;"!B10:B1000"),$B61,INDIRECT(Equipo!$F$4&amp;"!"&amp;ADDRESS(10,COLUMN(G$9)+10)&amp;":"&amp;ADDRESS(1000,COLUMN(G$9)+10))),
SUMIF(INDIRECT(Equipo!$G$4&amp;"!B10:B1000"),$B61,INDIRECT(Equipo!$G$4&amp;"!"&amp;ADDRESS(10,COLUMN(G$9)+10)&amp;":"&amp;ADDRESS(1000,COLUMN(G$9)+10)))
))</f>
        <v>0</v>
      </c>
      <c r="H61" s="19">
        <f t="array" ref="H61">IF(ISBLANK(Tareas!$B57),"-",
SUM(
SUMIF(INDIRECT(Equipo!$C$4&amp;"!B10:B1000"),$B61,INDIRECT(Equipo!$C$4&amp;"!"&amp;ADDRESS(10,COLUMN(H$9)+10)&amp;":"&amp;ADDRESS(1000,COLUMN(H$9)+10))),
SUMIF(INDIRECT(Equipo!$D$4&amp;"!B10:B1000"),$B61,INDIRECT(Equipo!$D$4&amp;"!"&amp;ADDRESS(10,COLUMN(H$9)+10)&amp;":"&amp;ADDRESS(1000,COLUMN(H$9)+10))),
SUMIF(INDIRECT(Equipo!$E$4&amp;"!B10:B1000"),$B61,INDIRECT(Equipo!$E$4&amp;"!"&amp;ADDRESS(10,COLUMN(H$9)+10)&amp;":"&amp;ADDRESS(1000,COLUMN(H$9)+10))),
SUMIF(INDIRECT(Equipo!$F$4&amp;"!B10:B1000"),$B61,INDIRECT(Equipo!$F$4&amp;"!"&amp;ADDRESS(10,COLUMN(H$9)+10)&amp;":"&amp;ADDRESS(1000,COLUMN(H$9)+10))),
SUMIF(INDIRECT(Equipo!$G$4&amp;"!B10:B1000"),$B61,INDIRECT(Equipo!$G$4&amp;"!"&amp;ADDRESS(10,COLUMN(H$9)+10)&amp;":"&amp;ADDRESS(1000,COLUMN(H$9)+10)))
))</f>
        <v>0</v>
      </c>
      <c r="I61" s="19">
        <f t="array" ref="I61">IF(ISBLANK(Tareas!$B57),"-",
SUM(
SUMIF(INDIRECT(Equipo!$C$4&amp;"!B10:B1000"),$B61,INDIRECT(Equipo!$C$4&amp;"!"&amp;ADDRESS(10,COLUMN(I$9)+10)&amp;":"&amp;ADDRESS(1000,COLUMN(I$9)+10))),
SUMIF(INDIRECT(Equipo!$D$4&amp;"!B10:B1000"),$B61,INDIRECT(Equipo!$D$4&amp;"!"&amp;ADDRESS(10,COLUMN(I$9)+10)&amp;":"&amp;ADDRESS(1000,COLUMN(I$9)+10))),
SUMIF(INDIRECT(Equipo!$E$4&amp;"!B10:B1000"),$B61,INDIRECT(Equipo!$E$4&amp;"!"&amp;ADDRESS(10,COLUMN(I$9)+10)&amp;":"&amp;ADDRESS(1000,COLUMN(I$9)+10))),
SUMIF(INDIRECT(Equipo!$F$4&amp;"!B10:B1000"),$B61,INDIRECT(Equipo!$F$4&amp;"!"&amp;ADDRESS(10,COLUMN(I$9)+10)&amp;":"&amp;ADDRESS(1000,COLUMN(I$9)+10))),
SUMIF(INDIRECT(Equipo!$G$4&amp;"!B10:B1000"),$B61,INDIRECT(Equipo!$G$4&amp;"!"&amp;ADDRESS(10,COLUMN(I$9)+10)&amp;":"&amp;ADDRESS(1000,COLUMN(I$9)+10)))
))</f>
        <v>0</v>
      </c>
      <c r="J61" s="19">
        <f t="array" ref="J61">IF(ISBLANK(Tareas!$B57),"-",
SUM(
SUMIF(INDIRECT(Equipo!$C$4&amp;"!B10:B1000"),$B61,INDIRECT(Equipo!$C$4&amp;"!"&amp;ADDRESS(10,COLUMN(J$9)+10)&amp;":"&amp;ADDRESS(1000,COLUMN(J$9)+10))),
SUMIF(INDIRECT(Equipo!$D$4&amp;"!B10:B1000"),$B61,INDIRECT(Equipo!$D$4&amp;"!"&amp;ADDRESS(10,COLUMN(J$9)+10)&amp;":"&amp;ADDRESS(1000,COLUMN(J$9)+10))),
SUMIF(INDIRECT(Equipo!$E$4&amp;"!B10:B1000"),$B61,INDIRECT(Equipo!$E$4&amp;"!"&amp;ADDRESS(10,COLUMN(J$9)+10)&amp;":"&amp;ADDRESS(1000,COLUMN(J$9)+10))),
SUMIF(INDIRECT(Equipo!$F$4&amp;"!B10:B1000"),$B61,INDIRECT(Equipo!$F$4&amp;"!"&amp;ADDRESS(10,COLUMN(J$9)+10)&amp;":"&amp;ADDRESS(1000,COLUMN(J$9)+10))),
SUMIF(INDIRECT(Equipo!$G$4&amp;"!B10:B1000"),$B61,INDIRECT(Equipo!$G$4&amp;"!"&amp;ADDRESS(10,COLUMN(J$9)+10)&amp;":"&amp;ADDRESS(1000,COLUMN(J$9)+10)))
))</f>
        <v>0</v>
      </c>
      <c r="K61" s="19">
        <f t="array" ref="K61">IF(ISBLANK(Tareas!$B57),"-",
SUM(
SUMIF(INDIRECT(Equipo!$C$4&amp;"!B10:B1000"),$B61,INDIRECT(Equipo!$C$4&amp;"!"&amp;ADDRESS(10,COLUMN(K$9)+10)&amp;":"&amp;ADDRESS(1000,COLUMN(K$9)+10))),
SUMIF(INDIRECT(Equipo!$D$4&amp;"!B10:B1000"),$B61,INDIRECT(Equipo!$D$4&amp;"!"&amp;ADDRESS(10,COLUMN(K$9)+10)&amp;":"&amp;ADDRESS(1000,COLUMN(K$9)+10))),
SUMIF(INDIRECT(Equipo!$E$4&amp;"!B10:B1000"),$B61,INDIRECT(Equipo!$E$4&amp;"!"&amp;ADDRESS(10,COLUMN(K$9)+10)&amp;":"&amp;ADDRESS(1000,COLUMN(K$9)+10))),
SUMIF(INDIRECT(Equipo!$F$4&amp;"!B10:B1000"),$B61,INDIRECT(Equipo!$F$4&amp;"!"&amp;ADDRESS(10,COLUMN(K$9)+10)&amp;":"&amp;ADDRESS(1000,COLUMN(K$9)+10))),
SUMIF(INDIRECT(Equipo!$G$4&amp;"!B10:B1000"),$B61,INDIRECT(Equipo!$G$4&amp;"!"&amp;ADDRESS(10,COLUMN(K$9)+10)&amp;":"&amp;ADDRESS(1000,COLUMN(K$9)+10)))
))</f>
        <v>0.6</v>
      </c>
    </row>
    <row r="62" ht="15.75" customHeight="1">
      <c r="B62" s="1" t="str">
        <f>IF(ISBLANK(Tareas!B58)," - ",Tareas!B58)</f>
        <v>53. Entrega del ciclo de vida</v>
      </c>
      <c r="C62" s="19">
        <f>IF(ISBLANK(Tareas!$B58),"-",SUM(D62:M62))</f>
        <v>0.8</v>
      </c>
      <c r="D62" s="19">
        <f t="array" ref="D62">IF(ISBLANK(Tareas!$B58),"-",
SUM(
SUMIF(INDIRECT(Equipo!$C$4&amp;"!B10:B1000"),$B62,INDIRECT(Equipo!$C$4&amp;"!"&amp;ADDRESS(10,COLUMN(D$9)+10)&amp;":"&amp;ADDRESS(1000,COLUMN(D$9)+10))),
SUMIF(INDIRECT(Equipo!$D$4&amp;"!B10:B1000"),$B62,INDIRECT(Equipo!$D$4&amp;"!"&amp;ADDRESS(10,COLUMN(D$9)+10)&amp;":"&amp;ADDRESS(1000,COLUMN(D$9)+10))),
SUMIF(INDIRECT(Equipo!$E$4&amp;"!B10:B1000"),$B62,INDIRECT(Equipo!$E$4&amp;"!"&amp;ADDRESS(10,COLUMN(D$9)+10)&amp;":"&amp;ADDRESS(1000,COLUMN(D$9)+10))),
SUMIF(INDIRECT(Equipo!$F$4&amp;"!B10:B1000"),$B62,INDIRECT(Equipo!$F$4&amp;"!"&amp;ADDRESS(10,COLUMN(D$9)+10)&amp;":"&amp;ADDRESS(1000,COLUMN(D$9)+10))),
SUMIF(INDIRECT(Equipo!$G$4&amp;"!B10:B1000"),$B62,INDIRECT(Equipo!$G$4&amp;"!"&amp;ADDRESS(10,COLUMN(D$9)+10)&amp;":"&amp;ADDRESS(1000,COLUMN(D$9)+10)))
))</f>
        <v>0</v>
      </c>
      <c r="E62" s="19">
        <f t="array" ref="E62">IF(ISBLANK(Tareas!$B58),"-",
SUM(
SUMIF(INDIRECT(Equipo!$C$4&amp;"!B10:B1000"),$B62,INDIRECT(Equipo!$C$4&amp;"!"&amp;ADDRESS(10,COLUMN(E$9)+10)&amp;":"&amp;ADDRESS(1000,COLUMN(E$9)+10))),
SUMIF(INDIRECT(Equipo!$D$4&amp;"!B10:B1000"),$B62,INDIRECT(Equipo!$D$4&amp;"!"&amp;ADDRESS(10,COLUMN(E$9)+10)&amp;":"&amp;ADDRESS(1000,COLUMN(E$9)+10))),
SUMIF(INDIRECT(Equipo!$E$4&amp;"!B10:B1000"),$B62,INDIRECT(Equipo!$E$4&amp;"!"&amp;ADDRESS(10,COLUMN(E$9)+10)&amp;":"&amp;ADDRESS(1000,COLUMN(E$9)+10))),
SUMIF(INDIRECT(Equipo!$F$4&amp;"!B10:B1000"),$B62,INDIRECT(Equipo!$F$4&amp;"!"&amp;ADDRESS(10,COLUMN(E$9)+10)&amp;":"&amp;ADDRESS(1000,COLUMN(E$9)+10))),
SUMIF(INDIRECT(Equipo!$G$4&amp;"!B10:B1000"),$B62,INDIRECT(Equipo!$G$4&amp;"!"&amp;ADDRESS(10,COLUMN(E$9)+10)&amp;":"&amp;ADDRESS(1000,COLUMN(E$9)+10)))
))</f>
        <v>0</v>
      </c>
      <c r="F62" s="19">
        <f t="array" ref="F62">IF(ISBLANK(Tareas!$B58),"-",
SUM(
SUMIF(INDIRECT(Equipo!$C$4&amp;"!B10:B1000"),$B62,INDIRECT(Equipo!$C$4&amp;"!"&amp;ADDRESS(10,COLUMN(F$9)+10)&amp;":"&amp;ADDRESS(1000,COLUMN(F$9)+10))),
SUMIF(INDIRECT(Equipo!$D$4&amp;"!B10:B1000"),$B62,INDIRECT(Equipo!$D$4&amp;"!"&amp;ADDRESS(10,COLUMN(F$9)+10)&amp;":"&amp;ADDRESS(1000,COLUMN(F$9)+10))),
SUMIF(INDIRECT(Equipo!$E$4&amp;"!B10:B1000"),$B62,INDIRECT(Equipo!$E$4&amp;"!"&amp;ADDRESS(10,COLUMN(F$9)+10)&amp;":"&amp;ADDRESS(1000,COLUMN(F$9)+10))),
SUMIF(INDIRECT(Equipo!$F$4&amp;"!B10:B1000"),$B62,INDIRECT(Equipo!$F$4&amp;"!"&amp;ADDRESS(10,COLUMN(F$9)+10)&amp;":"&amp;ADDRESS(1000,COLUMN(F$9)+10))),
SUMIF(INDIRECT(Equipo!$G$4&amp;"!B10:B1000"),$B62,INDIRECT(Equipo!$G$4&amp;"!"&amp;ADDRESS(10,COLUMN(F$9)+10)&amp;":"&amp;ADDRESS(1000,COLUMN(F$9)+10)))
))</f>
        <v>0</v>
      </c>
      <c r="G62" s="19">
        <f t="array" ref="G62">IF(ISBLANK(Tareas!$B58),"-",
SUM(
SUMIF(INDIRECT(Equipo!$C$4&amp;"!B10:B1000"),$B62,INDIRECT(Equipo!$C$4&amp;"!"&amp;ADDRESS(10,COLUMN(G$9)+10)&amp;":"&amp;ADDRESS(1000,COLUMN(G$9)+10))),
SUMIF(INDIRECT(Equipo!$D$4&amp;"!B10:B1000"),$B62,INDIRECT(Equipo!$D$4&amp;"!"&amp;ADDRESS(10,COLUMN(G$9)+10)&amp;":"&amp;ADDRESS(1000,COLUMN(G$9)+10))),
SUMIF(INDIRECT(Equipo!$E$4&amp;"!B10:B1000"),$B62,INDIRECT(Equipo!$E$4&amp;"!"&amp;ADDRESS(10,COLUMN(G$9)+10)&amp;":"&amp;ADDRESS(1000,COLUMN(G$9)+10))),
SUMIF(INDIRECT(Equipo!$F$4&amp;"!B10:B1000"),$B62,INDIRECT(Equipo!$F$4&amp;"!"&amp;ADDRESS(10,COLUMN(G$9)+10)&amp;":"&amp;ADDRESS(1000,COLUMN(G$9)+10))),
SUMIF(INDIRECT(Equipo!$G$4&amp;"!B10:B1000"),$B62,INDIRECT(Equipo!$G$4&amp;"!"&amp;ADDRESS(10,COLUMN(G$9)+10)&amp;":"&amp;ADDRESS(1000,COLUMN(G$9)+10)))
))</f>
        <v>0</v>
      </c>
      <c r="H62" s="19">
        <f t="array" ref="H62">IF(ISBLANK(Tareas!$B58),"-",
SUM(
SUMIF(INDIRECT(Equipo!$C$4&amp;"!B10:B1000"),$B62,INDIRECT(Equipo!$C$4&amp;"!"&amp;ADDRESS(10,COLUMN(H$9)+10)&amp;":"&amp;ADDRESS(1000,COLUMN(H$9)+10))),
SUMIF(INDIRECT(Equipo!$D$4&amp;"!B10:B1000"),$B62,INDIRECT(Equipo!$D$4&amp;"!"&amp;ADDRESS(10,COLUMN(H$9)+10)&amp;":"&amp;ADDRESS(1000,COLUMN(H$9)+10))),
SUMIF(INDIRECT(Equipo!$E$4&amp;"!B10:B1000"),$B62,INDIRECT(Equipo!$E$4&amp;"!"&amp;ADDRESS(10,COLUMN(H$9)+10)&amp;":"&amp;ADDRESS(1000,COLUMN(H$9)+10))),
SUMIF(INDIRECT(Equipo!$F$4&amp;"!B10:B1000"),$B62,INDIRECT(Equipo!$F$4&amp;"!"&amp;ADDRESS(10,COLUMN(H$9)+10)&amp;":"&amp;ADDRESS(1000,COLUMN(H$9)+10))),
SUMIF(INDIRECT(Equipo!$G$4&amp;"!B10:B1000"),$B62,INDIRECT(Equipo!$G$4&amp;"!"&amp;ADDRESS(10,COLUMN(H$9)+10)&amp;":"&amp;ADDRESS(1000,COLUMN(H$9)+10)))
))</f>
        <v>0</v>
      </c>
      <c r="I62" s="19">
        <f t="array" ref="I62">IF(ISBLANK(Tareas!$B58),"-",
SUM(
SUMIF(INDIRECT(Equipo!$C$4&amp;"!B10:B1000"),$B62,INDIRECT(Equipo!$C$4&amp;"!"&amp;ADDRESS(10,COLUMN(I$9)+10)&amp;":"&amp;ADDRESS(1000,COLUMN(I$9)+10))),
SUMIF(INDIRECT(Equipo!$D$4&amp;"!B10:B1000"),$B62,INDIRECT(Equipo!$D$4&amp;"!"&amp;ADDRESS(10,COLUMN(I$9)+10)&amp;":"&amp;ADDRESS(1000,COLUMN(I$9)+10))),
SUMIF(INDIRECT(Equipo!$E$4&amp;"!B10:B1000"),$B62,INDIRECT(Equipo!$E$4&amp;"!"&amp;ADDRESS(10,COLUMN(I$9)+10)&amp;":"&amp;ADDRESS(1000,COLUMN(I$9)+10))),
SUMIF(INDIRECT(Equipo!$F$4&amp;"!B10:B1000"),$B62,INDIRECT(Equipo!$F$4&amp;"!"&amp;ADDRESS(10,COLUMN(I$9)+10)&amp;":"&amp;ADDRESS(1000,COLUMN(I$9)+10))),
SUMIF(INDIRECT(Equipo!$G$4&amp;"!B10:B1000"),$B62,INDIRECT(Equipo!$G$4&amp;"!"&amp;ADDRESS(10,COLUMN(I$9)+10)&amp;":"&amp;ADDRESS(1000,COLUMN(I$9)+10)))
))</f>
        <v>0</v>
      </c>
      <c r="J62" s="19">
        <f t="array" ref="J62">IF(ISBLANK(Tareas!$B58),"-",
SUM(
SUMIF(INDIRECT(Equipo!$C$4&amp;"!B10:B1000"),$B62,INDIRECT(Equipo!$C$4&amp;"!"&amp;ADDRESS(10,COLUMN(J$9)+10)&amp;":"&amp;ADDRESS(1000,COLUMN(J$9)+10))),
SUMIF(INDIRECT(Equipo!$D$4&amp;"!B10:B1000"),$B62,INDIRECT(Equipo!$D$4&amp;"!"&amp;ADDRESS(10,COLUMN(J$9)+10)&amp;":"&amp;ADDRESS(1000,COLUMN(J$9)+10))),
SUMIF(INDIRECT(Equipo!$E$4&amp;"!B10:B1000"),$B62,INDIRECT(Equipo!$E$4&amp;"!"&amp;ADDRESS(10,COLUMN(J$9)+10)&amp;":"&amp;ADDRESS(1000,COLUMN(J$9)+10))),
SUMIF(INDIRECT(Equipo!$F$4&amp;"!B10:B1000"),$B62,INDIRECT(Equipo!$F$4&amp;"!"&amp;ADDRESS(10,COLUMN(J$9)+10)&amp;":"&amp;ADDRESS(1000,COLUMN(J$9)+10))),
SUMIF(INDIRECT(Equipo!$G$4&amp;"!B10:B1000"),$B62,INDIRECT(Equipo!$G$4&amp;"!"&amp;ADDRESS(10,COLUMN(J$9)+10)&amp;":"&amp;ADDRESS(1000,COLUMN(J$9)+10)))
))</f>
        <v>0</v>
      </c>
      <c r="K62" s="19">
        <f t="array" ref="K62">IF(ISBLANK(Tareas!$B58),"-",
SUM(
SUMIF(INDIRECT(Equipo!$C$4&amp;"!B10:B1000"),$B62,INDIRECT(Equipo!$C$4&amp;"!"&amp;ADDRESS(10,COLUMN(K$9)+10)&amp;":"&amp;ADDRESS(1000,COLUMN(K$9)+10))),
SUMIF(INDIRECT(Equipo!$D$4&amp;"!B10:B1000"),$B62,INDIRECT(Equipo!$D$4&amp;"!"&amp;ADDRESS(10,COLUMN(K$9)+10)&amp;":"&amp;ADDRESS(1000,COLUMN(K$9)+10))),
SUMIF(INDIRECT(Equipo!$E$4&amp;"!B10:B1000"),$B62,INDIRECT(Equipo!$E$4&amp;"!"&amp;ADDRESS(10,COLUMN(K$9)+10)&amp;":"&amp;ADDRESS(1000,COLUMN(K$9)+10))),
SUMIF(INDIRECT(Equipo!$F$4&amp;"!B10:B1000"),$B62,INDIRECT(Equipo!$F$4&amp;"!"&amp;ADDRESS(10,COLUMN(K$9)+10)&amp;":"&amp;ADDRESS(1000,COLUMN(K$9)+10))),
SUMIF(INDIRECT(Equipo!$G$4&amp;"!B10:B1000"),$B62,INDIRECT(Equipo!$G$4&amp;"!"&amp;ADDRESS(10,COLUMN(K$9)+10)&amp;":"&amp;ADDRESS(1000,COLUMN(K$9)+10)))
))</f>
        <v>0.8</v>
      </c>
    </row>
    <row r="63" ht="15.75" customHeight="1">
      <c r="B63" s="1" t="str">
        <f>IF(ISBLANK(Tareas!B59)," - ",Tareas!B59)</f>
        <v> - </v>
      </c>
      <c r="C63" s="19" t="str">
        <f>IF(ISBLANK(Tareas!$B59),"-",SUM(D63:K63))</f>
        <v>-</v>
      </c>
      <c r="D63" s="19" t="str">
        <f t="array" ref="D63">IF(ISBLANK(Tareas!$B59),"-",
SUM(
SUMIF(INDIRECT(Equipo!$C$4&amp;"!B10:B1000"),$B63,INDIRECT(Equipo!$C$4&amp;"!"&amp;ADDRESS(10,COLUMN(D$9)+10)&amp;":"&amp;ADDRESS(1000,COLUMN(D$9)+10))),
SUMIF(INDIRECT(Equipo!$D$4&amp;"!B10:B1000"),$B63,INDIRECT(Equipo!$D$4&amp;"!"&amp;ADDRESS(10,COLUMN(D$9)+10)&amp;":"&amp;ADDRESS(1000,COLUMN(D$9)+10))),
SUMIF(INDIRECT(Equipo!$E$4&amp;"!B10:B1000"),$B63,INDIRECT(Equipo!$E$4&amp;"!"&amp;ADDRESS(10,COLUMN(D$9)+10)&amp;":"&amp;ADDRESS(1000,COLUMN(D$9)+10))),
SUMIF(INDIRECT(Equipo!$F$4&amp;"!B10:B1000"),$B63,INDIRECT(Equipo!$F$4&amp;"!"&amp;ADDRESS(10,COLUMN(D$9)+10)&amp;":"&amp;ADDRESS(1000,COLUMN(D$9)+10))),
SUMIF(INDIRECT(Equipo!$G$4&amp;"!B10:B1000"),$B63,INDIRECT(Equipo!$G$4&amp;"!"&amp;ADDRESS(10,COLUMN(D$9)+10)&amp;":"&amp;ADDRESS(1000,COLUMN(D$9)+10)))
))</f>
        <v>-</v>
      </c>
      <c r="E63" s="19" t="str">
        <f t="array" ref="E63">IF(ISBLANK(Tareas!$B59),"-",
SUM(
SUMIF(INDIRECT(Equipo!$C$4&amp;"!B10:B1000"),$B63,INDIRECT(Equipo!$C$4&amp;"!"&amp;ADDRESS(10,COLUMN(E$9)+10)&amp;":"&amp;ADDRESS(1000,COLUMN(E$9)+10))),
SUMIF(INDIRECT(Equipo!$D$4&amp;"!B10:B1000"),$B63,INDIRECT(Equipo!$D$4&amp;"!"&amp;ADDRESS(10,COLUMN(E$9)+10)&amp;":"&amp;ADDRESS(1000,COLUMN(E$9)+10))),
SUMIF(INDIRECT(Equipo!$E$4&amp;"!B10:B1000"),$B63,INDIRECT(Equipo!$E$4&amp;"!"&amp;ADDRESS(10,COLUMN(E$9)+10)&amp;":"&amp;ADDRESS(1000,COLUMN(E$9)+10))),
SUMIF(INDIRECT(Equipo!$F$4&amp;"!B10:B1000"),$B63,INDIRECT(Equipo!$F$4&amp;"!"&amp;ADDRESS(10,COLUMN(E$9)+10)&amp;":"&amp;ADDRESS(1000,COLUMN(E$9)+10))),
SUMIF(INDIRECT(Equipo!$G$4&amp;"!B10:B1000"),$B63,INDIRECT(Equipo!$G$4&amp;"!"&amp;ADDRESS(10,COLUMN(E$9)+10)&amp;":"&amp;ADDRESS(1000,COLUMN(E$9)+10)))
))</f>
        <v>-</v>
      </c>
      <c r="F63" s="19" t="str">
        <f t="array" ref="F63">IF(ISBLANK(Tareas!$B59),"-",
SUM(
SUMIF(INDIRECT(Equipo!$C$4&amp;"!B10:B1000"),$B63,INDIRECT(Equipo!$C$4&amp;"!"&amp;ADDRESS(10,COLUMN(F$9)+10)&amp;":"&amp;ADDRESS(1000,COLUMN(F$9)+10))),
SUMIF(INDIRECT(Equipo!$D$4&amp;"!B10:B1000"),$B63,INDIRECT(Equipo!$D$4&amp;"!"&amp;ADDRESS(10,COLUMN(F$9)+10)&amp;":"&amp;ADDRESS(1000,COLUMN(F$9)+10))),
SUMIF(INDIRECT(Equipo!$E$4&amp;"!B10:B1000"),$B63,INDIRECT(Equipo!$E$4&amp;"!"&amp;ADDRESS(10,COLUMN(F$9)+10)&amp;":"&amp;ADDRESS(1000,COLUMN(F$9)+10))),
SUMIF(INDIRECT(Equipo!$F$4&amp;"!B10:B1000"),$B63,INDIRECT(Equipo!$F$4&amp;"!"&amp;ADDRESS(10,COLUMN(F$9)+10)&amp;":"&amp;ADDRESS(1000,COLUMN(F$9)+10))),
SUMIF(INDIRECT(Equipo!$G$4&amp;"!B10:B1000"),$B63,INDIRECT(Equipo!$G$4&amp;"!"&amp;ADDRESS(10,COLUMN(F$9)+10)&amp;":"&amp;ADDRESS(1000,COLUMN(F$9)+10)))
))</f>
        <v>-</v>
      </c>
      <c r="G63" s="19" t="str">
        <f t="array" ref="G63">IF(ISBLANK(Tareas!$B59),"-",
SUM(
SUMIF(INDIRECT(Equipo!$C$4&amp;"!B10:B1000"),$B63,INDIRECT(Equipo!$C$4&amp;"!"&amp;ADDRESS(10,COLUMN(G$9)+10)&amp;":"&amp;ADDRESS(1000,COLUMN(G$9)+10))),
SUMIF(INDIRECT(Equipo!$D$4&amp;"!B10:B1000"),$B63,INDIRECT(Equipo!$D$4&amp;"!"&amp;ADDRESS(10,COLUMN(G$9)+10)&amp;":"&amp;ADDRESS(1000,COLUMN(G$9)+10))),
SUMIF(INDIRECT(Equipo!$E$4&amp;"!B10:B1000"),$B63,INDIRECT(Equipo!$E$4&amp;"!"&amp;ADDRESS(10,COLUMN(G$9)+10)&amp;":"&amp;ADDRESS(1000,COLUMN(G$9)+10))),
SUMIF(INDIRECT(Equipo!$F$4&amp;"!B10:B1000"),$B63,INDIRECT(Equipo!$F$4&amp;"!"&amp;ADDRESS(10,COLUMN(G$9)+10)&amp;":"&amp;ADDRESS(1000,COLUMN(G$9)+10))),
SUMIF(INDIRECT(Equipo!$G$4&amp;"!B10:B1000"),$B63,INDIRECT(Equipo!$G$4&amp;"!"&amp;ADDRESS(10,COLUMN(G$9)+10)&amp;":"&amp;ADDRESS(1000,COLUMN(G$9)+10)))
))</f>
        <v>-</v>
      </c>
      <c r="H63" s="19" t="str">
        <f t="array" ref="H63">IF(ISBLANK(Tareas!$B59),"-",
SUM(
SUMIF(INDIRECT(Equipo!$C$4&amp;"!B10:B1000"),$B63,INDIRECT(Equipo!$C$4&amp;"!"&amp;ADDRESS(10,COLUMN(H$9)+10)&amp;":"&amp;ADDRESS(1000,COLUMN(H$9)+10))),
SUMIF(INDIRECT(Equipo!$D$4&amp;"!B10:B1000"),$B63,INDIRECT(Equipo!$D$4&amp;"!"&amp;ADDRESS(10,COLUMN(H$9)+10)&amp;":"&amp;ADDRESS(1000,COLUMN(H$9)+10))),
SUMIF(INDIRECT(Equipo!$E$4&amp;"!B10:B1000"),$B63,INDIRECT(Equipo!$E$4&amp;"!"&amp;ADDRESS(10,COLUMN(H$9)+10)&amp;":"&amp;ADDRESS(1000,COLUMN(H$9)+10))),
SUMIF(INDIRECT(Equipo!$F$4&amp;"!B10:B1000"),$B63,INDIRECT(Equipo!$F$4&amp;"!"&amp;ADDRESS(10,COLUMN(H$9)+10)&amp;":"&amp;ADDRESS(1000,COLUMN(H$9)+10))),
SUMIF(INDIRECT(Equipo!$G$4&amp;"!B10:B1000"),$B63,INDIRECT(Equipo!$G$4&amp;"!"&amp;ADDRESS(10,COLUMN(H$9)+10)&amp;":"&amp;ADDRESS(1000,COLUMN(H$9)+10)))
))</f>
        <v>-</v>
      </c>
      <c r="I63" s="19" t="str">
        <f t="array" ref="I63">IF(ISBLANK(Tareas!$B59),"-",
SUM(
SUMIF(INDIRECT(Equipo!$C$4&amp;"!B10:B1000"),$B63,INDIRECT(Equipo!$C$4&amp;"!"&amp;ADDRESS(10,COLUMN(I$9)+10)&amp;":"&amp;ADDRESS(1000,COLUMN(I$9)+10))),
SUMIF(INDIRECT(Equipo!$D$4&amp;"!B10:B1000"),$B63,INDIRECT(Equipo!$D$4&amp;"!"&amp;ADDRESS(10,COLUMN(I$9)+10)&amp;":"&amp;ADDRESS(1000,COLUMN(I$9)+10))),
SUMIF(INDIRECT(Equipo!$E$4&amp;"!B10:B1000"),$B63,INDIRECT(Equipo!$E$4&amp;"!"&amp;ADDRESS(10,COLUMN(I$9)+10)&amp;":"&amp;ADDRESS(1000,COLUMN(I$9)+10))),
SUMIF(INDIRECT(Equipo!$F$4&amp;"!B10:B1000"),$B63,INDIRECT(Equipo!$F$4&amp;"!"&amp;ADDRESS(10,COLUMN(I$9)+10)&amp;":"&amp;ADDRESS(1000,COLUMN(I$9)+10))),
SUMIF(INDIRECT(Equipo!$G$4&amp;"!B10:B1000"),$B63,INDIRECT(Equipo!$G$4&amp;"!"&amp;ADDRESS(10,COLUMN(I$9)+10)&amp;":"&amp;ADDRESS(1000,COLUMN(I$9)+10)))
))</f>
        <v>-</v>
      </c>
      <c r="J63" s="19" t="str">
        <f t="array" ref="J63">IF(ISBLANK(Tareas!$B59),"-",
SUM(
SUMIF(INDIRECT(Equipo!$C$4&amp;"!B10:B1000"),$B63,INDIRECT(Equipo!$C$4&amp;"!"&amp;ADDRESS(10,COLUMN(J$9)+10)&amp;":"&amp;ADDRESS(1000,COLUMN(J$9)+10))),
SUMIF(INDIRECT(Equipo!$D$4&amp;"!B10:B1000"),$B63,INDIRECT(Equipo!$D$4&amp;"!"&amp;ADDRESS(10,COLUMN(J$9)+10)&amp;":"&amp;ADDRESS(1000,COLUMN(J$9)+10))),
SUMIF(INDIRECT(Equipo!$E$4&amp;"!B10:B1000"),$B63,INDIRECT(Equipo!$E$4&amp;"!"&amp;ADDRESS(10,COLUMN(J$9)+10)&amp;":"&amp;ADDRESS(1000,COLUMN(J$9)+10))),
SUMIF(INDIRECT(Equipo!$F$4&amp;"!B10:B1000"),$B63,INDIRECT(Equipo!$F$4&amp;"!"&amp;ADDRESS(10,COLUMN(J$9)+10)&amp;":"&amp;ADDRESS(1000,COLUMN(J$9)+10))),
SUMIF(INDIRECT(Equipo!$G$4&amp;"!B10:B1000"),$B63,INDIRECT(Equipo!$G$4&amp;"!"&amp;ADDRESS(10,COLUMN(J$9)+10)&amp;":"&amp;ADDRESS(1000,COLUMN(J$9)+10)))
))</f>
        <v>-</v>
      </c>
      <c r="K63" s="19" t="str">
        <f t="array" ref="K63">IF(ISBLANK(Tareas!$B59),"-",
SUM(
SUMIF(INDIRECT(Equipo!$C$4&amp;"!B10:B1000"),$B63,INDIRECT(Equipo!$C$4&amp;"!"&amp;ADDRESS(10,COLUMN(K$9)+10)&amp;":"&amp;ADDRESS(1000,COLUMN(K$9)+10))),
SUMIF(INDIRECT(Equipo!$D$4&amp;"!B10:B1000"),$B63,INDIRECT(Equipo!$D$4&amp;"!"&amp;ADDRESS(10,COLUMN(K$9)+10)&amp;":"&amp;ADDRESS(1000,COLUMN(K$9)+10))),
SUMIF(INDIRECT(Equipo!$E$4&amp;"!B10:B1000"),$B63,INDIRECT(Equipo!$E$4&amp;"!"&amp;ADDRESS(10,COLUMN(K$9)+10)&amp;":"&amp;ADDRESS(1000,COLUMN(K$9)+10))),
SUMIF(INDIRECT(Equipo!$F$4&amp;"!B10:B1000"),$B63,INDIRECT(Equipo!$F$4&amp;"!"&amp;ADDRESS(10,COLUMN(K$9)+10)&amp;":"&amp;ADDRESS(1000,COLUMN(K$9)+10))),
SUMIF(INDIRECT(Equipo!$G$4&amp;"!B10:B1000"),$B63,INDIRECT(Equipo!$G$4&amp;"!"&amp;ADDRESS(10,COLUMN(K$9)+10)&amp;":"&amp;ADDRESS(1000,COLUMN(K$9)+10)))
))</f>
        <v>-</v>
      </c>
    </row>
    <row r="64" ht="15.75" customHeight="1">
      <c r="B64" s="1" t="str">
        <f>IF(ISBLANK(Tareas!B60)," - ",Tareas!B60)</f>
        <v> - </v>
      </c>
      <c r="C64" s="19" t="str">
        <f>IF(ISBLANK(Tareas!$B60),"-",SUM(D64:K64))</f>
        <v>-</v>
      </c>
      <c r="D64" s="19" t="str">
        <f t="array" ref="D64">IF(ISBLANK(Tareas!$B60),"-",
SUM(
SUMIF(INDIRECT(Equipo!$C$4&amp;"!B10:B1000"),$B64,INDIRECT(Equipo!$C$4&amp;"!"&amp;ADDRESS(10,COLUMN(D$9)+10)&amp;":"&amp;ADDRESS(1000,COLUMN(D$9)+10))),
SUMIF(INDIRECT(Equipo!$D$4&amp;"!B10:B1000"),$B64,INDIRECT(Equipo!$D$4&amp;"!"&amp;ADDRESS(10,COLUMN(D$9)+10)&amp;":"&amp;ADDRESS(1000,COLUMN(D$9)+10))),
SUMIF(INDIRECT(Equipo!$E$4&amp;"!B10:B1000"),$B64,INDIRECT(Equipo!$E$4&amp;"!"&amp;ADDRESS(10,COLUMN(D$9)+10)&amp;":"&amp;ADDRESS(1000,COLUMN(D$9)+10))),
SUMIF(INDIRECT(Equipo!$F$4&amp;"!B10:B1000"),$B64,INDIRECT(Equipo!$F$4&amp;"!"&amp;ADDRESS(10,COLUMN(D$9)+10)&amp;":"&amp;ADDRESS(1000,COLUMN(D$9)+10))),
SUMIF(INDIRECT(Equipo!$G$4&amp;"!B10:B1000"),$B64,INDIRECT(Equipo!$G$4&amp;"!"&amp;ADDRESS(10,COLUMN(D$9)+10)&amp;":"&amp;ADDRESS(1000,COLUMN(D$9)+10)))
))</f>
        <v>-</v>
      </c>
      <c r="E64" s="19" t="str">
        <f t="array" ref="E64">IF(ISBLANK(Tareas!$B60),"-",
SUM(
SUMIF(INDIRECT(Equipo!$C$4&amp;"!B10:B1000"),$B64,INDIRECT(Equipo!$C$4&amp;"!"&amp;ADDRESS(10,COLUMN(E$9)+10)&amp;":"&amp;ADDRESS(1000,COLUMN(E$9)+10))),
SUMIF(INDIRECT(Equipo!$D$4&amp;"!B10:B1000"),$B64,INDIRECT(Equipo!$D$4&amp;"!"&amp;ADDRESS(10,COLUMN(E$9)+10)&amp;":"&amp;ADDRESS(1000,COLUMN(E$9)+10))),
SUMIF(INDIRECT(Equipo!$E$4&amp;"!B10:B1000"),$B64,INDIRECT(Equipo!$E$4&amp;"!"&amp;ADDRESS(10,COLUMN(E$9)+10)&amp;":"&amp;ADDRESS(1000,COLUMN(E$9)+10))),
SUMIF(INDIRECT(Equipo!$F$4&amp;"!B10:B1000"),$B64,INDIRECT(Equipo!$F$4&amp;"!"&amp;ADDRESS(10,COLUMN(E$9)+10)&amp;":"&amp;ADDRESS(1000,COLUMN(E$9)+10))),
SUMIF(INDIRECT(Equipo!$G$4&amp;"!B10:B1000"),$B64,INDIRECT(Equipo!$G$4&amp;"!"&amp;ADDRESS(10,COLUMN(E$9)+10)&amp;":"&amp;ADDRESS(1000,COLUMN(E$9)+10)))
))</f>
        <v>-</v>
      </c>
      <c r="F64" s="19" t="str">
        <f t="array" ref="F64">IF(ISBLANK(Tareas!$B60),"-",
SUM(
SUMIF(INDIRECT(Equipo!$C$4&amp;"!B10:B1000"),$B64,INDIRECT(Equipo!$C$4&amp;"!"&amp;ADDRESS(10,COLUMN(F$9)+10)&amp;":"&amp;ADDRESS(1000,COLUMN(F$9)+10))),
SUMIF(INDIRECT(Equipo!$D$4&amp;"!B10:B1000"),$B64,INDIRECT(Equipo!$D$4&amp;"!"&amp;ADDRESS(10,COLUMN(F$9)+10)&amp;":"&amp;ADDRESS(1000,COLUMN(F$9)+10))),
SUMIF(INDIRECT(Equipo!$E$4&amp;"!B10:B1000"),$B64,INDIRECT(Equipo!$E$4&amp;"!"&amp;ADDRESS(10,COLUMN(F$9)+10)&amp;":"&amp;ADDRESS(1000,COLUMN(F$9)+10))),
SUMIF(INDIRECT(Equipo!$F$4&amp;"!B10:B1000"),$B64,INDIRECT(Equipo!$F$4&amp;"!"&amp;ADDRESS(10,COLUMN(F$9)+10)&amp;":"&amp;ADDRESS(1000,COLUMN(F$9)+10))),
SUMIF(INDIRECT(Equipo!$G$4&amp;"!B10:B1000"),$B64,INDIRECT(Equipo!$G$4&amp;"!"&amp;ADDRESS(10,COLUMN(F$9)+10)&amp;":"&amp;ADDRESS(1000,COLUMN(F$9)+10)))
))</f>
        <v>-</v>
      </c>
      <c r="G64" s="19" t="str">
        <f t="array" ref="G64">IF(ISBLANK(Tareas!$B60),"-",
SUM(
SUMIF(INDIRECT(Equipo!$C$4&amp;"!B10:B1000"),$B64,INDIRECT(Equipo!$C$4&amp;"!"&amp;ADDRESS(10,COLUMN(G$9)+10)&amp;":"&amp;ADDRESS(1000,COLUMN(G$9)+10))),
SUMIF(INDIRECT(Equipo!$D$4&amp;"!B10:B1000"),$B64,INDIRECT(Equipo!$D$4&amp;"!"&amp;ADDRESS(10,COLUMN(G$9)+10)&amp;":"&amp;ADDRESS(1000,COLUMN(G$9)+10))),
SUMIF(INDIRECT(Equipo!$E$4&amp;"!B10:B1000"),$B64,INDIRECT(Equipo!$E$4&amp;"!"&amp;ADDRESS(10,COLUMN(G$9)+10)&amp;":"&amp;ADDRESS(1000,COLUMN(G$9)+10))),
SUMIF(INDIRECT(Equipo!$F$4&amp;"!B10:B1000"),$B64,INDIRECT(Equipo!$F$4&amp;"!"&amp;ADDRESS(10,COLUMN(G$9)+10)&amp;":"&amp;ADDRESS(1000,COLUMN(G$9)+10))),
SUMIF(INDIRECT(Equipo!$G$4&amp;"!B10:B1000"),$B64,INDIRECT(Equipo!$G$4&amp;"!"&amp;ADDRESS(10,COLUMN(G$9)+10)&amp;":"&amp;ADDRESS(1000,COLUMN(G$9)+10)))
))</f>
        <v>-</v>
      </c>
      <c r="H64" s="19" t="str">
        <f t="array" ref="H64">IF(ISBLANK(Tareas!$B60),"-",
SUM(
SUMIF(INDIRECT(Equipo!$C$4&amp;"!B10:B1000"),$B64,INDIRECT(Equipo!$C$4&amp;"!"&amp;ADDRESS(10,COLUMN(H$9)+10)&amp;":"&amp;ADDRESS(1000,COLUMN(H$9)+10))),
SUMIF(INDIRECT(Equipo!$D$4&amp;"!B10:B1000"),$B64,INDIRECT(Equipo!$D$4&amp;"!"&amp;ADDRESS(10,COLUMN(H$9)+10)&amp;":"&amp;ADDRESS(1000,COLUMN(H$9)+10))),
SUMIF(INDIRECT(Equipo!$E$4&amp;"!B10:B1000"),$B64,INDIRECT(Equipo!$E$4&amp;"!"&amp;ADDRESS(10,COLUMN(H$9)+10)&amp;":"&amp;ADDRESS(1000,COLUMN(H$9)+10))),
SUMIF(INDIRECT(Equipo!$F$4&amp;"!B10:B1000"),$B64,INDIRECT(Equipo!$F$4&amp;"!"&amp;ADDRESS(10,COLUMN(H$9)+10)&amp;":"&amp;ADDRESS(1000,COLUMN(H$9)+10))),
SUMIF(INDIRECT(Equipo!$G$4&amp;"!B10:B1000"),$B64,INDIRECT(Equipo!$G$4&amp;"!"&amp;ADDRESS(10,COLUMN(H$9)+10)&amp;":"&amp;ADDRESS(1000,COLUMN(H$9)+10)))
))</f>
        <v>-</v>
      </c>
      <c r="I64" s="19" t="str">
        <f t="array" ref="I64">IF(ISBLANK(Tareas!$B60),"-",
SUM(
SUMIF(INDIRECT(Equipo!$C$4&amp;"!B10:B1000"),$B64,INDIRECT(Equipo!$C$4&amp;"!"&amp;ADDRESS(10,COLUMN(I$9)+10)&amp;":"&amp;ADDRESS(1000,COLUMN(I$9)+10))),
SUMIF(INDIRECT(Equipo!$D$4&amp;"!B10:B1000"),$B64,INDIRECT(Equipo!$D$4&amp;"!"&amp;ADDRESS(10,COLUMN(I$9)+10)&amp;":"&amp;ADDRESS(1000,COLUMN(I$9)+10))),
SUMIF(INDIRECT(Equipo!$E$4&amp;"!B10:B1000"),$B64,INDIRECT(Equipo!$E$4&amp;"!"&amp;ADDRESS(10,COLUMN(I$9)+10)&amp;":"&amp;ADDRESS(1000,COLUMN(I$9)+10))),
SUMIF(INDIRECT(Equipo!$F$4&amp;"!B10:B1000"),$B64,INDIRECT(Equipo!$F$4&amp;"!"&amp;ADDRESS(10,COLUMN(I$9)+10)&amp;":"&amp;ADDRESS(1000,COLUMN(I$9)+10))),
SUMIF(INDIRECT(Equipo!$G$4&amp;"!B10:B1000"),$B64,INDIRECT(Equipo!$G$4&amp;"!"&amp;ADDRESS(10,COLUMN(I$9)+10)&amp;":"&amp;ADDRESS(1000,COLUMN(I$9)+10)))
))</f>
        <v>-</v>
      </c>
      <c r="J64" s="19" t="str">
        <f t="array" ref="J64">IF(ISBLANK(Tareas!$B60),"-",
SUM(
SUMIF(INDIRECT(Equipo!$C$4&amp;"!B10:B1000"),$B64,INDIRECT(Equipo!$C$4&amp;"!"&amp;ADDRESS(10,COLUMN(J$9)+10)&amp;":"&amp;ADDRESS(1000,COLUMN(J$9)+10))),
SUMIF(INDIRECT(Equipo!$D$4&amp;"!B10:B1000"),$B64,INDIRECT(Equipo!$D$4&amp;"!"&amp;ADDRESS(10,COLUMN(J$9)+10)&amp;":"&amp;ADDRESS(1000,COLUMN(J$9)+10))),
SUMIF(INDIRECT(Equipo!$E$4&amp;"!B10:B1000"),$B64,INDIRECT(Equipo!$E$4&amp;"!"&amp;ADDRESS(10,COLUMN(J$9)+10)&amp;":"&amp;ADDRESS(1000,COLUMN(J$9)+10))),
SUMIF(INDIRECT(Equipo!$F$4&amp;"!B10:B1000"),$B64,INDIRECT(Equipo!$F$4&amp;"!"&amp;ADDRESS(10,COLUMN(J$9)+10)&amp;":"&amp;ADDRESS(1000,COLUMN(J$9)+10))),
SUMIF(INDIRECT(Equipo!$G$4&amp;"!B10:B1000"),$B64,INDIRECT(Equipo!$G$4&amp;"!"&amp;ADDRESS(10,COLUMN(J$9)+10)&amp;":"&amp;ADDRESS(1000,COLUMN(J$9)+10)))
))</f>
        <v>-</v>
      </c>
      <c r="K64" s="19" t="str">
        <f t="array" ref="K64">IF(ISBLANK(Tareas!$B60),"-",
SUM(
SUMIF(INDIRECT(Equipo!$C$4&amp;"!B10:B1000"),$B64,INDIRECT(Equipo!$C$4&amp;"!"&amp;ADDRESS(10,COLUMN(K$9)+10)&amp;":"&amp;ADDRESS(1000,COLUMN(K$9)+10))),
SUMIF(INDIRECT(Equipo!$D$4&amp;"!B10:B1000"),$B64,INDIRECT(Equipo!$D$4&amp;"!"&amp;ADDRESS(10,COLUMN(K$9)+10)&amp;":"&amp;ADDRESS(1000,COLUMN(K$9)+10))),
SUMIF(INDIRECT(Equipo!$E$4&amp;"!B10:B1000"),$B64,INDIRECT(Equipo!$E$4&amp;"!"&amp;ADDRESS(10,COLUMN(K$9)+10)&amp;":"&amp;ADDRESS(1000,COLUMN(K$9)+10))),
SUMIF(INDIRECT(Equipo!$F$4&amp;"!B10:B1000"),$B64,INDIRECT(Equipo!$F$4&amp;"!"&amp;ADDRESS(10,COLUMN(K$9)+10)&amp;":"&amp;ADDRESS(1000,COLUMN(K$9)+10))),
SUMIF(INDIRECT(Equipo!$G$4&amp;"!B10:B1000"),$B64,INDIRECT(Equipo!$G$4&amp;"!"&amp;ADDRESS(10,COLUMN(K$9)+10)&amp;":"&amp;ADDRESS(1000,COLUMN(K$9)+10)))
))</f>
        <v>-</v>
      </c>
    </row>
    <row r="65" ht="15.75" customHeight="1">
      <c r="B65" s="1" t="str">
        <f>IF(ISBLANK(Tareas!B61)," - ",Tareas!B61)</f>
        <v> - </v>
      </c>
      <c r="C65" s="19" t="str">
        <f>IF(ISBLANK(Tareas!$B61),"-",SUM(D65:K65))</f>
        <v>-</v>
      </c>
      <c r="D65" s="19" t="str">
        <f t="array" ref="D65">IF(ISBLANK(Tareas!$B61),"-",
SUM(
SUMIF(INDIRECT(Equipo!$C$4&amp;"!B10:B1000"),$B65,INDIRECT(Equipo!$C$4&amp;"!"&amp;ADDRESS(10,COLUMN(D$9)+10)&amp;":"&amp;ADDRESS(1000,COLUMN(D$9)+10))),
SUMIF(INDIRECT(Equipo!$D$4&amp;"!B10:B1000"),$B65,INDIRECT(Equipo!$D$4&amp;"!"&amp;ADDRESS(10,COLUMN(D$9)+10)&amp;":"&amp;ADDRESS(1000,COLUMN(D$9)+10))),
SUMIF(INDIRECT(Equipo!$E$4&amp;"!B10:B1000"),$B65,INDIRECT(Equipo!$E$4&amp;"!"&amp;ADDRESS(10,COLUMN(D$9)+10)&amp;":"&amp;ADDRESS(1000,COLUMN(D$9)+10))),
SUMIF(INDIRECT(Equipo!$F$4&amp;"!B10:B1000"),$B65,INDIRECT(Equipo!$F$4&amp;"!"&amp;ADDRESS(10,COLUMN(D$9)+10)&amp;":"&amp;ADDRESS(1000,COLUMN(D$9)+10))),
SUMIF(INDIRECT(Equipo!$G$4&amp;"!B10:B1000"),$B65,INDIRECT(Equipo!$G$4&amp;"!"&amp;ADDRESS(10,COLUMN(D$9)+10)&amp;":"&amp;ADDRESS(1000,COLUMN(D$9)+10)))
))</f>
        <v>-</v>
      </c>
      <c r="E65" s="19" t="str">
        <f t="array" ref="E65">IF(ISBLANK(Tareas!$B61),"-",
SUM(
SUMIF(INDIRECT(Equipo!$C$4&amp;"!B10:B1000"),$B65,INDIRECT(Equipo!$C$4&amp;"!"&amp;ADDRESS(10,COLUMN(E$9)+10)&amp;":"&amp;ADDRESS(1000,COLUMN(E$9)+10))),
SUMIF(INDIRECT(Equipo!$D$4&amp;"!B10:B1000"),$B65,INDIRECT(Equipo!$D$4&amp;"!"&amp;ADDRESS(10,COLUMN(E$9)+10)&amp;":"&amp;ADDRESS(1000,COLUMN(E$9)+10))),
SUMIF(INDIRECT(Equipo!$E$4&amp;"!B10:B1000"),$B65,INDIRECT(Equipo!$E$4&amp;"!"&amp;ADDRESS(10,COLUMN(E$9)+10)&amp;":"&amp;ADDRESS(1000,COLUMN(E$9)+10))),
SUMIF(INDIRECT(Equipo!$F$4&amp;"!B10:B1000"),$B65,INDIRECT(Equipo!$F$4&amp;"!"&amp;ADDRESS(10,COLUMN(E$9)+10)&amp;":"&amp;ADDRESS(1000,COLUMN(E$9)+10))),
SUMIF(INDIRECT(Equipo!$G$4&amp;"!B10:B1000"),$B65,INDIRECT(Equipo!$G$4&amp;"!"&amp;ADDRESS(10,COLUMN(E$9)+10)&amp;":"&amp;ADDRESS(1000,COLUMN(E$9)+10)))
))</f>
        <v>-</v>
      </c>
      <c r="F65" s="19" t="str">
        <f t="array" ref="F65">IF(ISBLANK(Tareas!$B61),"-",
SUM(
SUMIF(INDIRECT(Equipo!$C$4&amp;"!B10:B1000"),$B65,INDIRECT(Equipo!$C$4&amp;"!"&amp;ADDRESS(10,COLUMN(F$9)+10)&amp;":"&amp;ADDRESS(1000,COLUMN(F$9)+10))),
SUMIF(INDIRECT(Equipo!$D$4&amp;"!B10:B1000"),$B65,INDIRECT(Equipo!$D$4&amp;"!"&amp;ADDRESS(10,COLUMN(F$9)+10)&amp;":"&amp;ADDRESS(1000,COLUMN(F$9)+10))),
SUMIF(INDIRECT(Equipo!$E$4&amp;"!B10:B1000"),$B65,INDIRECT(Equipo!$E$4&amp;"!"&amp;ADDRESS(10,COLUMN(F$9)+10)&amp;":"&amp;ADDRESS(1000,COLUMN(F$9)+10))),
SUMIF(INDIRECT(Equipo!$F$4&amp;"!B10:B1000"),$B65,INDIRECT(Equipo!$F$4&amp;"!"&amp;ADDRESS(10,COLUMN(F$9)+10)&amp;":"&amp;ADDRESS(1000,COLUMN(F$9)+10))),
SUMIF(INDIRECT(Equipo!$G$4&amp;"!B10:B1000"),$B65,INDIRECT(Equipo!$G$4&amp;"!"&amp;ADDRESS(10,COLUMN(F$9)+10)&amp;":"&amp;ADDRESS(1000,COLUMN(F$9)+10)))
))</f>
        <v>-</v>
      </c>
      <c r="G65" s="19" t="str">
        <f t="array" ref="G65">IF(ISBLANK(Tareas!$B61),"-",
SUM(
SUMIF(INDIRECT(Equipo!$C$4&amp;"!B10:B1000"),$B65,INDIRECT(Equipo!$C$4&amp;"!"&amp;ADDRESS(10,COLUMN(G$9)+10)&amp;":"&amp;ADDRESS(1000,COLUMN(G$9)+10))),
SUMIF(INDIRECT(Equipo!$D$4&amp;"!B10:B1000"),$B65,INDIRECT(Equipo!$D$4&amp;"!"&amp;ADDRESS(10,COLUMN(G$9)+10)&amp;":"&amp;ADDRESS(1000,COLUMN(G$9)+10))),
SUMIF(INDIRECT(Equipo!$E$4&amp;"!B10:B1000"),$B65,INDIRECT(Equipo!$E$4&amp;"!"&amp;ADDRESS(10,COLUMN(G$9)+10)&amp;":"&amp;ADDRESS(1000,COLUMN(G$9)+10))),
SUMIF(INDIRECT(Equipo!$F$4&amp;"!B10:B1000"),$B65,INDIRECT(Equipo!$F$4&amp;"!"&amp;ADDRESS(10,COLUMN(G$9)+10)&amp;":"&amp;ADDRESS(1000,COLUMN(G$9)+10))),
SUMIF(INDIRECT(Equipo!$G$4&amp;"!B10:B1000"),$B65,INDIRECT(Equipo!$G$4&amp;"!"&amp;ADDRESS(10,COLUMN(G$9)+10)&amp;":"&amp;ADDRESS(1000,COLUMN(G$9)+10)))
))</f>
        <v>-</v>
      </c>
      <c r="H65" s="19" t="str">
        <f t="array" ref="H65">IF(ISBLANK(Tareas!$B61),"-",
SUM(
SUMIF(INDIRECT(Equipo!$C$4&amp;"!B10:B1000"),$B65,INDIRECT(Equipo!$C$4&amp;"!"&amp;ADDRESS(10,COLUMN(H$9)+10)&amp;":"&amp;ADDRESS(1000,COLUMN(H$9)+10))),
SUMIF(INDIRECT(Equipo!$D$4&amp;"!B10:B1000"),$B65,INDIRECT(Equipo!$D$4&amp;"!"&amp;ADDRESS(10,COLUMN(H$9)+10)&amp;":"&amp;ADDRESS(1000,COLUMN(H$9)+10))),
SUMIF(INDIRECT(Equipo!$E$4&amp;"!B10:B1000"),$B65,INDIRECT(Equipo!$E$4&amp;"!"&amp;ADDRESS(10,COLUMN(H$9)+10)&amp;":"&amp;ADDRESS(1000,COLUMN(H$9)+10))),
SUMIF(INDIRECT(Equipo!$F$4&amp;"!B10:B1000"),$B65,INDIRECT(Equipo!$F$4&amp;"!"&amp;ADDRESS(10,COLUMN(H$9)+10)&amp;":"&amp;ADDRESS(1000,COLUMN(H$9)+10))),
SUMIF(INDIRECT(Equipo!$G$4&amp;"!B10:B1000"),$B65,INDIRECT(Equipo!$G$4&amp;"!"&amp;ADDRESS(10,COLUMN(H$9)+10)&amp;":"&amp;ADDRESS(1000,COLUMN(H$9)+10)))
))</f>
        <v>-</v>
      </c>
      <c r="I65" s="19" t="str">
        <f t="array" ref="I65">IF(ISBLANK(Tareas!$B61),"-",
SUM(
SUMIF(INDIRECT(Equipo!$C$4&amp;"!B10:B1000"),$B65,INDIRECT(Equipo!$C$4&amp;"!"&amp;ADDRESS(10,COLUMN(I$9)+10)&amp;":"&amp;ADDRESS(1000,COLUMN(I$9)+10))),
SUMIF(INDIRECT(Equipo!$D$4&amp;"!B10:B1000"),$B65,INDIRECT(Equipo!$D$4&amp;"!"&amp;ADDRESS(10,COLUMN(I$9)+10)&amp;":"&amp;ADDRESS(1000,COLUMN(I$9)+10))),
SUMIF(INDIRECT(Equipo!$E$4&amp;"!B10:B1000"),$B65,INDIRECT(Equipo!$E$4&amp;"!"&amp;ADDRESS(10,COLUMN(I$9)+10)&amp;":"&amp;ADDRESS(1000,COLUMN(I$9)+10))),
SUMIF(INDIRECT(Equipo!$F$4&amp;"!B10:B1000"),$B65,INDIRECT(Equipo!$F$4&amp;"!"&amp;ADDRESS(10,COLUMN(I$9)+10)&amp;":"&amp;ADDRESS(1000,COLUMN(I$9)+10))),
SUMIF(INDIRECT(Equipo!$G$4&amp;"!B10:B1000"),$B65,INDIRECT(Equipo!$G$4&amp;"!"&amp;ADDRESS(10,COLUMN(I$9)+10)&amp;":"&amp;ADDRESS(1000,COLUMN(I$9)+10)))
))</f>
        <v>-</v>
      </c>
      <c r="J65" s="19" t="str">
        <f t="array" ref="J65">IF(ISBLANK(Tareas!$B61),"-",
SUM(
SUMIF(INDIRECT(Equipo!$C$4&amp;"!B10:B1000"),$B65,INDIRECT(Equipo!$C$4&amp;"!"&amp;ADDRESS(10,COLUMN(J$9)+10)&amp;":"&amp;ADDRESS(1000,COLUMN(J$9)+10))),
SUMIF(INDIRECT(Equipo!$D$4&amp;"!B10:B1000"),$B65,INDIRECT(Equipo!$D$4&amp;"!"&amp;ADDRESS(10,COLUMN(J$9)+10)&amp;":"&amp;ADDRESS(1000,COLUMN(J$9)+10))),
SUMIF(INDIRECT(Equipo!$E$4&amp;"!B10:B1000"),$B65,INDIRECT(Equipo!$E$4&amp;"!"&amp;ADDRESS(10,COLUMN(J$9)+10)&amp;":"&amp;ADDRESS(1000,COLUMN(J$9)+10))),
SUMIF(INDIRECT(Equipo!$F$4&amp;"!B10:B1000"),$B65,INDIRECT(Equipo!$F$4&amp;"!"&amp;ADDRESS(10,COLUMN(J$9)+10)&amp;":"&amp;ADDRESS(1000,COLUMN(J$9)+10))),
SUMIF(INDIRECT(Equipo!$G$4&amp;"!B10:B1000"),$B65,INDIRECT(Equipo!$G$4&amp;"!"&amp;ADDRESS(10,COLUMN(J$9)+10)&amp;":"&amp;ADDRESS(1000,COLUMN(J$9)+10)))
))</f>
        <v>-</v>
      </c>
      <c r="K65" s="19" t="str">
        <f t="array" ref="K65">IF(ISBLANK(Tareas!$B61),"-",
SUM(
SUMIF(INDIRECT(Equipo!$C$4&amp;"!B10:B1000"),$B65,INDIRECT(Equipo!$C$4&amp;"!"&amp;ADDRESS(10,COLUMN(K$9)+10)&amp;":"&amp;ADDRESS(1000,COLUMN(K$9)+10))),
SUMIF(INDIRECT(Equipo!$D$4&amp;"!B10:B1000"),$B65,INDIRECT(Equipo!$D$4&amp;"!"&amp;ADDRESS(10,COLUMN(K$9)+10)&amp;":"&amp;ADDRESS(1000,COLUMN(K$9)+10))),
SUMIF(INDIRECT(Equipo!$E$4&amp;"!B10:B1000"),$B65,INDIRECT(Equipo!$E$4&amp;"!"&amp;ADDRESS(10,COLUMN(K$9)+10)&amp;":"&amp;ADDRESS(1000,COLUMN(K$9)+10))),
SUMIF(INDIRECT(Equipo!$F$4&amp;"!B10:B1000"),$B65,INDIRECT(Equipo!$F$4&amp;"!"&amp;ADDRESS(10,COLUMN(K$9)+10)&amp;":"&amp;ADDRESS(1000,COLUMN(K$9)+10))),
SUMIF(INDIRECT(Equipo!$G$4&amp;"!B10:B1000"),$B65,INDIRECT(Equipo!$G$4&amp;"!"&amp;ADDRESS(10,COLUMN(K$9)+10)&amp;":"&amp;ADDRESS(1000,COLUMN(K$9)+10)))
))</f>
        <v>-</v>
      </c>
    </row>
    <row r="66" ht="15.75" customHeight="1">
      <c r="B66" s="1" t="str">
        <f>IF(ISBLANK(Tareas!B62)," - ",Tareas!B62)</f>
        <v> - </v>
      </c>
      <c r="C66" s="19" t="str">
        <f>IF(ISBLANK(Tareas!$B62),"-",SUM(D66:K66))</f>
        <v>-</v>
      </c>
      <c r="D66" s="19" t="str">
        <f t="array" ref="D66">IF(ISBLANK(Tareas!$B62),"-",
SUM(
SUMIF(INDIRECT(Equipo!$C$4&amp;"!B10:B1000"),$B66,INDIRECT(Equipo!$C$4&amp;"!"&amp;ADDRESS(10,COLUMN(D$9)+10)&amp;":"&amp;ADDRESS(1000,COLUMN(D$9)+10))),
SUMIF(INDIRECT(Equipo!$D$4&amp;"!B10:B1000"),$B66,INDIRECT(Equipo!$D$4&amp;"!"&amp;ADDRESS(10,COLUMN(D$9)+10)&amp;":"&amp;ADDRESS(1000,COLUMN(D$9)+10))),
SUMIF(INDIRECT(Equipo!$E$4&amp;"!B10:B1000"),$B66,INDIRECT(Equipo!$E$4&amp;"!"&amp;ADDRESS(10,COLUMN(D$9)+10)&amp;":"&amp;ADDRESS(1000,COLUMN(D$9)+10))),
SUMIF(INDIRECT(Equipo!$F$4&amp;"!B10:B1000"),$B66,INDIRECT(Equipo!$F$4&amp;"!"&amp;ADDRESS(10,COLUMN(D$9)+10)&amp;":"&amp;ADDRESS(1000,COLUMN(D$9)+10))),
SUMIF(INDIRECT(Equipo!$G$4&amp;"!B10:B1000"),$B66,INDIRECT(Equipo!$G$4&amp;"!"&amp;ADDRESS(10,COLUMN(D$9)+10)&amp;":"&amp;ADDRESS(1000,COLUMN(D$9)+10)))
))</f>
        <v>-</v>
      </c>
      <c r="E66" s="19" t="str">
        <f t="array" ref="E66">IF(ISBLANK(Tareas!$B62),"-",
SUM(
SUMIF(INDIRECT(Equipo!$C$4&amp;"!B10:B1000"),$B66,INDIRECT(Equipo!$C$4&amp;"!"&amp;ADDRESS(10,COLUMN(E$9)+10)&amp;":"&amp;ADDRESS(1000,COLUMN(E$9)+10))),
SUMIF(INDIRECT(Equipo!$D$4&amp;"!B10:B1000"),$B66,INDIRECT(Equipo!$D$4&amp;"!"&amp;ADDRESS(10,COLUMN(E$9)+10)&amp;":"&amp;ADDRESS(1000,COLUMN(E$9)+10))),
SUMIF(INDIRECT(Equipo!$E$4&amp;"!B10:B1000"),$B66,INDIRECT(Equipo!$E$4&amp;"!"&amp;ADDRESS(10,COLUMN(E$9)+10)&amp;":"&amp;ADDRESS(1000,COLUMN(E$9)+10))),
SUMIF(INDIRECT(Equipo!$F$4&amp;"!B10:B1000"),$B66,INDIRECT(Equipo!$F$4&amp;"!"&amp;ADDRESS(10,COLUMN(E$9)+10)&amp;":"&amp;ADDRESS(1000,COLUMN(E$9)+10))),
SUMIF(INDIRECT(Equipo!$G$4&amp;"!B10:B1000"),$B66,INDIRECT(Equipo!$G$4&amp;"!"&amp;ADDRESS(10,COLUMN(E$9)+10)&amp;":"&amp;ADDRESS(1000,COLUMN(E$9)+10)))
))</f>
        <v>-</v>
      </c>
      <c r="F66" s="19" t="str">
        <f t="array" ref="F66">IF(ISBLANK(Tareas!$B62),"-",
SUM(
SUMIF(INDIRECT(Equipo!$C$4&amp;"!B10:B1000"),$B66,INDIRECT(Equipo!$C$4&amp;"!"&amp;ADDRESS(10,COLUMN(F$9)+10)&amp;":"&amp;ADDRESS(1000,COLUMN(F$9)+10))),
SUMIF(INDIRECT(Equipo!$D$4&amp;"!B10:B1000"),$B66,INDIRECT(Equipo!$D$4&amp;"!"&amp;ADDRESS(10,COLUMN(F$9)+10)&amp;":"&amp;ADDRESS(1000,COLUMN(F$9)+10))),
SUMIF(INDIRECT(Equipo!$E$4&amp;"!B10:B1000"),$B66,INDIRECT(Equipo!$E$4&amp;"!"&amp;ADDRESS(10,COLUMN(F$9)+10)&amp;":"&amp;ADDRESS(1000,COLUMN(F$9)+10))),
SUMIF(INDIRECT(Equipo!$F$4&amp;"!B10:B1000"),$B66,INDIRECT(Equipo!$F$4&amp;"!"&amp;ADDRESS(10,COLUMN(F$9)+10)&amp;":"&amp;ADDRESS(1000,COLUMN(F$9)+10))),
SUMIF(INDIRECT(Equipo!$G$4&amp;"!B10:B1000"),$B66,INDIRECT(Equipo!$G$4&amp;"!"&amp;ADDRESS(10,COLUMN(F$9)+10)&amp;":"&amp;ADDRESS(1000,COLUMN(F$9)+10)))
))</f>
        <v>-</v>
      </c>
      <c r="G66" s="19" t="str">
        <f t="array" ref="G66">IF(ISBLANK(Tareas!$B62),"-",
SUM(
SUMIF(INDIRECT(Equipo!$C$4&amp;"!B10:B1000"),$B66,INDIRECT(Equipo!$C$4&amp;"!"&amp;ADDRESS(10,COLUMN(G$9)+10)&amp;":"&amp;ADDRESS(1000,COLUMN(G$9)+10))),
SUMIF(INDIRECT(Equipo!$D$4&amp;"!B10:B1000"),$B66,INDIRECT(Equipo!$D$4&amp;"!"&amp;ADDRESS(10,COLUMN(G$9)+10)&amp;":"&amp;ADDRESS(1000,COLUMN(G$9)+10))),
SUMIF(INDIRECT(Equipo!$E$4&amp;"!B10:B1000"),$B66,INDIRECT(Equipo!$E$4&amp;"!"&amp;ADDRESS(10,COLUMN(G$9)+10)&amp;":"&amp;ADDRESS(1000,COLUMN(G$9)+10))),
SUMIF(INDIRECT(Equipo!$F$4&amp;"!B10:B1000"),$B66,INDIRECT(Equipo!$F$4&amp;"!"&amp;ADDRESS(10,COLUMN(G$9)+10)&amp;":"&amp;ADDRESS(1000,COLUMN(G$9)+10))),
SUMIF(INDIRECT(Equipo!$G$4&amp;"!B10:B1000"),$B66,INDIRECT(Equipo!$G$4&amp;"!"&amp;ADDRESS(10,COLUMN(G$9)+10)&amp;":"&amp;ADDRESS(1000,COLUMN(G$9)+10)))
))</f>
        <v>-</v>
      </c>
      <c r="H66" s="19" t="str">
        <f t="array" ref="H66">IF(ISBLANK(Tareas!$B62),"-",
SUM(
SUMIF(INDIRECT(Equipo!$C$4&amp;"!B10:B1000"),$B66,INDIRECT(Equipo!$C$4&amp;"!"&amp;ADDRESS(10,COLUMN(H$9)+10)&amp;":"&amp;ADDRESS(1000,COLUMN(H$9)+10))),
SUMIF(INDIRECT(Equipo!$D$4&amp;"!B10:B1000"),$B66,INDIRECT(Equipo!$D$4&amp;"!"&amp;ADDRESS(10,COLUMN(H$9)+10)&amp;":"&amp;ADDRESS(1000,COLUMN(H$9)+10))),
SUMIF(INDIRECT(Equipo!$E$4&amp;"!B10:B1000"),$B66,INDIRECT(Equipo!$E$4&amp;"!"&amp;ADDRESS(10,COLUMN(H$9)+10)&amp;":"&amp;ADDRESS(1000,COLUMN(H$9)+10))),
SUMIF(INDIRECT(Equipo!$F$4&amp;"!B10:B1000"),$B66,INDIRECT(Equipo!$F$4&amp;"!"&amp;ADDRESS(10,COLUMN(H$9)+10)&amp;":"&amp;ADDRESS(1000,COLUMN(H$9)+10))),
SUMIF(INDIRECT(Equipo!$G$4&amp;"!B10:B1000"),$B66,INDIRECT(Equipo!$G$4&amp;"!"&amp;ADDRESS(10,COLUMN(H$9)+10)&amp;":"&amp;ADDRESS(1000,COLUMN(H$9)+10)))
))</f>
        <v>-</v>
      </c>
      <c r="I66" s="19" t="str">
        <f t="array" ref="I66">IF(ISBLANK(Tareas!$B62),"-",
SUM(
SUMIF(INDIRECT(Equipo!$C$4&amp;"!B10:B1000"),$B66,INDIRECT(Equipo!$C$4&amp;"!"&amp;ADDRESS(10,COLUMN(I$9)+10)&amp;":"&amp;ADDRESS(1000,COLUMN(I$9)+10))),
SUMIF(INDIRECT(Equipo!$D$4&amp;"!B10:B1000"),$B66,INDIRECT(Equipo!$D$4&amp;"!"&amp;ADDRESS(10,COLUMN(I$9)+10)&amp;":"&amp;ADDRESS(1000,COLUMN(I$9)+10))),
SUMIF(INDIRECT(Equipo!$E$4&amp;"!B10:B1000"),$B66,INDIRECT(Equipo!$E$4&amp;"!"&amp;ADDRESS(10,COLUMN(I$9)+10)&amp;":"&amp;ADDRESS(1000,COLUMN(I$9)+10))),
SUMIF(INDIRECT(Equipo!$F$4&amp;"!B10:B1000"),$B66,INDIRECT(Equipo!$F$4&amp;"!"&amp;ADDRESS(10,COLUMN(I$9)+10)&amp;":"&amp;ADDRESS(1000,COLUMN(I$9)+10))),
SUMIF(INDIRECT(Equipo!$G$4&amp;"!B10:B1000"),$B66,INDIRECT(Equipo!$G$4&amp;"!"&amp;ADDRESS(10,COLUMN(I$9)+10)&amp;":"&amp;ADDRESS(1000,COLUMN(I$9)+10)))
))</f>
        <v>-</v>
      </c>
      <c r="J66" s="19" t="str">
        <f t="array" ref="J66">IF(ISBLANK(Tareas!$B62),"-",
SUM(
SUMIF(INDIRECT(Equipo!$C$4&amp;"!B10:B1000"),$B66,INDIRECT(Equipo!$C$4&amp;"!"&amp;ADDRESS(10,COLUMN(J$9)+10)&amp;":"&amp;ADDRESS(1000,COLUMN(J$9)+10))),
SUMIF(INDIRECT(Equipo!$D$4&amp;"!B10:B1000"),$B66,INDIRECT(Equipo!$D$4&amp;"!"&amp;ADDRESS(10,COLUMN(J$9)+10)&amp;":"&amp;ADDRESS(1000,COLUMN(J$9)+10))),
SUMIF(INDIRECT(Equipo!$E$4&amp;"!B10:B1000"),$B66,INDIRECT(Equipo!$E$4&amp;"!"&amp;ADDRESS(10,COLUMN(J$9)+10)&amp;":"&amp;ADDRESS(1000,COLUMN(J$9)+10))),
SUMIF(INDIRECT(Equipo!$F$4&amp;"!B10:B1000"),$B66,INDIRECT(Equipo!$F$4&amp;"!"&amp;ADDRESS(10,COLUMN(J$9)+10)&amp;":"&amp;ADDRESS(1000,COLUMN(J$9)+10))),
SUMIF(INDIRECT(Equipo!$G$4&amp;"!B10:B1000"),$B66,INDIRECT(Equipo!$G$4&amp;"!"&amp;ADDRESS(10,COLUMN(J$9)+10)&amp;":"&amp;ADDRESS(1000,COLUMN(J$9)+10)))
))</f>
        <v>-</v>
      </c>
      <c r="K66" s="19" t="str">
        <f t="array" ref="K66">IF(ISBLANK(Tareas!$B62),"-",
SUM(
SUMIF(INDIRECT(Equipo!$C$4&amp;"!B10:B1000"),$B66,INDIRECT(Equipo!$C$4&amp;"!"&amp;ADDRESS(10,COLUMN(K$9)+10)&amp;":"&amp;ADDRESS(1000,COLUMN(K$9)+10))),
SUMIF(INDIRECT(Equipo!$D$4&amp;"!B10:B1000"),$B66,INDIRECT(Equipo!$D$4&amp;"!"&amp;ADDRESS(10,COLUMN(K$9)+10)&amp;":"&amp;ADDRESS(1000,COLUMN(K$9)+10))),
SUMIF(INDIRECT(Equipo!$E$4&amp;"!B10:B1000"),$B66,INDIRECT(Equipo!$E$4&amp;"!"&amp;ADDRESS(10,COLUMN(K$9)+10)&amp;":"&amp;ADDRESS(1000,COLUMN(K$9)+10))),
SUMIF(INDIRECT(Equipo!$F$4&amp;"!B10:B1000"),$B66,INDIRECT(Equipo!$F$4&amp;"!"&amp;ADDRESS(10,COLUMN(K$9)+10)&amp;":"&amp;ADDRESS(1000,COLUMN(K$9)+10))),
SUMIF(INDIRECT(Equipo!$G$4&amp;"!B10:B1000"),$B66,INDIRECT(Equipo!$G$4&amp;"!"&amp;ADDRESS(10,COLUMN(K$9)+10)&amp;":"&amp;ADDRESS(1000,COLUMN(K$9)+10)))
))</f>
        <v>-</v>
      </c>
    </row>
    <row r="67" ht="15.75" customHeight="1">
      <c r="B67" s="1" t="str">
        <f>IF(ISBLANK(Tareas!B63)," - ",Tareas!B63)</f>
        <v> - </v>
      </c>
      <c r="C67" s="19" t="str">
        <f>IF(ISBLANK(Tareas!$B63),"-",SUM(D67:K67))</f>
        <v>-</v>
      </c>
      <c r="D67" s="19" t="str">
        <f t="array" ref="D67">IF(ISBLANK(Tareas!$B63),"-",
SUM(
SUMIF(INDIRECT(Equipo!$C$4&amp;"!B10:B1000"),$B67,INDIRECT(Equipo!$C$4&amp;"!"&amp;ADDRESS(10,COLUMN(D$9)+10)&amp;":"&amp;ADDRESS(1000,COLUMN(D$9)+10))),
SUMIF(INDIRECT(Equipo!$D$4&amp;"!B10:B1000"),$B67,INDIRECT(Equipo!$D$4&amp;"!"&amp;ADDRESS(10,COLUMN(D$9)+10)&amp;":"&amp;ADDRESS(1000,COLUMN(D$9)+10))),
SUMIF(INDIRECT(Equipo!$E$4&amp;"!B10:B1000"),$B67,INDIRECT(Equipo!$E$4&amp;"!"&amp;ADDRESS(10,COLUMN(D$9)+10)&amp;":"&amp;ADDRESS(1000,COLUMN(D$9)+10))),
SUMIF(INDIRECT(Equipo!$F$4&amp;"!B10:B1000"),$B67,INDIRECT(Equipo!$F$4&amp;"!"&amp;ADDRESS(10,COLUMN(D$9)+10)&amp;":"&amp;ADDRESS(1000,COLUMN(D$9)+10))),
SUMIF(INDIRECT(Equipo!$G$4&amp;"!B10:B1000"),$B67,INDIRECT(Equipo!$G$4&amp;"!"&amp;ADDRESS(10,COLUMN(D$9)+10)&amp;":"&amp;ADDRESS(1000,COLUMN(D$9)+10)))
))</f>
        <v>-</v>
      </c>
      <c r="E67" s="19" t="str">
        <f t="array" ref="E67">IF(ISBLANK(Tareas!$B63),"-",
SUM(
SUMIF(INDIRECT(Equipo!$C$4&amp;"!B10:B1000"),$B67,INDIRECT(Equipo!$C$4&amp;"!"&amp;ADDRESS(10,COLUMN(E$9)+10)&amp;":"&amp;ADDRESS(1000,COLUMN(E$9)+10))),
SUMIF(INDIRECT(Equipo!$D$4&amp;"!B10:B1000"),$B67,INDIRECT(Equipo!$D$4&amp;"!"&amp;ADDRESS(10,COLUMN(E$9)+10)&amp;":"&amp;ADDRESS(1000,COLUMN(E$9)+10))),
SUMIF(INDIRECT(Equipo!$E$4&amp;"!B10:B1000"),$B67,INDIRECT(Equipo!$E$4&amp;"!"&amp;ADDRESS(10,COLUMN(E$9)+10)&amp;":"&amp;ADDRESS(1000,COLUMN(E$9)+10))),
SUMIF(INDIRECT(Equipo!$F$4&amp;"!B10:B1000"),$B67,INDIRECT(Equipo!$F$4&amp;"!"&amp;ADDRESS(10,COLUMN(E$9)+10)&amp;":"&amp;ADDRESS(1000,COLUMN(E$9)+10))),
SUMIF(INDIRECT(Equipo!$G$4&amp;"!B10:B1000"),$B67,INDIRECT(Equipo!$G$4&amp;"!"&amp;ADDRESS(10,COLUMN(E$9)+10)&amp;":"&amp;ADDRESS(1000,COLUMN(E$9)+10)))
))</f>
        <v>-</v>
      </c>
      <c r="F67" s="19" t="str">
        <f t="array" ref="F67">IF(ISBLANK(Tareas!$B63),"-",
SUM(
SUMIF(INDIRECT(Equipo!$C$4&amp;"!B10:B1000"),$B67,INDIRECT(Equipo!$C$4&amp;"!"&amp;ADDRESS(10,COLUMN(F$9)+10)&amp;":"&amp;ADDRESS(1000,COLUMN(F$9)+10))),
SUMIF(INDIRECT(Equipo!$D$4&amp;"!B10:B1000"),$B67,INDIRECT(Equipo!$D$4&amp;"!"&amp;ADDRESS(10,COLUMN(F$9)+10)&amp;":"&amp;ADDRESS(1000,COLUMN(F$9)+10))),
SUMIF(INDIRECT(Equipo!$E$4&amp;"!B10:B1000"),$B67,INDIRECT(Equipo!$E$4&amp;"!"&amp;ADDRESS(10,COLUMN(F$9)+10)&amp;":"&amp;ADDRESS(1000,COLUMN(F$9)+10))),
SUMIF(INDIRECT(Equipo!$F$4&amp;"!B10:B1000"),$B67,INDIRECT(Equipo!$F$4&amp;"!"&amp;ADDRESS(10,COLUMN(F$9)+10)&amp;":"&amp;ADDRESS(1000,COLUMN(F$9)+10))),
SUMIF(INDIRECT(Equipo!$G$4&amp;"!B10:B1000"),$B67,INDIRECT(Equipo!$G$4&amp;"!"&amp;ADDRESS(10,COLUMN(F$9)+10)&amp;":"&amp;ADDRESS(1000,COLUMN(F$9)+10)))
))</f>
        <v>-</v>
      </c>
      <c r="G67" s="19" t="str">
        <f t="array" ref="G67">IF(ISBLANK(Tareas!$B63),"-",
SUM(
SUMIF(INDIRECT(Equipo!$C$4&amp;"!B10:B1000"),$B67,INDIRECT(Equipo!$C$4&amp;"!"&amp;ADDRESS(10,COLUMN(G$9)+10)&amp;":"&amp;ADDRESS(1000,COLUMN(G$9)+10))),
SUMIF(INDIRECT(Equipo!$D$4&amp;"!B10:B1000"),$B67,INDIRECT(Equipo!$D$4&amp;"!"&amp;ADDRESS(10,COLUMN(G$9)+10)&amp;":"&amp;ADDRESS(1000,COLUMN(G$9)+10))),
SUMIF(INDIRECT(Equipo!$E$4&amp;"!B10:B1000"),$B67,INDIRECT(Equipo!$E$4&amp;"!"&amp;ADDRESS(10,COLUMN(G$9)+10)&amp;":"&amp;ADDRESS(1000,COLUMN(G$9)+10))),
SUMIF(INDIRECT(Equipo!$F$4&amp;"!B10:B1000"),$B67,INDIRECT(Equipo!$F$4&amp;"!"&amp;ADDRESS(10,COLUMN(G$9)+10)&amp;":"&amp;ADDRESS(1000,COLUMN(G$9)+10))),
SUMIF(INDIRECT(Equipo!$G$4&amp;"!B10:B1000"),$B67,INDIRECT(Equipo!$G$4&amp;"!"&amp;ADDRESS(10,COLUMN(G$9)+10)&amp;":"&amp;ADDRESS(1000,COLUMN(G$9)+10)))
))</f>
        <v>-</v>
      </c>
      <c r="H67" s="19" t="str">
        <f t="array" ref="H67">IF(ISBLANK(Tareas!$B63),"-",
SUM(
SUMIF(INDIRECT(Equipo!$C$4&amp;"!B10:B1000"),$B67,INDIRECT(Equipo!$C$4&amp;"!"&amp;ADDRESS(10,COLUMN(H$9)+10)&amp;":"&amp;ADDRESS(1000,COLUMN(H$9)+10))),
SUMIF(INDIRECT(Equipo!$D$4&amp;"!B10:B1000"),$B67,INDIRECT(Equipo!$D$4&amp;"!"&amp;ADDRESS(10,COLUMN(H$9)+10)&amp;":"&amp;ADDRESS(1000,COLUMN(H$9)+10))),
SUMIF(INDIRECT(Equipo!$E$4&amp;"!B10:B1000"),$B67,INDIRECT(Equipo!$E$4&amp;"!"&amp;ADDRESS(10,COLUMN(H$9)+10)&amp;":"&amp;ADDRESS(1000,COLUMN(H$9)+10))),
SUMIF(INDIRECT(Equipo!$F$4&amp;"!B10:B1000"),$B67,INDIRECT(Equipo!$F$4&amp;"!"&amp;ADDRESS(10,COLUMN(H$9)+10)&amp;":"&amp;ADDRESS(1000,COLUMN(H$9)+10))),
SUMIF(INDIRECT(Equipo!$G$4&amp;"!B10:B1000"),$B67,INDIRECT(Equipo!$G$4&amp;"!"&amp;ADDRESS(10,COLUMN(H$9)+10)&amp;":"&amp;ADDRESS(1000,COLUMN(H$9)+10)))
))</f>
        <v>-</v>
      </c>
      <c r="I67" s="19" t="str">
        <f t="array" ref="I67">IF(ISBLANK(Tareas!$B63),"-",
SUM(
SUMIF(INDIRECT(Equipo!$C$4&amp;"!B10:B1000"),$B67,INDIRECT(Equipo!$C$4&amp;"!"&amp;ADDRESS(10,COLUMN(I$9)+10)&amp;":"&amp;ADDRESS(1000,COLUMN(I$9)+10))),
SUMIF(INDIRECT(Equipo!$D$4&amp;"!B10:B1000"),$B67,INDIRECT(Equipo!$D$4&amp;"!"&amp;ADDRESS(10,COLUMN(I$9)+10)&amp;":"&amp;ADDRESS(1000,COLUMN(I$9)+10))),
SUMIF(INDIRECT(Equipo!$E$4&amp;"!B10:B1000"),$B67,INDIRECT(Equipo!$E$4&amp;"!"&amp;ADDRESS(10,COLUMN(I$9)+10)&amp;":"&amp;ADDRESS(1000,COLUMN(I$9)+10))),
SUMIF(INDIRECT(Equipo!$F$4&amp;"!B10:B1000"),$B67,INDIRECT(Equipo!$F$4&amp;"!"&amp;ADDRESS(10,COLUMN(I$9)+10)&amp;":"&amp;ADDRESS(1000,COLUMN(I$9)+10))),
SUMIF(INDIRECT(Equipo!$G$4&amp;"!B10:B1000"),$B67,INDIRECT(Equipo!$G$4&amp;"!"&amp;ADDRESS(10,COLUMN(I$9)+10)&amp;":"&amp;ADDRESS(1000,COLUMN(I$9)+10)))
))</f>
        <v>-</v>
      </c>
      <c r="J67" s="19" t="str">
        <f t="array" ref="J67">IF(ISBLANK(Tareas!$B63),"-",
SUM(
SUMIF(INDIRECT(Equipo!$C$4&amp;"!B10:B1000"),$B67,INDIRECT(Equipo!$C$4&amp;"!"&amp;ADDRESS(10,COLUMN(J$9)+10)&amp;":"&amp;ADDRESS(1000,COLUMN(J$9)+10))),
SUMIF(INDIRECT(Equipo!$D$4&amp;"!B10:B1000"),$B67,INDIRECT(Equipo!$D$4&amp;"!"&amp;ADDRESS(10,COLUMN(J$9)+10)&amp;":"&amp;ADDRESS(1000,COLUMN(J$9)+10))),
SUMIF(INDIRECT(Equipo!$E$4&amp;"!B10:B1000"),$B67,INDIRECT(Equipo!$E$4&amp;"!"&amp;ADDRESS(10,COLUMN(J$9)+10)&amp;":"&amp;ADDRESS(1000,COLUMN(J$9)+10))),
SUMIF(INDIRECT(Equipo!$F$4&amp;"!B10:B1000"),$B67,INDIRECT(Equipo!$F$4&amp;"!"&amp;ADDRESS(10,COLUMN(J$9)+10)&amp;":"&amp;ADDRESS(1000,COLUMN(J$9)+10))),
SUMIF(INDIRECT(Equipo!$G$4&amp;"!B10:B1000"),$B67,INDIRECT(Equipo!$G$4&amp;"!"&amp;ADDRESS(10,COLUMN(J$9)+10)&amp;":"&amp;ADDRESS(1000,COLUMN(J$9)+10)))
))</f>
        <v>-</v>
      </c>
      <c r="K67" s="19" t="str">
        <f t="array" ref="K67">IF(ISBLANK(Tareas!$B63),"-",
SUM(
SUMIF(INDIRECT(Equipo!$C$4&amp;"!B10:B1000"),$B67,INDIRECT(Equipo!$C$4&amp;"!"&amp;ADDRESS(10,COLUMN(K$9)+10)&amp;":"&amp;ADDRESS(1000,COLUMN(K$9)+10))),
SUMIF(INDIRECT(Equipo!$D$4&amp;"!B10:B1000"),$B67,INDIRECT(Equipo!$D$4&amp;"!"&amp;ADDRESS(10,COLUMN(K$9)+10)&amp;":"&amp;ADDRESS(1000,COLUMN(K$9)+10))),
SUMIF(INDIRECT(Equipo!$E$4&amp;"!B10:B1000"),$B67,INDIRECT(Equipo!$E$4&amp;"!"&amp;ADDRESS(10,COLUMN(K$9)+10)&amp;":"&amp;ADDRESS(1000,COLUMN(K$9)+10))),
SUMIF(INDIRECT(Equipo!$F$4&amp;"!B10:B1000"),$B67,INDIRECT(Equipo!$F$4&amp;"!"&amp;ADDRESS(10,COLUMN(K$9)+10)&amp;":"&amp;ADDRESS(1000,COLUMN(K$9)+10))),
SUMIF(INDIRECT(Equipo!$G$4&amp;"!B10:B1000"),$B67,INDIRECT(Equipo!$G$4&amp;"!"&amp;ADDRESS(10,COLUMN(K$9)+10)&amp;":"&amp;ADDRESS(1000,COLUMN(K$9)+10)))
))</f>
        <v>-</v>
      </c>
    </row>
    <row r="68" ht="15.75" customHeight="1">
      <c r="B68" s="1" t="str">
        <f>IF(ISBLANK(Tareas!B64)," - ",Tareas!B64)</f>
        <v> - </v>
      </c>
      <c r="C68" s="19" t="str">
        <f>IF(ISBLANK(Tareas!$B64),"-",SUM(D68:K68))</f>
        <v>-</v>
      </c>
      <c r="D68" s="19" t="str">
        <f t="array" ref="D68">IF(ISBLANK(Tareas!$B64),"-",
SUM(
SUMIF(INDIRECT(Equipo!$C$4&amp;"!B10:B1000"),$B68,INDIRECT(Equipo!$C$4&amp;"!"&amp;ADDRESS(10,COLUMN(D$9)+10)&amp;":"&amp;ADDRESS(1000,COLUMN(D$9)+10))),
SUMIF(INDIRECT(Equipo!$D$4&amp;"!B10:B1000"),$B68,INDIRECT(Equipo!$D$4&amp;"!"&amp;ADDRESS(10,COLUMN(D$9)+10)&amp;":"&amp;ADDRESS(1000,COLUMN(D$9)+10))),
SUMIF(INDIRECT(Equipo!$E$4&amp;"!B10:B1000"),$B68,INDIRECT(Equipo!$E$4&amp;"!"&amp;ADDRESS(10,COLUMN(D$9)+10)&amp;":"&amp;ADDRESS(1000,COLUMN(D$9)+10))),
SUMIF(INDIRECT(Equipo!$F$4&amp;"!B10:B1000"),$B68,INDIRECT(Equipo!$F$4&amp;"!"&amp;ADDRESS(10,COLUMN(D$9)+10)&amp;":"&amp;ADDRESS(1000,COLUMN(D$9)+10))),
SUMIF(INDIRECT(Equipo!$G$4&amp;"!B10:B1000"),$B68,INDIRECT(Equipo!$G$4&amp;"!"&amp;ADDRESS(10,COLUMN(D$9)+10)&amp;":"&amp;ADDRESS(1000,COLUMN(D$9)+10)))
))</f>
        <v>-</v>
      </c>
      <c r="E68" s="19" t="str">
        <f t="array" ref="E68">IF(ISBLANK(Tareas!$B64),"-",
SUM(
SUMIF(INDIRECT(Equipo!$C$4&amp;"!B10:B1000"),$B68,INDIRECT(Equipo!$C$4&amp;"!"&amp;ADDRESS(10,COLUMN(E$9)+10)&amp;":"&amp;ADDRESS(1000,COLUMN(E$9)+10))),
SUMIF(INDIRECT(Equipo!$D$4&amp;"!B10:B1000"),$B68,INDIRECT(Equipo!$D$4&amp;"!"&amp;ADDRESS(10,COLUMN(E$9)+10)&amp;":"&amp;ADDRESS(1000,COLUMN(E$9)+10))),
SUMIF(INDIRECT(Equipo!$E$4&amp;"!B10:B1000"),$B68,INDIRECT(Equipo!$E$4&amp;"!"&amp;ADDRESS(10,COLUMN(E$9)+10)&amp;":"&amp;ADDRESS(1000,COLUMN(E$9)+10))),
SUMIF(INDIRECT(Equipo!$F$4&amp;"!B10:B1000"),$B68,INDIRECT(Equipo!$F$4&amp;"!"&amp;ADDRESS(10,COLUMN(E$9)+10)&amp;":"&amp;ADDRESS(1000,COLUMN(E$9)+10))),
SUMIF(INDIRECT(Equipo!$G$4&amp;"!B10:B1000"),$B68,INDIRECT(Equipo!$G$4&amp;"!"&amp;ADDRESS(10,COLUMN(E$9)+10)&amp;":"&amp;ADDRESS(1000,COLUMN(E$9)+10)))
))</f>
        <v>-</v>
      </c>
      <c r="F68" s="19" t="str">
        <f t="array" ref="F68">IF(ISBLANK(Tareas!$B64),"-",
SUM(
SUMIF(INDIRECT(Equipo!$C$4&amp;"!B10:B1000"),$B68,INDIRECT(Equipo!$C$4&amp;"!"&amp;ADDRESS(10,COLUMN(F$9)+10)&amp;":"&amp;ADDRESS(1000,COLUMN(F$9)+10))),
SUMIF(INDIRECT(Equipo!$D$4&amp;"!B10:B1000"),$B68,INDIRECT(Equipo!$D$4&amp;"!"&amp;ADDRESS(10,COLUMN(F$9)+10)&amp;":"&amp;ADDRESS(1000,COLUMN(F$9)+10))),
SUMIF(INDIRECT(Equipo!$E$4&amp;"!B10:B1000"),$B68,INDIRECT(Equipo!$E$4&amp;"!"&amp;ADDRESS(10,COLUMN(F$9)+10)&amp;":"&amp;ADDRESS(1000,COLUMN(F$9)+10))),
SUMIF(INDIRECT(Equipo!$F$4&amp;"!B10:B1000"),$B68,INDIRECT(Equipo!$F$4&amp;"!"&amp;ADDRESS(10,COLUMN(F$9)+10)&amp;":"&amp;ADDRESS(1000,COLUMN(F$9)+10))),
SUMIF(INDIRECT(Equipo!$G$4&amp;"!B10:B1000"),$B68,INDIRECT(Equipo!$G$4&amp;"!"&amp;ADDRESS(10,COLUMN(F$9)+10)&amp;":"&amp;ADDRESS(1000,COLUMN(F$9)+10)))
))</f>
        <v>-</v>
      </c>
      <c r="G68" s="19" t="str">
        <f t="array" ref="G68">IF(ISBLANK(Tareas!$B64),"-",
SUM(
SUMIF(INDIRECT(Equipo!$C$4&amp;"!B10:B1000"),$B68,INDIRECT(Equipo!$C$4&amp;"!"&amp;ADDRESS(10,COLUMN(G$9)+10)&amp;":"&amp;ADDRESS(1000,COLUMN(G$9)+10))),
SUMIF(INDIRECT(Equipo!$D$4&amp;"!B10:B1000"),$B68,INDIRECT(Equipo!$D$4&amp;"!"&amp;ADDRESS(10,COLUMN(G$9)+10)&amp;":"&amp;ADDRESS(1000,COLUMN(G$9)+10))),
SUMIF(INDIRECT(Equipo!$E$4&amp;"!B10:B1000"),$B68,INDIRECT(Equipo!$E$4&amp;"!"&amp;ADDRESS(10,COLUMN(G$9)+10)&amp;":"&amp;ADDRESS(1000,COLUMN(G$9)+10))),
SUMIF(INDIRECT(Equipo!$F$4&amp;"!B10:B1000"),$B68,INDIRECT(Equipo!$F$4&amp;"!"&amp;ADDRESS(10,COLUMN(G$9)+10)&amp;":"&amp;ADDRESS(1000,COLUMN(G$9)+10))),
SUMIF(INDIRECT(Equipo!$G$4&amp;"!B10:B1000"),$B68,INDIRECT(Equipo!$G$4&amp;"!"&amp;ADDRESS(10,COLUMN(G$9)+10)&amp;":"&amp;ADDRESS(1000,COLUMN(G$9)+10)))
))</f>
        <v>-</v>
      </c>
      <c r="H68" s="19" t="str">
        <f t="array" ref="H68">IF(ISBLANK(Tareas!$B64),"-",
SUM(
SUMIF(INDIRECT(Equipo!$C$4&amp;"!B10:B1000"),$B68,INDIRECT(Equipo!$C$4&amp;"!"&amp;ADDRESS(10,COLUMN(H$9)+10)&amp;":"&amp;ADDRESS(1000,COLUMN(H$9)+10))),
SUMIF(INDIRECT(Equipo!$D$4&amp;"!B10:B1000"),$B68,INDIRECT(Equipo!$D$4&amp;"!"&amp;ADDRESS(10,COLUMN(H$9)+10)&amp;":"&amp;ADDRESS(1000,COLUMN(H$9)+10))),
SUMIF(INDIRECT(Equipo!$E$4&amp;"!B10:B1000"),$B68,INDIRECT(Equipo!$E$4&amp;"!"&amp;ADDRESS(10,COLUMN(H$9)+10)&amp;":"&amp;ADDRESS(1000,COLUMN(H$9)+10))),
SUMIF(INDIRECT(Equipo!$F$4&amp;"!B10:B1000"),$B68,INDIRECT(Equipo!$F$4&amp;"!"&amp;ADDRESS(10,COLUMN(H$9)+10)&amp;":"&amp;ADDRESS(1000,COLUMN(H$9)+10))),
SUMIF(INDIRECT(Equipo!$G$4&amp;"!B10:B1000"),$B68,INDIRECT(Equipo!$G$4&amp;"!"&amp;ADDRESS(10,COLUMN(H$9)+10)&amp;":"&amp;ADDRESS(1000,COLUMN(H$9)+10)))
))</f>
        <v>-</v>
      </c>
      <c r="I68" s="19" t="str">
        <f t="array" ref="I68">IF(ISBLANK(Tareas!$B64),"-",
SUM(
SUMIF(INDIRECT(Equipo!$C$4&amp;"!B10:B1000"),$B68,INDIRECT(Equipo!$C$4&amp;"!"&amp;ADDRESS(10,COLUMN(I$9)+10)&amp;":"&amp;ADDRESS(1000,COLUMN(I$9)+10))),
SUMIF(INDIRECT(Equipo!$D$4&amp;"!B10:B1000"),$B68,INDIRECT(Equipo!$D$4&amp;"!"&amp;ADDRESS(10,COLUMN(I$9)+10)&amp;":"&amp;ADDRESS(1000,COLUMN(I$9)+10))),
SUMIF(INDIRECT(Equipo!$E$4&amp;"!B10:B1000"),$B68,INDIRECT(Equipo!$E$4&amp;"!"&amp;ADDRESS(10,COLUMN(I$9)+10)&amp;":"&amp;ADDRESS(1000,COLUMN(I$9)+10))),
SUMIF(INDIRECT(Equipo!$F$4&amp;"!B10:B1000"),$B68,INDIRECT(Equipo!$F$4&amp;"!"&amp;ADDRESS(10,COLUMN(I$9)+10)&amp;":"&amp;ADDRESS(1000,COLUMN(I$9)+10))),
SUMIF(INDIRECT(Equipo!$G$4&amp;"!B10:B1000"),$B68,INDIRECT(Equipo!$G$4&amp;"!"&amp;ADDRESS(10,COLUMN(I$9)+10)&amp;":"&amp;ADDRESS(1000,COLUMN(I$9)+10)))
))</f>
        <v>-</v>
      </c>
      <c r="J68" s="19" t="str">
        <f t="array" ref="J68">IF(ISBLANK(Tareas!$B64),"-",
SUM(
SUMIF(INDIRECT(Equipo!$C$4&amp;"!B10:B1000"),$B68,INDIRECT(Equipo!$C$4&amp;"!"&amp;ADDRESS(10,COLUMN(J$9)+10)&amp;":"&amp;ADDRESS(1000,COLUMN(J$9)+10))),
SUMIF(INDIRECT(Equipo!$D$4&amp;"!B10:B1000"),$B68,INDIRECT(Equipo!$D$4&amp;"!"&amp;ADDRESS(10,COLUMN(J$9)+10)&amp;":"&amp;ADDRESS(1000,COLUMN(J$9)+10))),
SUMIF(INDIRECT(Equipo!$E$4&amp;"!B10:B1000"),$B68,INDIRECT(Equipo!$E$4&amp;"!"&amp;ADDRESS(10,COLUMN(J$9)+10)&amp;":"&amp;ADDRESS(1000,COLUMN(J$9)+10))),
SUMIF(INDIRECT(Equipo!$F$4&amp;"!B10:B1000"),$B68,INDIRECT(Equipo!$F$4&amp;"!"&amp;ADDRESS(10,COLUMN(J$9)+10)&amp;":"&amp;ADDRESS(1000,COLUMN(J$9)+10))),
SUMIF(INDIRECT(Equipo!$G$4&amp;"!B10:B1000"),$B68,INDIRECT(Equipo!$G$4&amp;"!"&amp;ADDRESS(10,COLUMN(J$9)+10)&amp;":"&amp;ADDRESS(1000,COLUMN(J$9)+10)))
))</f>
        <v>-</v>
      </c>
      <c r="K68" s="19" t="str">
        <f t="array" ref="K68">IF(ISBLANK(Tareas!$B64),"-",
SUM(
SUMIF(INDIRECT(Equipo!$C$4&amp;"!B10:B1000"),$B68,INDIRECT(Equipo!$C$4&amp;"!"&amp;ADDRESS(10,COLUMN(K$9)+10)&amp;":"&amp;ADDRESS(1000,COLUMN(K$9)+10))),
SUMIF(INDIRECT(Equipo!$D$4&amp;"!B10:B1000"),$B68,INDIRECT(Equipo!$D$4&amp;"!"&amp;ADDRESS(10,COLUMN(K$9)+10)&amp;":"&amp;ADDRESS(1000,COLUMN(K$9)+10))),
SUMIF(INDIRECT(Equipo!$E$4&amp;"!B10:B1000"),$B68,INDIRECT(Equipo!$E$4&amp;"!"&amp;ADDRESS(10,COLUMN(K$9)+10)&amp;":"&amp;ADDRESS(1000,COLUMN(K$9)+10))),
SUMIF(INDIRECT(Equipo!$F$4&amp;"!B10:B1000"),$B68,INDIRECT(Equipo!$F$4&amp;"!"&amp;ADDRESS(10,COLUMN(K$9)+10)&amp;":"&amp;ADDRESS(1000,COLUMN(K$9)+10))),
SUMIF(INDIRECT(Equipo!$G$4&amp;"!B10:B1000"),$B68,INDIRECT(Equipo!$G$4&amp;"!"&amp;ADDRESS(10,COLUMN(K$9)+10)&amp;":"&amp;ADDRESS(1000,COLUMN(K$9)+10)))
))</f>
        <v>-</v>
      </c>
    </row>
    <row r="69" ht="15.75" customHeight="1">
      <c r="B69" s="1" t="str">
        <f>IF(ISBLANK(Tareas!B65)," - ",Tareas!B65)</f>
        <v> - </v>
      </c>
      <c r="C69" s="19" t="str">
        <f>IF(ISBLANK(Tareas!$B65),"-",SUM(D69:K69))</f>
        <v>-</v>
      </c>
      <c r="D69" s="19" t="str">
        <f t="array" ref="D69">IF(ISBLANK(Tareas!$B65),"-",
SUM(
SUMIF(INDIRECT(Equipo!$C$4&amp;"!B10:B1000"),$B69,INDIRECT(Equipo!$C$4&amp;"!"&amp;ADDRESS(10,COLUMN(D$9)+10)&amp;":"&amp;ADDRESS(1000,COLUMN(D$9)+10))),
SUMIF(INDIRECT(Equipo!$D$4&amp;"!B10:B1000"),$B69,INDIRECT(Equipo!$D$4&amp;"!"&amp;ADDRESS(10,COLUMN(D$9)+10)&amp;":"&amp;ADDRESS(1000,COLUMN(D$9)+10))),
SUMIF(INDIRECT(Equipo!$E$4&amp;"!B10:B1000"),$B69,INDIRECT(Equipo!$E$4&amp;"!"&amp;ADDRESS(10,COLUMN(D$9)+10)&amp;":"&amp;ADDRESS(1000,COLUMN(D$9)+10))),
SUMIF(INDIRECT(Equipo!$F$4&amp;"!B10:B1000"),$B69,INDIRECT(Equipo!$F$4&amp;"!"&amp;ADDRESS(10,COLUMN(D$9)+10)&amp;":"&amp;ADDRESS(1000,COLUMN(D$9)+10))),
SUMIF(INDIRECT(Equipo!$G$4&amp;"!B10:B1000"),$B69,INDIRECT(Equipo!$G$4&amp;"!"&amp;ADDRESS(10,COLUMN(D$9)+10)&amp;":"&amp;ADDRESS(1000,COLUMN(D$9)+10)))
))</f>
        <v>-</v>
      </c>
      <c r="E69" s="19" t="str">
        <f t="array" ref="E69">IF(ISBLANK(Tareas!$B65),"-",
SUM(
SUMIF(INDIRECT(Equipo!$C$4&amp;"!B10:B1000"),$B69,INDIRECT(Equipo!$C$4&amp;"!"&amp;ADDRESS(10,COLUMN(E$9)+10)&amp;":"&amp;ADDRESS(1000,COLUMN(E$9)+10))),
SUMIF(INDIRECT(Equipo!$D$4&amp;"!B10:B1000"),$B69,INDIRECT(Equipo!$D$4&amp;"!"&amp;ADDRESS(10,COLUMN(E$9)+10)&amp;":"&amp;ADDRESS(1000,COLUMN(E$9)+10))),
SUMIF(INDIRECT(Equipo!$E$4&amp;"!B10:B1000"),$B69,INDIRECT(Equipo!$E$4&amp;"!"&amp;ADDRESS(10,COLUMN(E$9)+10)&amp;":"&amp;ADDRESS(1000,COLUMN(E$9)+10))),
SUMIF(INDIRECT(Equipo!$F$4&amp;"!B10:B1000"),$B69,INDIRECT(Equipo!$F$4&amp;"!"&amp;ADDRESS(10,COLUMN(E$9)+10)&amp;":"&amp;ADDRESS(1000,COLUMN(E$9)+10))),
SUMIF(INDIRECT(Equipo!$G$4&amp;"!B10:B1000"),$B69,INDIRECT(Equipo!$G$4&amp;"!"&amp;ADDRESS(10,COLUMN(E$9)+10)&amp;":"&amp;ADDRESS(1000,COLUMN(E$9)+10)))
))</f>
        <v>-</v>
      </c>
      <c r="F69" s="19" t="str">
        <f t="array" ref="F69">IF(ISBLANK(Tareas!$B65),"-",
SUM(
SUMIF(INDIRECT(Equipo!$C$4&amp;"!B10:B1000"),$B69,INDIRECT(Equipo!$C$4&amp;"!"&amp;ADDRESS(10,COLUMN(F$9)+10)&amp;":"&amp;ADDRESS(1000,COLUMN(F$9)+10))),
SUMIF(INDIRECT(Equipo!$D$4&amp;"!B10:B1000"),$B69,INDIRECT(Equipo!$D$4&amp;"!"&amp;ADDRESS(10,COLUMN(F$9)+10)&amp;":"&amp;ADDRESS(1000,COLUMN(F$9)+10))),
SUMIF(INDIRECT(Equipo!$E$4&amp;"!B10:B1000"),$B69,INDIRECT(Equipo!$E$4&amp;"!"&amp;ADDRESS(10,COLUMN(F$9)+10)&amp;":"&amp;ADDRESS(1000,COLUMN(F$9)+10))),
SUMIF(INDIRECT(Equipo!$F$4&amp;"!B10:B1000"),$B69,INDIRECT(Equipo!$F$4&amp;"!"&amp;ADDRESS(10,COLUMN(F$9)+10)&amp;":"&amp;ADDRESS(1000,COLUMN(F$9)+10))),
SUMIF(INDIRECT(Equipo!$G$4&amp;"!B10:B1000"),$B69,INDIRECT(Equipo!$G$4&amp;"!"&amp;ADDRESS(10,COLUMN(F$9)+10)&amp;":"&amp;ADDRESS(1000,COLUMN(F$9)+10)))
))</f>
        <v>-</v>
      </c>
      <c r="G69" s="19" t="str">
        <f t="array" ref="G69">IF(ISBLANK(Tareas!$B65),"-",
SUM(
SUMIF(INDIRECT(Equipo!$C$4&amp;"!B10:B1000"),$B69,INDIRECT(Equipo!$C$4&amp;"!"&amp;ADDRESS(10,COLUMN(G$9)+10)&amp;":"&amp;ADDRESS(1000,COLUMN(G$9)+10))),
SUMIF(INDIRECT(Equipo!$D$4&amp;"!B10:B1000"),$B69,INDIRECT(Equipo!$D$4&amp;"!"&amp;ADDRESS(10,COLUMN(G$9)+10)&amp;":"&amp;ADDRESS(1000,COLUMN(G$9)+10))),
SUMIF(INDIRECT(Equipo!$E$4&amp;"!B10:B1000"),$B69,INDIRECT(Equipo!$E$4&amp;"!"&amp;ADDRESS(10,COLUMN(G$9)+10)&amp;":"&amp;ADDRESS(1000,COLUMN(G$9)+10))),
SUMIF(INDIRECT(Equipo!$F$4&amp;"!B10:B1000"),$B69,INDIRECT(Equipo!$F$4&amp;"!"&amp;ADDRESS(10,COLUMN(G$9)+10)&amp;":"&amp;ADDRESS(1000,COLUMN(G$9)+10))),
SUMIF(INDIRECT(Equipo!$G$4&amp;"!B10:B1000"),$B69,INDIRECT(Equipo!$G$4&amp;"!"&amp;ADDRESS(10,COLUMN(G$9)+10)&amp;":"&amp;ADDRESS(1000,COLUMN(G$9)+10)))
))</f>
        <v>-</v>
      </c>
      <c r="H69" s="19" t="str">
        <f t="array" ref="H69">IF(ISBLANK(Tareas!$B65),"-",
SUM(
SUMIF(INDIRECT(Equipo!$C$4&amp;"!B10:B1000"),$B69,INDIRECT(Equipo!$C$4&amp;"!"&amp;ADDRESS(10,COLUMN(H$9)+10)&amp;":"&amp;ADDRESS(1000,COLUMN(H$9)+10))),
SUMIF(INDIRECT(Equipo!$D$4&amp;"!B10:B1000"),$B69,INDIRECT(Equipo!$D$4&amp;"!"&amp;ADDRESS(10,COLUMN(H$9)+10)&amp;":"&amp;ADDRESS(1000,COLUMN(H$9)+10))),
SUMIF(INDIRECT(Equipo!$E$4&amp;"!B10:B1000"),$B69,INDIRECT(Equipo!$E$4&amp;"!"&amp;ADDRESS(10,COLUMN(H$9)+10)&amp;":"&amp;ADDRESS(1000,COLUMN(H$9)+10))),
SUMIF(INDIRECT(Equipo!$F$4&amp;"!B10:B1000"),$B69,INDIRECT(Equipo!$F$4&amp;"!"&amp;ADDRESS(10,COLUMN(H$9)+10)&amp;":"&amp;ADDRESS(1000,COLUMN(H$9)+10))),
SUMIF(INDIRECT(Equipo!$G$4&amp;"!B10:B1000"),$B69,INDIRECT(Equipo!$G$4&amp;"!"&amp;ADDRESS(10,COLUMN(H$9)+10)&amp;":"&amp;ADDRESS(1000,COLUMN(H$9)+10)))
))</f>
        <v>-</v>
      </c>
      <c r="I69" s="19" t="str">
        <f t="array" ref="I69">IF(ISBLANK(Tareas!$B65),"-",
SUM(
SUMIF(INDIRECT(Equipo!$C$4&amp;"!B10:B1000"),$B69,INDIRECT(Equipo!$C$4&amp;"!"&amp;ADDRESS(10,COLUMN(I$9)+10)&amp;":"&amp;ADDRESS(1000,COLUMN(I$9)+10))),
SUMIF(INDIRECT(Equipo!$D$4&amp;"!B10:B1000"),$B69,INDIRECT(Equipo!$D$4&amp;"!"&amp;ADDRESS(10,COLUMN(I$9)+10)&amp;":"&amp;ADDRESS(1000,COLUMN(I$9)+10))),
SUMIF(INDIRECT(Equipo!$E$4&amp;"!B10:B1000"),$B69,INDIRECT(Equipo!$E$4&amp;"!"&amp;ADDRESS(10,COLUMN(I$9)+10)&amp;":"&amp;ADDRESS(1000,COLUMN(I$9)+10))),
SUMIF(INDIRECT(Equipo!$F$4&amp;"!B10:B1000"),$B69,INDIRECT(Equipo!$F$4&amp;"!"&amp;ADDRESS(10,COLUMN(I$9)+10)&amp;":"&amp;ADDRESS(1000,COLUMN(I$9)+10))),
SUMIF(INDIRECT(Equipo!$G$4&amp;"!B10:B1000"),$B69,INDIRECT(Equipo!$G$4&amp;"!"&amp;ADDRESS(10,COLUMN(I$9)+10)&amp;":"&amp;ADDRESS(1000,COLUMN(I$9)+10)))
))</f>
        <v>-</v>
      </c>
      <c r="J69" s="19" t="str">
        <f t="array" ref="J69">IF(ISBLANK(Tareas!$B65),"-",
SUM(
SUMIF(INDIRECT(Equipo!$C$4&amp;"!B10:B1000"),$B69,INDIRECT(Equipo!$C$4&amp;"!"&amp;ADDRESS(10,COLUMN(J$9)+10)&amp;":"&amp;ADDRESS(1000,COLUMN(J$9)+10))),
SUMIF(INDIRECT(Equipo!$D$4&amp;"!B10:B1000"),$B69,INDIRECT(Equipo!$D$4&amp;"!"&amp;ADDRESS(10,COLUMN(J$9)+10)&amp;":"&amp;ADDRESS(1000,COLUMN(J$9)+10))),
SUMIF(INDIRECT(Equipo!$E$4&amp;"!B10:B1000"),$B69,INDIRECT(Equipo!$E$4&amp;"!"&amp;ADDRESS(10,COLUMN(J$9)+10)&amp;":"&amp;ADDRESS(1000,COLUMN(J$9)+10))),
SUMIF(INDIRECT(Equipo!$F$4&amp;"!B10:B1000"),$B69,INDIRECT(Equipo!$F$4&amp;"!"&amp;ADDRESS(10,COLUMN(J$9)+10)&amp;":"&amp;ADDRESS(1000,COLUMN(J$9)+10))),
SUMIF(INDIRECT(Equipo!$G$4&amp;"!B10:B1000"),$B69,INDIRECT(Equipo!$G$4&amp;"!"&amp;ADDRESS(10,COLUMN(J$9)+10)&amp;":"&amp;ADDRESS(1000,COLUMN(J$9)+10)))
))</f>
        <v>-</v>
      </c>
      <c r="K69" s="19" t="str">
        <f t="array" ref="K69">IF(ISBLANK(Tareas!$B65),"-",
SUM(
SUMIF(INDIRECT(Equipo!$C$4&amp;"!B10:B1000"),$B69,INDIRECT(Equipo!$C$4&amp;"!"&amp;ADDRESS(10,COLUMN(K$9)+10)&amp;":"&amp;ADDRESS(1000,COLUMN(K$9)+10))),
SUMIF(INDIRECT(Equipo!$D$4&amp;"!B10:B1000"),$B69,INDIRECT(Equipo!$D$4&amp;"!"&amp;ADDRESS(10,COLUMN(K$9)+10)&amp;":"&amp;ADDRESS(1000,COLUMN(K$9)+10))),
SUMIF(INDIRECT(Equipo!$E$4&amp;"!B10:B1000"),$B69,INDIRECT(Equipo!$E$4&amp;"!"&amp;ADDRESS(10,COLUMN(K$9)+10)&amp;":"&amp;ADDRESS(1000,COLUMN(K$9)+10))),
SUMIF(INDIRECT(Equipo!$F$4&amp;"!B10:B1000"),$B69,INDIRECT(Equipo!$F$4&amp;"!"&amp;ADDRESS(10,COLUMN(K$9)+10)&amp;":"&amp;ADDRESS(1000,COLUMN(K$9)+10))),
SUMIF(INDIRECT(Equipo!$G$4&amp;"!B10:B1000"),$B69,INDIRECT(Equipo!$G$4&amp;"!"&amp;ADDRESS(10,COLUMN(K$9)+10)&amp;":"&amp;ADDRESS(1000,COLUMN(K$9)+10)))
))</f>
        <v>-</v>
      </c>
    </row>
    <row r="70" ht="15.75" customHeight="1">
      <c r="B70" s="1" t="str">
        <f>IF(ISBLANK(Tareas!B66)," - ",Tareas!B66)</f>
        <v> - </v>
      </c>
      <c r="C70" s="19" t="str">
        <f>IF(ISBLANK(Tareas!$B66),"-",SUM(D70:K70))</f>
        <v>-</v>
      </c>
      <c r="D70" s="19" t="str">
        <f t="array" ref="D70">IF(ISBLANK(Tareas!$B66),"-",
SUM(
SUMIF(INDIRECT(Equipo!$C$4&amp;"!B10:B1000"),$B70,INDIRECT(Equipo!$C$4&amp;"!"&amp;ADDRESS(10,COLUMN(D$9)+10)&amp;":"&amp;ADDRESS(1000,COLUMN(D$9)+10))),
SUMIF(INDIRECT(Equipo!$D$4&amp;"!B10:B1000"),$B70,INDIRECT(Equipo!$D$4&amp;"!"&amp;ADDRESS(10,COLUMN(D$9)+10)&amp;":"&amp;ADDRESS(1000,COLUMN(D$9)+10))),
SUMIF(INDIRECT(Equipo!$E$4&amp;"!B10:B1000"),$B70,INDIRECT(Equipo!$E$4&amp;"!"&amp;ADDRESS(10,COLUMN(D$9)+10)&amp;":"&amp;ADDRESS(1000,COLUMN(D$9)+10))),
SUMIF(INDIRECT(Equipo!$F$4&amp;"!B10:B1000"),$B70,INDIRECT(Equipo!$F$4&amp;"!"&amp;ADDRESS(10,COLUMN(D$9)+10)&amp;":"&amp;ADDRESS(1000,COLUMN(D$9)+10))),
SUMIF(INDIRECT(Equipo!$G$4&amp;"!B10:B1000"),$B70,INDIRECT(Equipo!$G$4&amp;"!"&amp;ADDRESS(10,COLUMN(D$9)+10)&amp;":"&amp;ADDRESS(1000,COLUMN(D$9)+10)))
))</f>
        <v>-</v>
      </c>
      <c r="E70" s="19" t="str">
        <f t="array" ref="E70">IF(ISBLANK(Tareas!$B66),"-",
SUM(
SUMIF(INDIRECT(Equipo!$C$4&amp;"!B10:B1000"),$B70,INDIRECT(Equipo!$C$4&amp;"!"&amp;ADDRESS(10,COLUMN(E$9)+10)&amp;":"&amp;ADDRESS(1000,COLUMN(E$9)+10))),
SUMIF(INDIRECT(Equipo!$D$4&amp;"!B10:B1000"),$B70,INDIRECT(Equipo!$D$4&amp;"!"&amp;ADDRESS(10,COLUMN(E$9)+10)&amp;":"&amp;ADDRESS(1000,COLUMN(E$9)+10))),
SUMIF(INDIRECT(Equipo!$E$4&amp;"!B10:B1000"),$B70,INDIRECT(Equipo!$E$4&amp;"!"&amp;ADDRESS(10,COLUMN(E$9)+10)&amp;":"&amp;ADDRESS(1000,COLUMN(E$9)+10))),
SUMIF(INDIRECT(Equipo!$F$4&amp;"!B10:B1000"),$B70,INDIRECT(Equipo!$F$4&amp;"!"&amp;ADDRESS(10,COLUMN(E$9)+10)&amp;":"&amp;ADDRESS(1000,COLUMN(E$9)+10))),
SUMIF(INDIRECT(Equipo!$G$4&amp;"!B10:B1000"),$B70,INDIRECT(Equipo!$G$4&amp;"!"&amp;ADDRESS(10,COLUMN(E$9)+10)&amp;":"&amp;ADDRESS(1000,COLUMN(E$9)+10)))
))</f>
        <v>-</v>
      </c>
      <c r="F70" s="19" t="str">
        <f t="array" ref="F70">IF(ISBLANK(Tareas!$B66),"-",
SUM(
SUMIF(INDIRECT(Equipo!$C$4&amp;"!B10:B1000"),$B70,INDIRECT(Equipo!$C$4&amp;"!"&amp;ADDRESS(10,COLUMN(F$9)+10)&amp;":"&amp;ADDRESS(1000,COLUMN(F$9)+10))),
SUMIF(INDIRECT(Equipo!$D$4&amp;"!B10:B1000"),$B70,INDIRECT(Equipo!$D$4&amp;"!"&amp;ADDRESS(10,COLUMN(F$9)+10)&amp;":"&amp;ADDRESS(1000,COLUMN(F$9)+10))),
SUMIF(INDIRECT(Equipo!$E$4&amp;"!B10:B1000"),$B70,INDIRECT(Equipo!$E$4&amp;"!"&amp;ADDRESS(10,COLUMN(F$9)+10)&amp;":"&amp;ADDRESS(1000,COLUMN(F$9)+10))),
SUMIF(INDIRECT(Equipo!$F$4&amp;"!B10:B1000"),$B70,INDIRECT(Equipo!$F$4&amp;"!"&amp;ADDRESS(10,COLUMN(F$9)+10)&amp;":"&amp;ADDRESS(1000,COLUMN(F$9)+10))),
SUMIF(INDIRECT(Equipo!$G$4&amp;"!B10:B1000"),$B70,INDIRECT(Equipo!$G$4&amp;"!"&amp;ADDRESS(10,COLUMN(F$9)+10)&amp;":"&amp;ADDRESS(1000,COLUMN(F$9)+10)))
))</f>
        <v>-</v>
      </c>
      <c r="G70" s="19" t="str">
        <f t="array" ref="G70">IF(ISBLANK(Tareas!$B66),"-",
SUM(
SUMIF(INDIRECT(Equipo!$C$4&amp;"!B10:B1000"),$B70,INDIRECT(Equipo!$C$4&amp;"!"&amp;ADDRESS(10,COLUMN(G$9)+10)&amp;":"&amp;ADDRESS(1000,COLUMN(G$9)+10))),
SUMIF(INDIRECT(Equipo!$D$4&amp;"!B10:B1000"),$B70,INDIRECT(Equipo!$D$4&amp;"!"&amp;ADDRESS(10,COLUMN(G$9)+10)&amp;":"&amp;ADDRESS(1000,COLUMN(G$9)+10))),
SUMIF(INDIRECT(Equipo!$E$4&amp;"!B10:B1000"),$B70,INDIRECT(Equipo!$E$4&amp;"!"&amp;ADDRESS(10,COLUMN(G$9)+10)&amp;":"&amp;ADDRESS(1000,COLUMN(G$9)+10))),
SUMIF(INDIRECT(Equipo!$F$4&amp;"!B10:B1000"),$B70,INDIRECT(Equipo!$F$4&amp;"!"&amp;ADDRESS(10,COLUMN(G$9)+10)&amp;":"&amp;ADDRESS(1000,COLUMN(G$9)+10))),
SUMIF(INDIRECT(Equipo!$G$4&amp;"!B10:B1000"),$B70,INDIRECT(Equipo!$G$4&amp;"!"&amp;ADDRESS(10,COLUMN(G$9)+10)&amp;":"&amp;ADDRESS(1000,COLUMN(G$9)+10)))
))</f>
        <v>-</v>
      </c>
      <c r="H70" s="19" t="str">
        <f t="array" ref="H70">IF(ISBLANK(Tareas!$B66),"-",
SUM(
SUMIF(INDIRECT(Equipo!$C$4&amp;"!B10:B1000"),$B70,INDIRECT(Equipo!$C$4&amp;"!"&amp;ADDRESS(10,COLUMN(H$9)+10)&amp;":"&amp;ADDRESS(1000,COLUMN(H$9)+10))),
SUMIF(INDIRECT(Equipo!$D$4&amp;"!B10:B1000"),$B70,INDIRECT(Equipo!$D$4&amp;"!"&amp;ADDRESS(10,COLUMN(H$9)+10)&amp;":"&amp;ADDRESS(1000,COLUMN(H$9)+10))),
SUMIF(INDIRECT(Equipo!$E$4&amp;"!B10:B1000"),$B70,INDIRECT(Equipo!$E$4&amp;"!"&amp;ADDRESS(10,COLUMN(H$9)+10)&amp;":"&amp;ADDRESS(1000,COLUMN(H$9)+10))),
SUMIF(INDIRECT(Equipo!$F$4&amp;"!B10:B1000"),$B70,INDIRECT(Equipo!$F$4&amp;"!"&amp;ADDRESS(10,COLUMN(H$9)+10)&amp;":"&amp;ADDRESS(1000,COLUMN(H$9)+10))),
SUMIF(INDIRECT(Equipo!$G$4&amp;"!B10:B1000"),$B70,INDIRECT(Equipo!$G$4&amp;"!"&amp;ADDRESS(10,COLUMN(H$9)+10)&amp;":"&amp;ADDRESS(1000,COLUMN(H$9)+10)))
))</f>
        <v>-</v>
      </c>
      <c r="I70" s="19" t="str">
        <f t="array" ref="I70">IF(ISBLANK(Tareas!$B66),"-",
SUM(
SUMIF(INDIRECT(Equipo!$C$4&amp;"!B10:B1000"),$B70,INDIRECT(Equipo!$C$4&amp;"!"&amp;ADDRESS(10,COLUMN(I$9)+10)&amp;":"&amp;ADDRESS(1000,COLUMN(I$9)+10))),
SUMIF(INDIRECT(Equipo!$D$4&amp;"!B10:B1000"),$B70,INDIRECT(Equipo!$D$4&amp;"!"&amp;ADDRESS(10,COLUMN(I$9)+10)&amp;":"&amp;ADDRESS(1000,COLUMN(I$9)+10))),
SUMIF(INDIRECT(Equipo!$E$4&amp;"!B10:B1000"),$B70,INDIRECT(Equipo!$E$4&amp;"!"&amp;ADDRESS(10,COLUMN(I$9)+10)&amp;":"&amp;ADDRESS(1000,COLUMN(I$9)+10))),
SUMIF(INDIRECT(Equipo!$F$4&amp;"!B10:B1000"),$B70,INDIRECT(Equipo!$F$4&amp;"!"&amp;ADDRESS(10,COLUMN(I$9)+10)&amp;":"&amp;ADDRESS(1000,COLUMN(I$9)+10))),
SUMIF(INDIRECT(Equipo!$G$4&amp;"!B10:B1000"),$B70,INDIRECT(Equipo!$G$4&amp;"!"&amp;ADDRESS(10,COLUMN(I$9)+10)&amp;":"&amp;ADDRESS(1000,COLUMN(I$9)+10)))
))</f>
        <v>-</v>
      </c>
      <c r="J70" s="19" t="str">
        <f t="array" ref="J70">IF(ISBLANK(Tareas!$B66),"-",
SUM(
SUMIF(INDIRECT(Equipo!$C$4&amp;"!B10:B1000"),$B70,INDIRECT(Equipo!$C$4&amp;"!"&amp;ADDRESS(10,COLUMN(J$9)+10)&amp;":"&amp;ADDRESS(1000,COLUMN(J$9)+10))),
SUMIF(INDIRECT(Equipo!$D$4&amp;"!B10:B1000"),$B70,INDIRECT(Equipo!$D$4&amp;"!"&amp;ADDRESS(10,COLUMN(J$9)+10)&amp;":"&amp;ADDRESS(1000,COLUMN(J$9)+10))),
SUMIF(INDIRECT(Equipo!$E$4&amp;"!B10:B1000"),$B70,INDIRECT(Equipo!$E$4&amp;"!"&amp;ADDRESS(10,COLUMN(J$9)+10)&amp;":"&amp;ADDRESS(1000,COLUMN(J$9)+10))),
SUMIF(INDIRECT(Equipo!$F$4&amp;"!B10:B1000"),$B70,INDIRECT(Equipo!$F$4&amp;"!"&amp;ADDRESS(10,COLUMN(J$9)+10)&amp;":"&amp;ADDRESS(1000,COLUMN(J$9)+10))),
SUMIF(INDIRECT(Equipo!$G$4&amp;"!B10:B1000"),$B70,INDIRECT(Equipo!$G$4&amp;"!"&amp;ADDRESS(10,COLUMN(J$9)+10)&amp;":"&amp;ADDRESS(1000,COLUMN(J$9)+10)))
))</f>
        <v>-</v>
      </c>
      <c r="K70" s="19" t="str">
        <f t="array" ref="K70">IF(ISBLANK(Tareas!$B66),"-",
SUM(
SUMIF(INDIRECT(Equipo!$C$4&amp;"!B10:B1000"),$B70,INDIRECT(Equipo!$C$4&amp;"!"&amp;ADDRESS(10,COLUMN(K$9)+10)&amp;":"&amp;ADDRESS(1000,COLUMN(K$9)+10))),
SUMIF(INDIRECT(Equipo!$D$4&amp;"!B10:B1000"),$B70,INDIRECT(Equipo!$D$4&amp;"!"&amp;ADDRESS(10,COLUMN(K$9)+10)&amp;":"&amp;ADDRESS(1000,COLUMN(K$9)+10))),
SUMIF(INDIRECT(Equipo!$E$4&amp;"!B10:B1000"),$B70,INDIRECT(Equipo!$E$4&amp;"!"&amp;ADDRESS(10,COLUMN(K$9)+10)&amp;":"&amp;ADDRESS(1000,COLUMN(K$9)+10))),
SUMIF(INDIRECT(Equipo!$F$4&amp;"!B10:B1000"),$B70,INDIRECT(Equipo!$F$4&amp;"!"&amp;ADDRESS(10,COLUMN(K$9)+10)&amp;":"&amp;ADDRESS(1000,COLUMN(K$9)+10))),
SUMIF(INDIRECT(Equipo!$G$4&amp;"!B10:B1000"),$B70,INDIRECT(Equipo!$G$4&amp;"!"&amp;ADDRESS(10,COLUMN(K$9)+10)&amp;":"&amp;ADDRESS(1000,COLUMN(K$9)+10)))
))</f>
        <v>-</v>
      </c>
    </row>
    <row r="71" ht="15.75" customHeight="1">
      <c r="B71" s="1" t="str">
        <f>IF(ISBLANK(Tareas!B67)," - ",Tareas!B67)</f>
        <v> - </v>
      </c>
      <c r="C71" s="19" t="str">
        <f>IF(ISBLANK(Tareas!$B67),"-",SUM(D71:K71))</f>
        <v>-</v>
      </c>
      <c r="D71" s="19" t="str">
        <f t="array" ref="D71">IF(ISBLANK(Tareas!$B67),"-",
SUM(
SUMIF(INDIRECT(Equipo!$C$4&amp;"!B10:B1000"),$B71,INDIRECT(Equipo!$C$4&amp;"!"&amp;ADDRESS(10,COLUMN(D$9)+10)&amp;":"&amp;ADDRESS(1000,COLUMN(D$9)+10))),
SUMIF(INDIRECT(Equipo!$D$4&amp;"!B10:B1000"),$B71,INDIRECT(Equipo!$D$4&amp;"!"&amp;ADDRESS(10,COLUMN(D$9)+10)&amp;":"&amp;ADDRESS(1000,COLUMN(D$9)+10))),
SUMIF(INDIRECT(Equipo!$E$4&amp;"!B10:B1000"),$B71,INDIRECT(Equipo!$E$4&amp;"!"&amp;ADDRESS(10,COLUMN(D$9)+10)&amp;":"&amp;ADDRESS(1000,COLUMN(D$9)+10))),
SUMIF(INDIRECT(Equipo!$F$4&amp;"!B10:B1000"),$B71,INDIRECT(Equipo!$F$4&amp;"!"&amp;ADDRESS(10,COLUMN(D$9)+10)&amp;":"&amp;ADDRESS(1000,COLUMN(D$9)+10))),
SUMIF(INDIRECT(Equipo!$G$4&amp;"!B10:B1000"),$B71,INDIRECT(Equipo!$G$4&amp;"!"&amp;ADDRESS(10,COLUMN(D$9)+10)&amp;":"&amp;ADDRESS(1000,COLUMN(D$9)+10)))
))</f>
        <v>-</v>
      </c>
      <c r="E71" s="19" t="str">
        <f t="array" ref="E71">IF(ISBLANK(Tareas!$B67),"-",
SUM(
SUMIF(INDIRECT(Equipo!$C$4&amp;"!B10:B1000"),$B71,INDIRECT(Equipo!$C$4&amp;"!"&amp;ADDRESS(10,COLUMN(E$9)+10)&amp;":"&amp;ADDRESS(1000,COLUMN(E$9)+10))),
SUMIF(INDIRECT(Equipo!$D$4&amp;"!B10:B1000"),$B71,INDIRECT(Equipo!$D$4&amp;"!"&amp;ADDRESS(10,COLUMN(E$9)+10)&amp;":"&amp;ADDRESS(1000,COLUMN(E$9)+10))),
SUMIF(INDIRECT(Equipo!$E$4&amp;"!B10:B1000"),$B71,INDIRECT(Equipo!$E$4&amp;"!"&amp;ADDRESS(10,COLUMN(E$9)+10)&amp;":"&amp;ADDRESS(1000,COLUMN(E$9)+10))),
SUMIF(INDIRECT(Equipo!$F$4&amp;"!B10:B1000"),$B71,INDIRECT(Equipo!$F$4&amp;"!"&amp;ADDRESS(10,COLUMN(E$9)+10)&amp;":"&amp;ADDRESS(1000,COLUMN(E$9)+10))),
SUMIF(INDIRECT(Equipo!$G$4&amp;"!B10:B1000"),$B71,INDIRECT(Equipo!$G$4&amp;"!"&amp;ADDRESS(10,COLUMN(E$9)+10)&amp;":"&amp;ADDRESS(1000,COLUMN(E$9)+10)))
))</f>
        <v>-</v>
      </c>
      <c r="F71" s="19" t="str">
        <f t="array" ref="F71">IF(ISBLANK(Tareas!$B67),"-",
SUM(
SUMIF(INDIRECT(Equipo!$C$4&amp;"!B10:B1000"),$B71,INDIRECT(Equipo!$C$4&amp;"!"&amp;ADDRESS(10,COLUMN(F$9)+10)&amp;":"&amp;ADDRESS(1000,COLUMN(F$9)+10))),
SUMIF(INDIRECT(Equipo!$D$4&amp;"!B10:B1000"),$B71,INDIRECT(Equipo!$D$4&amp;"!"&amp;ADDRESS(10,COLUMN(F$9)+10)&amp;":"&amp;ADDRESS(1000,COLUMN(F$9)+10))),
SUMIF(INDIRECT(Equipo!$E$4&amp;"!B10:B1000"),$B71,INDIRECT(Equipo!$E$4&amp;"!"&amp;ADDRESS(10,COLUMN(F$9)+10)&amp;":"&amp;ADDRESS(1000,COLUMN(F$9)+10))),
SUMIF(INDIRECT(Equipo!$F$4&amp;"!B10:B1000"),$B71,INDIRECT(Equipo!$F$4&amp;"!"&amp;ADDRESS(10,COLUMN(F$9)+10)&amp;":"&amp;ADDRESS(1000,COLUMN(F$9)+10))),
SUMIF(INDIRECT(Equipo!$G$4&amp;"!B10:B1000"),$B71,INDIRECT(Equipo!$G$4&amp;"!"&amp;ADDRESS(10,COLUMN(F$9)+10)&amp;":"&amp;ADDRESS(1000,COLUMN(F$9)+10)))
))</f>
        <v>-</v>
      </c>
      <c r="G71" s="19" t="str">
        <f t="array" ref="G71">IF(ISBLANK(Tareas!$B67),"-",
SUM(
SUMIF(INDIRECT(Equipo!$C$4&amp;"!B10:B1000"),$B71,INDIRECT(Equipo!$C$4&amp;"!"&amp;ADDRESS(10,COLUMN(G$9)+10)&amp;":"&amp;ADDRESS(1000,COLUMN(G$9)+10))),
SUMIF(INDIRECT(Equipo!$D$4&amp;"!B10:B1000"),$B71,INDIRECT(Equipo!$D$4&amp;"!"&amp;ADDRESS(10,COLUMN(G$9)+10)&amp;":"&amp;ADDRESS(1000,COLUMN(G$9)+10))),
SUMIF(INDIRECT(Equipo!$E$4&amp;"!B10:B1000"),$B71,INDIRECT(Equipo!$E$4&amp;"!"&amp;ADDRESS(10,COLUMN(G$9)+10)&amp;":"&amp;ADDRESS(1000,COLUMN(G$9)+10))),
SUMIF(INDIRECT(Equipo!$F$4&amp;"!B10:B1000"),$B71,INDIRECT(Equipo!$F$4&amp;"!"&amp;ADDRESS(10,COLUMN(G$9)+10)&amp;":"&amp;ADDRESS(1000,COLUMN(G$9)+10))),
SUMIF(INDIRECT(Equipo!$G$4&amp;"!B10:B1000"),$B71,INDIRECT(Equipo!$G$4&amp;"!"&amp;ADDRESS(10,COLUMN(G$9)+10)&amp;":"&amp;ADDRESS(1000,COLUMN(G$9)+10)))
))</f>
        <v>-</v>
      </c>
      <c r="H71" s="19" t="str">
        <f t="array" ref="H71">IF(ISBLANK(Tareas!$B67),"-",
SUM(
SUMIF(INDIRECT(Equipo!$C$4&amp;"!B10:B1000"),$B71,INDIRECT(Equipo!$C$4&amp;"!"&amp;ADDRESS(10,COLUMN(H$9)+10)&amp;":"&amp;ADDRESS(1000,COLUMN(H$9)+10))),
SUMIF(INDIRECT(Equipo!$D$4&amp;"!B10:B1000"),$B71,INDIRECT(Equipo!$D$4&amp;"!"&amp;ADDRESS(10,COLUMN(H$9)+10)&amp;":"&amp;ADDRESS(1000,COLUMN(H$9)+10))),
SUMIF(INDIRECT(Equipo!$E$4&amp;"!B10:B1000"),$B71,INDIRECT(Equipo!$E$4&amp;"!"&amp;ADDRESS(10,COLUMN(H$9)+10)&amp;":"&amp;ADDRESS(1000,COLUMN(H$9)+10))),
SUMIF(INDIRECT(Equipo!$F$4&amp;"!B10:B1000"),$B71,INDIRECT(Equipo!$F$4&amp;"!"&amp;ADDRESS(10,COLUMN(H$9)+10)&amp;":"&amp;ADDRESS(1000,COLUMN(H$9)+10))),
SUMIF(INDIRECT(Equipo!$G$4&amp;"!B10:B1000"),$B71,INDIRECT(Equipo!$G$4&amp;"!"&amp;ADDRESS(10,COLUMN(H$9)+10)&amp;":"&amp;ADDRESS(1000,COLUMN(H$9)+10)))
))</f>
        <v>-</v>
      </c>
      <c r="I71" s="19" t="str">
        <f t="array" ref="I71">IF(ISBLANK(Tareas!$B67),"-",
SUM(
SUMIF(INDIRECT(Equipo!$C$4&amp;"!B10:B1000"),$B71,INDIRECT(Equipo!$C$4&amp;"!"&amp;ADDRESS(10,COLUMN(I$9)+10)&amp;":"&amp;ADDRESS(1000,COLUMN(I$9)+10))),
SUMIF(INDIRECT(Equipo!$D$4&amp;"!B10:B1000"),$B71,INDIRECT(Equipo!$D$4&amp;"!"&amp;ADDRESS(10,COLUMN(I$9)+10)&amp;":"&amp;ADDRESS(1000,COLUMN(I$9)+10))),
SUMIF(INDIRECT(Equipo!$E$4&amp;"!B10:B1000"),$B71,INDIRECT(Equipo!$E$4&amp;"!"&amp;ADDRESS(10,COLUMN(I$9)+10)&amp;":"&amp;ADDRESS(1000,COLUMN(I$9)+10))),
SUMIF(INDIRECT(Equipo!$F$4&amp;"!B10:B1000"),$B71,INDIRECT(Equipo!$F$4&amp;"!"&amp;ADDRESS(10,COLUMN(I$9)+10)&amp;":"&amp;ADDRESS(1000,COLUMN(I$9)+10))),
SUMIF(INDIRECT(Equipo!$G$4&amp;"!B10:B1000"),$B71,INDIRECT(Equipo!$G$4&amp;"!"&amp;ADDRESS(10,COLUMN(I$9)+10)&amp;":"&amp;ADDRESS(1000,COLUMN(I$9)+10)))
))</f>
        <v>-</v>
      </c>
      <c r="J71" s="19" t="str">
        <f t="array" ref="J71">IF(ISBLANK(Tareas!$B67),"-",
SUM(
SUMIF(INDIRECT(Equipo!$C$4&amp;"!B10:B1000"),$B71,INDIRECT(Equipo!$C$4&amp;"!"&amp;ADDRESS(10,COLUMN(J$9)+10)&amp;":"&amp;ADDRESS(1000,COLUMN(J$9)+10))),
SUMIF(INDIRECT(Equipo!$D$4&amp;"!B10:B1000"),$B71,INDIRECT(Equipo!$D$4&amp;"!"&amp;ADDRESS(10,COLUMN(J$9)+10)&amp;":"&amp;ADDRESS(1000,COLUMN(J$9)+10))),
SUMIF(INDIRECT(Equipo!$E$4&amp;"!B10:B1000"),$B71,INDIRECT(Equipo!$E$4&amp;"!"&amp;ADDRESS(10,COLUMN(J$9)+10)&amp;":"&amp;ADDRESS(1000,COLUMN(J$9)+10))),
SUMIF(INDIRECT(Equipo!$F$4&amp;"!B10:B1000"),$B71,INDIRECT(Equipo!$F$4&amp;"!"&amp;ADDRESS(10,COLUMN(J$9)+10)&amp;":"&amp;ADDRESS(1000,COLUMN(J$9)+10))),
SUMIF(INDIRECT(Equipo!$G$4&amp;"!B10:B1000"),$B71,INDIRECT(Equipo!$G$4&amp;"!"&amp;ADDRESS(10,COLUMN(J$9)+10)&amp;":"&amp;ADDRESS(1000,COLUMN(J$9)+10)))
))</f>
        <v>-</v>
      </c>
      <c r="K71" s="19" t="str">
        <f t="array" ref="K71">IF(ISBLANK(Tareas!$B67),"-",
SUM(
SUMIF(INDIRECT(Equipo!$C$4&amp;"!B10:B1000"),$B71,INDIRECT(Equipo!$C$4&amp;"!"&amp;ADDRESS(10,COLUMN(K$9)+10)&amp;":"&amp;ADDRESS(1000,COLUMN(K$9)+10))),
SUMIF(INDIRECT(Equipo!$D$4&amp;"!B10:B1000"),$B71,INDIRECT(Equipo!$D$4&amp;"!"&amp;ADDRESS(10,COLUMN(K$9)+10)&amp;":"&amp;ADDRESS(1000,COLUMN(K$9)+10))),
SUMIF(INDIRECT(Equipo!$E$4&amp;"!B10:B1000"),$B71,INDIRECT(Equipo!$E$4&amp;"!"&amp;ADDRESS(10,COLUMN(K$9)+10)&amp;":"&amp;ADDRESS(1000,COLUMN(K$9)+10))),
SUMIF(INDIRECT(Equipo!$F$4&amp;"!B10:B1000"),$B71,INDIRECT(Equipo!$F$4&amp;"!"&amp;ADDRESS(10,COLUMN(K$9)+10)&amp;":"&amp;ADDRESS(1000,COLUMN(K$9)+10))),
SUMIF(INDIRECT(Equipo!$G$4&amp;"!B10:B1000"),$B71,INDIRECT(Equipo!$G$4&amp;"!"&amp;ADDRESS(10,COLUMN(K$9)+10)&amp;":"&amp;ADDRESS(1000,COLUMN(K$9)+10)))
))</f>
        <v>-</v>
      </c>
    </row>
    <row r="72" ht="15.75" customHeight="1">
      <c r="B72" s="1" t="str">
        <f>IF(ISBLANK(Tareas!B68)," - ",Tareas!B68)</f>
        <v> - </v>
      </c>
      <c r="C72" s="19" t="str">
        <f>IF(ISBLANK(Tareas!$B68),"-",SUM(D72:K72))</f>
        <v>-</v>
      </c>
      <c r="D72" s="19" t="str">
        <f t="array" ref="D72">IF(ISBLANK(Tareas!$B68),"-",
SUM(
SUMIF(INDIRECT(Equipo!$C$4&amp;"!B10:B1000"),$B72,INDIRECT(Equipo!$C$4&amp;"!"&amp;ADDRESS(10,COLUMN(D$9)+10)&amp;":"&amp;ADDRESS(1000,COLUMN(D$9)+10))),
SUMIF(INDIRECT(Equipo!$D$4&amp;"!B10:B1000"),$B72,INDIRECT(Equipo!$D$4&amp;"!"&amp;ADDRESS(10,COLUMN(D$9)+10)&amp;":"&amp;ADDRESS(1000,COLUMN(D$9)+10))),
SUMIF(INDIRECT(Equipo!$E$4&amp;"!B10:B1000"),$B72,INDIRECT(Equipo!$E$4&amp;"!"&amp;ADDRESS(10,COLUMN(D$9)+10)&amp;":"&amp;ADDRESS(1000,COLUMN(D$9)+10))),
SUMIF(INDIRECT(Equipo!$F$4&amp;"!B10:B1000"),$B72,INDIRECT(Equipo!$F$4&amp;"!"&amp;ADDRESS(10,COLUMN(D$9)+10)&amp;":"&amp;ADDRESS(1000,COLUMN(D$9)+10))),
SUMIF(INDIRECT(Equipo!$G$4&amp;"!B10:B1000"),$B72,INDIRECT(Equipo!$G$4&amp;"!"&amp;ADDRESS(10,COLUMN(D$9)+10)&amp;":"&amp;ADDRESS(1000,COLUMN(D$9)+10)))
))</f>
        <v>-</v>
      </c>
      <c r="E72" s="19" t="str">
        <f t="array" ref="E72">IF(ISBLANK(Tareas!$B68),"-",
SUM(
SUMIF(INDIRECT(Equipo!$C$4&amp;"!B10:B1000"),$B72,INDIRECT(Equipo!$C$4&amp;"!"&amp;ADDRESS(10,COLUMN(E$9)+10)&amp;":"&amp;ADDRESS(1000,COLUMN(E$9)+10))),
SUMIF(INDIRECT(Equipo!$D$4&amp;"!B10:B1000"),$B72,INDIRECT(Equipo!$D$4&amp;"!"&amp;ADDRESS(10,COLUMN(E$9)+10)&amp;":"&amp;ADDRESS(1000,COLUMN(E$9)+10))),
SUMIF(INDIRECT(Equipo!$E$4&amp;"!B10:B1000"),$B72,INDIRECT(Equipo!$E$4&amp;"!"&amp;ADDRESS(10,COLUMN(E$9)+10)&amp;":"&amp;ADDRESS(1000,COLUMN(E$9)+10))),
SUMIF(INDIRECT(Equipo!$F$4&amp;"!B10:B1000"),$B72,INDIRECT(Equipo!$F$4&amp;"!"&amp;ADDRESS(10,COLUMN(E$9)+10)&amp;":"&amp;ADDRESS(1000,COLUMN(E$9)+10))),
SUMIF(INDIRECT(Equipo!$G$4&amp;"!B10:B1000"),$B72,INDIRECT(Equipo!$G$4&amp;"!"&amp;ADDRESS(10,COLUMN(E$9)+10)&amp;":"&amp;ADDRESS(1000,COLUMN(E$9)+10)))
))</f>
        <v>-</v>
      </c>
      <c r="F72" s="19" t="str">
        <f t="array" ref="F72">IF(ISBLANK(Tareas!$B68),"-",
SUM(
SUMIF(INDIRECT(Equipo!$C$4&amp;"!B10:B1000"),$B72,INDIRECT(Equipo!$C$4&amp;"!"&amp;ADDRESS(10,COLUMN(F$9)+10)&amp;":"&amp;ADDRESS(1000,COLUMN(F$9)+10))),
SUMIF(INDIRECT(Equipo!$D$4&amp;"!B10:B1000"),$B72,INDIRECT(Equipo!$D$4&amp;"!"&amp;ADDRESS(10,COLUMN(F$9)+10)&amp;":"&amp;ADDRESS(1000,COLUMN(F$9)+10))),
SUMIF(INDIRECT(Equipo!$E$4&amp;"!B10:B1000"),$B72,INDIRECT(Equipo!$E$4&amp;"!"&amp;ADDRESS(10,COLUMN(F$9)+10)&amp;":"&amp;ADDRESS(1000,COLUMN(F$9)+10))),
SUMIF(INDIRECT(Equipo!$F$4&amp;"!B10:B1000"),$B72,INDIRECT(Equipo!$F$4&amp;"!"&amp;ADDRESS(10,COLUMN(F$9)+10)&amp;":"&amp;ADDRESS(1000,COLUMN(F$9)+10))),
SUMIF(INDIRECT(Equipo!$G$4&amp;"!B10:B1000"),$B72,INDIRECT(Equipo!$G$4&amp;"!"&amp;ADDRESS(10,COLUMN(F$9)+10)&amp;":"&amp;ADDRESS(1000,COLUMN(F$9)+10)))
))</f>
        <v>-</v>
      </c>
      <c r="G72" s="19" t="str">
        <f t="array" ref="G72">IF(ISBLANK(Tareas!$B68),"-",
SUM(
SUMIF(INDIRECT(Equipo!$C$4&amp;"!B10:B1000"),$B72,INDIRECT(Equipo!$C$4&amp;"!"&amp;ADDRESS(10,COLUMN(G$9)+10)&amp;":"&amp;ADDRESS(1000,COLUMN(G$9)+10))),
SUMIF(INDIRECT(Equipo!$D$4&amp;"!B10:B1000"),$B72,INDIRECT(Equipo!$D$4&amp;"!"&amp;ADDRESS(10,COLUMN(G$9)+10)&amp;":"&amp;ADDRESS(1000,COLUMN(G$9)+10))),
SUMIF(INDIRECT(Equipo!$E$4&amp;"!B10:B1000"),$B72,INDIRECT(Equipo!$E$4&amp;"!"&amp;ADDRESS(10,COLUMN(G$9)+10)&amp;":"&amp;ADDRESS(1000,COLUMN(G$9)+10))),
SUMIF(INDIRECT(Equipo!$F$4&amp;"!B10:B1000"),$B72,INDIRECT(Equipo!$F$4&amp;"!"&amp;ADDRESS(10,COLUMN(G$9)+10)&amp;":"&amp;ADDRESS(1000,COLUMN(G$9)+10))),
SUMIF(INDIRECT(Equipo!$G$4&amp;"!B10:B1000"),$B72,INDIRECT(Equipo!$G$4&amp;"!"&amp;ADDRESS(10,COLUMN(G$9)+10)&amp;":"&amp;ADDRESS(1000,COLUMN(G$9)+10)))
))</f>
        <v>-</v>
      </c>
      <c r="H72" s="19" t="str">
        <f t="array" ref="H72">IF(ISBLANK(Tareas!$B68),"-",
SUM(
SUMIF(INDIRECT(Equipo!$C$4&amp;"!B10:B1000"),$B72,INDIRECT(Equipo!$C$4&amp;"!"&amp;ADDRESS(10,COLUMN(H$9)+10)&amp;":"&amp;ADDRESS(1000,COLUMN(H$9)+10))),
SUMIF(INDIRECT(Equipo!$D$4&amp;"!B10:B1000"),$B72,INDIRECT(Equipo!$D$4&amp;"!"&amp;ADDRESS(10,COLUMN(H$9)+10)&amp;":"&amp;ADDRESS(1000,COLUMN(H$9)+10))),
SUMIF(INDIRECT(Equipo!$E$4&amp;"!B10:B1000"),$B72,INDIRECT(Equipo!$E$4&amp;"!"&amp;ADDRESS(10,COLUMN(H$9)+10)&amp;":"&amp;ADDRESS(1000,COLUMN(H$9)+10))),
SUMIF(INDIRECT(Equipo!$F$4&amp;"!B10:B1000"),$B72,INDIRECT(Equipo!$F$4&amp;"!"&amp;ADDRESS(10,COLUMN(H$9)+10)&amp;":"&amp;ADDRESS(1000,COLUMN(H$9)+10))),
SUMIF(INDIRECT(Equipo!$G$4&amp;"!B10:B1000"),$B72,INDIRECT(Equipo!$G$4&amp;"!"&amp;ADDRESS(10,COLUMN(H$9)+10)&amp;":"&amp;ADDRESS(1000,COLUMN(H$9)+10)))
))</f>
        <v>-</v>
      </c>
      <c r="I72" s="19" t="str">
        <f t="array" ref="I72">IF(ISBLANK(Tareas!$B68),"-",
SUM(
SUMIF(INDIRECT(Equipo!$C$4&amp;"!B10:B1000"),$B72,INDIRECT(Equipo!$C$4&amp;"!"&amp;ADDRESS(10,COLUMN(I$9)+10)&amp;":"&amp;ADDRESS(1000,COLUMN(I$9)+10))),
SUMIF(INDIRECT(Equipo!$D$4&amp;"!B10:B1000"),$B72,INDIRECT(Equipo!$D$4&amp;"!"&amp;ADDRESS(10,COLUMN(I$9)+10)&amp;":"&amp;ADDRESS(1000,COLUMN(I$9)+10))),
SUMIF(INDIRECT(Equipo!$E$4&amp;"!B10:B1000"),$B72,INDIRECT(Equipo!$E$4&amp;"!"&amp;ADDRESS(10,COLUMN(I$9)+10)&amp;":"&amp;ADDRESS(1000,COLUMN(I$9)+10))),
SUMIF(INDIRECT(Equipo!$F$4&amp;"!B10:B1000"),$B72,INDIRECT(Equipo!$F$4&amp;"!"&amp;ADDRESS(10,COLUMN(I$9)+10)&amp;":"&amp;ADDRESS(1000,COLUMN(I$9)+10))),
SUMIF(INDIRECT(Equipo!$G$4&amp;"!B10:B1000"),$B72,INDIRECT(Equipo!$G$4&amp;"!"&amp;ADDRESS(10,COLUMN(I$9)+10)&amp;":"&amp;ADDRESS(1000,COLUMN(I$9)+10)))
))</f>
        <v>-</v>
      </c>
      <c r="J72" s="19" t="str">
        <f t="array" ref="J72">IF(ISBLANK(Tareas!$B68),"-",
SUM(
SUMIF(INDIRECT(Equipo!$C$4&amp;"!B10:B1000"),$B72,INDIRECT(Equipo!$C$4&amp;"!"&amp;ADDRESS(10,COLUMN(J$9)+10)&amp;":"&amp;ADDRESS(1000,COLUMN(J$9)+10))),
SUMIF(INDIRECT(Equipo!$D$4&amp;"!B10:B1000"),$B72,INDIRECT(Equipo!$D$4&amp;"!"&amp;ADDRESS(10,COLUMN(J$9)+10)&amp;":"&amp;ADDRESS(1000,COLUMN(J$9)+10))),
SUMIF(INDIRECT(Equipo!$E$4&amp;"!B10:B1000"),$B72,INDIRECT(Equipo!$E$4&amp;"!"&amp;ADDRESS(10,COLUMN(J$9)+10)&amp;":"&amp;ADDRESS(1000,COLUMN(J$9)+10))),
SUMIF(INDIRECT(Equipo!$F$4&amp;"!B10:B1000"),$B72,INDIRECT(Equipo!$F$4&amp;"!"&amp;ADDRESS(10,COLUMN(J$9)+10)&amp;":"&amp;ADDRESS(1000,COLUMN(J$9)+10))),
SUMIF(INDIRECT(Equipo!$G$4&amp;"!B10:B1000"),$B72,INDIRECT(Equipo!$G$4&amp;"!"&amp;ADDRESS(10,COLUMN(J$9)+10)&amp;":"&amp;ADDRESS(1000,COLUMN(J$9)+10)))
))</f>
        <v>-</v>
      </c>
      <c r="K72" s="19" t="str">
        <f t="array" ref="K72">IF(ISBLANK(Tareas!$B68),"-",
SUM(
SUMIF(INDIRECT(Equipo!$C$4&amp;"!B10:B1000"),$B72,INDIRECT(Equipo!$C$4&amp;"!"&amp;ADDRESS(10,COLUMN(K$9)+10)&amp;":"&amp;ADDRESS(1000,COLUMN(K$9)+10))),
SUMIF(INDIRECT(Equipo!$D$4&amp;"!B10:B1000"),$B72,INDIRECT(Equipo!$D$4&amp;"!"&amp;ADDRESS(10,COLUMN(K$9)+10)&amp;":"&amp;ADDRESS(1000,COLUMN(K$9)+10))),
SUMIF(INDIRECT(Equipo!$E$4&amp;"!B10:B1000"),$B72,INDIRECT(Equipo!$E$4&amp;"!"&amp;ADDRESS(10,COLUMN(K$9)+10)&amp;":"&amp;ADDRESS(1000,COLUMN(K$9)+10))),
SUMIF(INDIRECT(Equipo!$F$4&amp;"!B10:B1000"),$B72,INDIRECT(Equipo!$F$4&amp;"!"&amp;ADDRESS(10,COLUMN(K$9)+10)&amp;":"&amp;ADDRESS(1000,COLUMN(K$9)+10))),
SUMIF(INDIRECT(Equipo!$G$4&amp;"!B10:B1000"),$B72,INDIRECT(Equipo!$G$4&amp;"!"&amp;ADDRESS(10,COLUMN(K$9)+10)&amp;":"&amp;ADDRESS(1000,COLUMN(K$9)+10)))
))</f>
        <v>-</v>
      </c>
    </row>
    <row r="73" ht="15.75" customHeight="1">
      <c r="B73" s="1" t="str">
        <f>IF(ISBLANK(Tareas!B69)," - ",Tareas!B69)</f>
        <v> - </v>
      </c>
      <c r="C73" s="19" t="str">
        <f>IF(ISBLANK(Tareas!$B69),"-",SUM(D73:K73))</f>
        <v>-</v>
      </c>
      <c r="D73" s="19" t="str">
        <f t="array" ref="D73">IF(ISBLANK(Tareas!$B69),"-",
SUM(
SUMIF(INDIRECT(Equipo!$C$4&amp;"!B10:B1000"),$B73,INDIRECT(Equipo!$C$4&amp;"!"&amp;ADDRESS(10,COLUMN(D$9)+10)&amp;":"&amp;ADDRESS(1000,COLUMN(D$9)+10))),
SUMIF(INDIRECT(Equipo!$D$4&amp;"!B10:B1000"),$B73,INDIRECT(Equipo!$D$4&amp;"!"&amp;ADDRESS(10,COLUMN(D$9)+10)&amp;":"&amp;ADDRESS(1000,COLUMN(D$9)+10))),
SUMIF(INDIRECT(Equipo!$E$4&amp;"!B10:B1000"),$B73,INDIRECT(Equipo!$E$4&amp;"!"&amp;ADDRESS(10,COLUMN(D$9)+10)&amp;":"&amp;ADDRESS(1000,COLUMN(D$9)+10))),
SUMIF(INDIRECT(Equipo!$F$4&amp;"!B10:B1000"),$B73,INDIRECT(Equipo!$F$4&amp;"!"&amp;ADDRESS(10,COLUMN(D$9)+10)&amp;":"&amp;ADDRESS(1000,COLUMN(D$9)+10))),
SUMIF(INDIRECT(Equipo!$G$4&amp;"!B10:B1000"),$B73,INDIRECT(Equipo!$G$4&amp;"!"&amp;ADDRESS(10,COLUMN(D$9)+10)&amp;":"&amp;ADDRESS(1000,COLUMN(D$9)+10)))
))</f>
        <v>-</v>
      </c>
      <c r="E73" s="19" t="str">
        <f t="array" ref="E73">IF(ISBLANK(Tareas!$B69),"-",
SUM(
SUMIF(INDIRECT(Equipo!$C$4&amp;"!B10:B1000"),$B73,INDIRECT(Equipo!$C$4&amp;"!"&amp;ADDRESS(10,COLUMN(E$9)+10)&amp;":"&amp;ADDRESS(1000,COLUMN(E$9)+10))),
SUMIF(INDIRECT(Equipo!$D$4&amp;"!B10:B1000"),$B73,INDIRECT(Equipo!$D$4&amp;"!"&amp;ADDRESS(10,COLUMN(E$9)+10)&amp;":"&amp;ADDRESS(1000,COLUMN(E$9)+10))),
SUMIF(INDIRECT(Equipo!$E$4&amp;"!B10:B1000"),$B73,INDIRECT(Equipo!$E$4&amp;"!"&amp;ADDRESS(10,COLUMN(E$9)+10)&amp;":"&amp;ADDRESS(1000,COLUMN(E$9)+10))),
SUMIF(INDIRECT(Equipo!$F$4&amp;"!B10:B1000"),$B73,INDIRECT(Equipo!$F$4&amp;"!"&amp;ADDRESS(10,COLUMN(E$9)+10)&amp;":"&amp;ADDRESS(1000,COLUMN(E$9)+10))),
SUMIF(INDIRECT(Equipo!$G$4&amp;"!B10:B1000"),$B73,INDIRECT(Equipo!$G$4&amp;"!"&amp;ADDRESS(10,COLUMN(E$9)+10)&amp;":"&amp;ADDRESS(1000,COLUMN(E$9)+10)))
))</f>
        <v>-</v>
      </c>
      <c r="F73" s="19" t="str">
        <f t="array" ref="F73">IF(ISBLANK(Tareas!$B69),"-",
SUM(
SUMIF(INDIRECT(Equipo!$C$4&amp;"!B10:B1000"),$B73,INDIRECT(Equipo!$C$4&amp;"!"&amp;ADDRESS(10,COLUMN(F$9)+10)&amp;":"&amp;ADDRESS(1000,COLUMN(F$9)+10))),
SUMIF(INDIRECT(Equipo!$D$4&amp;"!B10:B1000"),$B73,INDIRECT(Equipo!$D$4&amp;"!"&amp;ADDRESS(10,COLUMN(F$9)+10)&amp;":"&amp;ADDRESS(1000,COLUMN(F$9)+10))),
SUMIF(INDIRECT(Equipo!$E$4&amp;"!B10:B1000"),$B73,INDIRECT(Equipo!$E$4&amp;"!"&amp;ADDRESS(10,COLUMN(F$9)+10)&amp;":"&amp;ADDRESS(1000,COLUMN(F$9)+10))),
SUMIF(INDIRECT(Equipo!$F$4&amp;"!B10:B1000"),$B73,INDIRECT(Equipo!$F$4&amp;"!"&amp;ADDRESS(10,COLUMN(F$9)+10)&amp;":"&amp;ADDRESS(1000,COLUMN(F$9)+10))),
SUMIF(INDIRECT(Equipo!$G$4&amp;"!B10:B1000"),$B73,INDIRECT(Equipo!$G$4&amp;"!"&amp;ADDRESS(10,COLUMN(F$9)+10)&amp;":"&amp;ADDRESS(1000,COLUMN(F$9)+10)))
))</f>
        <v>-</v>
      </c>
      <c r="G73" s="19" t="str">
        <f t="array" ref="G73">IF(ISBLANK(Tareas!$B69),"-",
SUM(
SUMIF(INDIRECT(Equipo!$C$4&amp;"!B10:B1000"),$B73,INDIRECT(Equipo!$C$4&amp;"!"&amp;ADDRESS(10,COLUMN(G$9)+10)&amp;":"&amp;ADDRESS(1000,COLUMN(G$9)+10))),
SUMIF(INDIRECT(Equipo!$D$4&amp;"!B10:B1000"),$B73,INDIRECT(Equipo!$D$4&amp;"!"&amp;ADDRESS(10,COLUMN(G$9)+10)&amp;":"&amp;ADDRESS(1000,COLUMN(G$9)+10))),
SUMIF(INDIRECT(Equipo!$E$4&amp;"!B10:B1000"),$B73,INDIRECT(Equipo!$E$4&amp;"!"&amp;ADDRESS(10,COLUMN(G$9)+10)&amp;":"&amp;ADDRESS(1000,COLUMN(G$9)+10))),
SUMIF(INDIRECT(Equipo!$F$4&amp;"!B10:B1000"),$B73,INDIRECT(Equipo!$F$4&amp;"!"&amp;ADDRESS(10,COLUMN(G$9)+10)&amp;":"&amp;ADDRESS(1000,COLUMN(G$9)+10))),
SUMIF(INDIRECT(Equipo!$G$4&amp;"!B10:B1000"),$B73,INDIRECT(Equipo!$G$4&amp;"!"&amp;ADDRESS(10,COLUMN(G$9)+10)&amp;":"&amp;ADDRESS(1000,COLUMN(G$9)+10)))
))</f>
        <v>-</v>
      </c>
      <c r="H73" s="19" t="str">
        <f t="array" ref="H73">IF(ISBLANK(Tareas!$B69),"-",
SUM(
SUMIF(INDIRECT(Equipo!$C$4&amp;"!B10:B1000"),$B73,INDIRECT(Equipo!$C$4&amp;"!"&amp;ADDRESS(10,COLUMN(H$9)+10)&amp;":"&amp;ADDRESS(1000,COLUMN(H$9)+10))),
SUMIF(INDIRECT(Equipo!$D$4&amp;"!B10:B1000"),$B73,INDIRECT(Equipo!$D$4&amp;"!"&amp;ADDRESS(10,COLUMN(H$9)+10)&amp;":"&amp;ADDRESS(1000,COLUMN(H$9)+10))),
SUMIF(INDIRECT(Equipo!$E$4&amp;"!B10:B1000"),$B73,INDIRECT(Equipo!$E$4&amp;"!"&amp;ADDRESS(10,COLUMN(H$9)+10)&amp;":"&amp;ADDRESS(1000,COLUMN(H$9)+10))),
SUMIF(INDIRECT(Equipo!$F$4&amp;"!B10:B1000"),$B73,INDIRECT(Equipo!$F$4&amp;"!"&amp;ADDRESS(10,COLUMN(H$9)+10)&amp;":"&amp;ADDRESS(1000,COLUMN(H$9)+10))),
SUMIF(INDIRECT(Equipo!$G$4&amp;"!B10:B1000"),$B73,INDIRECT(Equipo!$G$4&amp;"!"&amp;ADDRESS(10,COLUMN(H$9)+10)&amp;":"&amp;ADDRESS(1000,COLUMN(H$9)+10)))
))</f>
        <v>-</v>
      </c>
      <c r="I73" s="19" t="str">
        <f t="array" ref="I73">IF(ISBLANK(Tareas!$B69),"-",
SUM(
SUMIF(INDIRECT(Equipo!$C$4&amp;"!B10:B1000"),$B73,INDIRECT(Equipo!$C$4&amp;"!"&amp;ADDRESS(10,COLUMN(I$9)+10)&amp;":"&amp;ADDRESS(1000,COLUMN(I$9)+10))),
SUMIF(INDIRECT(Equipo!$D$4&amp;"!B10:B1000"),$B73,INDIRECT(Equipo!$D$4&amp;"!"&amp;ADDRESS(10,COLUMN(I$9)+10)&amp;":"&amp;ADDRESS(1000,COLUMN(I$9)+10))),
SUMIF(INDIRECT(Equipo!$E$4&amp;"!B10:B1000"),$B73,INDIRECT(Equipo!$E$4&amp;"!"&amp;ADDRESS(10,COLUMN(I$9)+10)&amp;":"&amp;ADDRESS(1000,COLUMN(I$9)+10))),
SUMIF(INDIRECT(Equipo!$F$4&amp;"!B10:B1000"),$B73,INDIRECT(Equipo!$F$4&amp;"!"&amp;ADDRESS(10,COLUMN(I$9)+10)&amp;":"&amp;ADDRESS(1000,COLUMN(I$9)+10))),
SUMIF(INDIRECT(Equipo!$G$4&amp;"!B10:B1000"),$B73,INDIRECT(Equipo!$G$4&amp;"!"&amp;ADDRESS(10,COLUMN(I$9)+10)&amp;":"&amp;ADDRESS(1000,COLUMN(I$9)+10)))
))</f>
        <v>-</v>
      </c>
      <c r="J73" s="19" t="str">
        <f t="array" ref="J73">IF(ISBLANK(Tareas!$B69),"-",
SUM(
SUMIF(INDIRECT(Equipo!$C$4&amp;"!B10:B1000"),$B73,INDIRECT(Equipo!$C$4&amp;"!"&amp;ADDRESS(10,COLUMN(J$9)+10)&amp;":"&amp;ADDRESS(1000,COLUMN(J$9)+10))),
SUMIF(INDIRECT(Equipo!$D$4&amp;"!B10:B1000"),$B73,INDIRECT(Equipo!$D$4&amp;"!"&amp;ADDRESS(10,COLUMN(J$9)+10)&amp;":"&amp;ADDRESS(1000,COLUMN(J$9)+10))),
SUMIF(INDIRECT(Equipo!$E$4&amp;"!B10:B1000"),$B73,INDIRECT(Equipo!$E$4&amp;"!"&amp;ADDRESS(10,COLUMN(J$9)+10)&amp;":"&amp;ADDRESS(1000,COLUMN(J$9)+10))),
SUMIF(INDIRECT(Equipo!$F$4&amp;"!B10:B1000"),$B73,INDIRECT(Equipo!$F$4&amp;"!"&amp;ADDRESS(10,COLUMN(J$9)+10)&amp;":"&amp;ADDRESS(1000,COLUMN(J$9)+10))),
SUMIF(INDIRECT(Equipo!$G$4&amp;"!B10:B1000"),$B73,INDIRECT(Equipo!$G$4&amp;"!"&amp;ADDRESS(10,COLUMN(J$9)+10)&amp;":"&amp;ADDRESS(1000,COLUMN(J$9)+10)))
))</f>
        <v>-</v>
      </c>
      <c r="K73" s="19" t="str">
        <f t="array" ref="K73">IF(ISBLANK(Tareas!$B69),"-",
SUM(
SUMIF(INDIRECT(Equipo!$C$4&amp;"!B10:B1000"),$B73,INDIRECT(Equipo!$C$4&amp;"!"&amp;ADDRESS(10,COLUMN(K$9)+10)&amp;":"&amp;ADDRESS(1000,COLUMN(K$9)+10))),
SUMIF(INDIRECT(Equipo!$D$4&amp;"!B10:B1000"),$B73,INDIRECT(Equipo!$D$4&amp;"!"&amp;ADDRESS(10,COLUMN(K$9)+10)&amp;":"&amp;ADDRESS(1000,COLUMN(K$9)+10))),
SUMIF(INDIRECT(Equipo!$E$4&amp;"!B10:B1000"),$B73,INDIRECT(Equipo!$E$4&amp;"!"&amp;ADDRESS(10,COLUMN(K$9)+10)&amp;":"&amp;ADDRESS(1000,COLUMN(K$9)+10))),
SUMIF(INDIRECT(Equipo!$F$4&amp;"!B10:B1000"),$B73,INDIRECT(Equipo!$F$4&amp;"!"&amp;ADDRESS(10,COLUMN(K$9)+10)&amp;":"&amp;ADDRESS(1000,COLUMN(K$9)+10))),
SUMIF(INDIRECT(Equipo!$G$4&amp;"!B10:B1000"),$B73,INDIRECT(Equipo!$G$4&amp;"!"&amp;ADDRESS(10,COLUMN(K$9)+10)&amp;":"&amp;ADDRESS(1000,COLUMN(K$9)+10)))
))</f>
        <v>-</v>
      </c>
    </row>
    <row r="74" ht="15.75" customHeight="1">
      <c r="B74" s="1" t="str">
        <f>IF(ISBLANK(Tareas!B70)," - ",Tareas!B70)</f>
        <v> - </v>
      </c>
      <c r="C74" s="19" t="str">
        <f>IF(ISBLANK(Tareas!$B70),"-",SUM(D74:K74))</f>
        <v>-</v>
      </c>
      <c r="D74" s="19" t="str">
        <f t="array" ref="D74">IF(ISBLANK(Tareas!$B70),"-",
SUM(
SUMIF(INDIRECT(Equipo!$C$4&amp;"!B10:B1000"),$B74,INDIRECT(Equipo!$C$4&amp;"!"&amp;ADDRESS(10,COLUMN(D$9)+10)&amp;":"&amp;ADDRESS(1000,COLUMN(D$9)+10))),
SUMIF(INDIRECT(Equipo!$D$4&amp;"!B10:B1000"),$B74,INDIRECT(Equipo!$D$4&amp;"!"&amp;ADDRESS(10,COLUMN(D$9)+10)&amp;":"&amp;ADDRESS(1000,COLUMN(D$9)+10))),
SUMIF(INDIRECT(Equipo!$E$4&amp;"!B10:B1000"),$B74,INDIRECT(Equipo!$E$4&amp;"!"&amp;ADDRESS(10,COLUMN(D$9)+10)&amp;":"&amp;ADDRESS(1000,COLUMN(D$9)+10))),
SUMIF(INDIRECT(Equipo!$F$4&amp;"!B10:B1000"),$B74,INDIRECT(Equipo!$F$4&amp;"!"&amp;ADDRESS(10,COLUMN(D$9)+10)&amp;":"&amp;ADDRESS(1000,COLUMN(D$9)+10))),
SUMIF(INDIRECT(Equipo!$G$4&amp;"!B10:B1000"),$B74,INDIRECT(Equipo!$G$4&amp;"!"&amp;ADDRESS(10,COLUMN(D$9)+10)&amp;":"&amp;ADDRESS(1000,COLUMN(D$9)+10)))
))</f>
        <v>-</v>
      </c>
      <c r="E74" s="19" t="str">
        <f t="array" ref="E74">IF(ISBLANK(Tareas!$B70),"-",
SUM(
SUMIF(INDIRECT(Equipo!$C$4&amp;"!B10:B1000"),$B74,INDIRECT(Equipo!$C$4&amp;"!"&amp;ADDRESS(10,COLUMN(E$9)+10)&amp;":"&amp;ADDRESS(1000,COLUMN(E$9)+10))),
SUMIF(INDIRECT(Equipo!$D$4&amp;"!B10:B1000"),$B74,INDIRECT(Equipo!$D$4&amp;"!"&amp;ADDRESS(10,COLUMN(E$9)+10)&amp;":"&amp;ADDRESS(1000,COLUMN(E$9)+10))),
SUMIF(INDIRECT(Equipo!$E$4&amp;"!B10:B1000"),$B74,INDIRECT(Equipo!$E$4&amp;"!"&amp;ADDRESS(10,COLUMN(E$9)+10)&amp;":"&amp;ADDRESS(1000,COLUMN(E$9)+10))),
SUMIF(INDIRECT(Equipo!$F$4&amp;"!B10:B1000"),$B74,INDIRECT(Equipo!$F$4&amp;"!"&amp;ADDRESS(10,COLUMN(E$9)+10)&amp;":"&amp;ADDRESS(1000,COLUMN(E$9)+10))),
SUMIF(INDIRECT(Equipo!$G$4&amp;"!B10:B1000"),$B74,INDIRECT(Equipo!$G$4&amp;"!"&amp;ADDRESS(10,COLUMN(E$9)+10)&amp;":"&amp;ADDRESS(1000,COLUMN(E$9)+10)))
))</f>
        <v>-</v>
      </c>
      <c r="F74" s="19" t="str">
        <f t="array" ref="F74">IF(ISBLANK(Tareas!$B70),"-",
SUM(
SUMIF(INDIRECT(Equipo!$C$4&amp;"!B10:B1000"),$B74,INDIRECT(Equipo!$C$4&amp;"!"&amp;ADDRESS(10,COLUMN(F$9)+10)&amp;":"&amp;ADDRESS(1000,COLUMN(F$9)+10))),
SUMIF(INDIRECT(Equipo!$D$4&amp;"!B10:B1000"),$B74,INDIRECT(Equipo!$D$4&amp;"!"&amp;ADDRESS(10,COLUMN(F$9)+10)&amp;":"&amp;ADDRESS(1000,COLUMN(F$9)+10))),
SUMIF(INDIRECT(Equipo!$E$4&amp;"!B10:B1000"),$B74,INDIRECT(Equipo!$E$4&amp;"!"&amp;ADDRESS(10,COLUMN(F$9)+10)&amp;":"&amp;ADDRESS(1000,COLUMN(F$9)+10))),
SUMIF(INDIRECT(Equipo!$F$4&amp;"!B10:B1000"),$B74,INDIRECT(Equipo!$F$4&amp;"!"&amp;ADDRESS(10,COLUMN(F$9)+10)&amp;":"&amp;ADDRESS(1000,COLUMN(F$9)+10))),
SUMIF(INDIRECT(Equipo!$G$4&amp;"!B10:B1000"),$B74,INDIRECT(Equipo!$G$4&amp;"!"&amp;ADDRESS(10,COLUMN(F$9)+10)&amp;":"&amp;ADDRESS(1000,COLUMN(F$9)+10)))
))</f>
        <v>-</v>
      </c>
      <c r="G74" s="19" t="str">
        <f t="array" ref="G74">IF(ISBLANK(Tareas!$B70),"-",
SUM(
SUMIF(INDIRECT(Equipo!$C$4&amp;"!B10:B1000"),$B74,INDIRECT(Equipo!$C$4&amp;"!"&amp;ADDRESS(10,COLUMN(G$9)+10)&amp;":"&amp;ADDRESS(1000,COLUMN(G$9)+10))),
SUMIF(INDIRECT(Equipo!$D$4&amp;"!B10:B1000"),$B74,INDIRECT(Equipo!$D$4&amp;"!"&amp;ADDRESS(10,COLUMN(G$9)+10)&amp;":"&amp;ADDRESS(1000,COLUMN(G$9)+10))),
SUMIF(INDIRECT(Equipo!$E$4&amp;"!B10:B1000"),$B74,INDIRECT(Equipo!$E$4&amp;"!"&amp;ADDRESS(10,COLUMN(G$9)+10)&amp;":"&amp;ADDRESS(1000,COLUMN(G$9)+10))),
SUMIF(INDIRECT(Equipo!$F$4&amp;"!B10:B1000"),$B74,INDIRECT(Equipo!$F$4&amp;"!"&amp;ADDRESS(10,COLUMN(G$9)+10)&amp;":"&amp;ADDRESS(1000,COLUMN(G$9)+10))),
SUMIF(INDIRECT(Equipo!$G$4&amp;"!B10:B1000"),$B74,INDIRECT(Equipo!$G$4&amp;"!"&amp;ADDRESS(10,COLUMN(G$9)+10)&amp;":"&amp;ADDRESS(1000,COLUMN(G$9)+10)))
))</f>
        <v>-</v>
      </c>
      <c r="H74" s="19" t="str">
        <f t="array" ref="H74">IF(ISBLANK(Tareas!$B70),"-",
SUM(
SUMIF(INDIRECT(Equipo!$C$4&amp;"!B10:B1000"),$B74,INDIRECT(Equipo!$C$4&amp;"!"&amp;ADDRESS(10,COLUMN(H$9)+10)&amp;":"&amp;ADDRESS(1000,COLUMN(H$9)+10))),
SUMIF(INDIRECT(Equipo!$D$4&amp;"!B10:B1000"),$B74,INDIRECT(Equipo!$D$4&amp;"!"&amp;ADDRESS(10,COLUMN(H$9)+10)&amp;":"&amp;ADDRESS(1000,COLUMN(H$9)+10))),
SUMIF(INDIRECT(Equipo!$E$4&amp;"!B10:B1000"),$B74,INDIRECT(Equipo!$E$4&amp;"!"&amp;ADDRESS(10,COLUMN(H$9)+10)&amp;":"&amp;ADDRESS(1000,COLUMN(H$9)+10))),
SUMIF(INDIRECT(Equipo!$F$4&amp;"!B10:B1000"),$B74,INDIRECT(Equipo!$F$4&amp;"!"&amp;ADDRESS(10,COLUMN(H$9)+10)&amp;":"&amp;ADDRESS(1000,COLUMN(H$9)+10))),
SUMIF(INDIRECT(Equipo!$G$4&amp;"!B10:B1000"),$B74,INDIRECT(Equipo!$G$4&amp;"!"&amp;ADDRESS(10,COLUMN(H$9)+10)&amp;":"&amp;ADDRESS(1000,COLUMN(H$9)+10)))
))</f>
        <v>-</v>
      </c>
      <c r="I74" s="19" t="str">
        <f t="array" ref="I74">IF(ISBLANK(Tareas!$B70),"-",
SUM(
SUMIF(INDIRECT(Equipo!$C$4&amp;"!B10:B1000"),$B74,INDIRECT(Equipo!$C$4&amp;"!"&amp;ADDRESS(10,COLUMN(I$9)+10)&amp;":"&amp;ADDRESS(1000,COLUMN(I$9)+10))),
SUMIF(INDIRECT(Equipo!$D$4&amp;"!B10:B1000"),$B74,INDIRECT(Equipo!$D$4&amp;"!"&amp;ADDRESS(10,COLUMN(I$9)+10)&amp;":"&amp;ADDRESS(1000,COLUMN(I$9)+10))),
SUMIF(INDIRECT(Equipo!$E$4&amp;"!B10:B1000"),$B74,INDIRECT(Equipo!$E$4&amp;"!"&amp;ADDRESS(10,COLUMN(I$9)+10)&amp;":"&amp;ADDRESS(1000,COLUMN(I$9)+10))),
SUMIF(INDIRECT(Equipo!$F$4&amp;"!B10:B1000"),$B74,INDIRECT(Equipo!$F$4&amp;"!"&amp;ADDRESS(10,COLUMN(I$9)+10)&amp;":"&amp;ADDRESS(1000,COLUMN(I$9)+10))),
SUMIF(INDIRECT(Equipo!$G$4&amp;"!B10:B1000"),$B74,INDIRECT(Equipo!$G$4&amp;"!"&amp;ADDRESS(10,COLUMN(I$9)+10)&amp;":"&amp;ADDRESS(1000,COLUMN(I$9)+10)))
))</f>
        <v>-</v>
      </c>
      <c r="J74" s="19" t="str">
        <f t="array" ref="J74">IF(ISBLANK(Tareas!$B70),"-",
SUM(
SUMIF(INDIRECT(Equipo!$C$4&amp;"!B10:B1000"),$B74,INDIRECT(Equipo!$C$4&amp;"!"&amp;ADDRESS(10,COLUMN(J$9)+10)&amp;":"&amp;ADDRESS(1000,COLUMN(J$9)+10))),
SUMIF(INDIRECT(Equipo!$D$4&amp;"!B10:B1000"),$B74,INDIRECT(Equipo!$D$4&amp;"!"&amp;ADDRESS(10,COLUMN(J$9)+10)&amp;":"&amp;ADDRESS(1000,COLUMN(J$9)+10))),
SUMIF(INDIRECT(Equipo!$E$4&amp;"!B10:B1000"),$B74,INDIRECT(Equipo!$E$4&amp;"!"&amp;ADDRESS(10,COLUMN(J$9)+10)&amp;":"&amp;ADDRESS(1000,COLUMN(J$9)+10))),
SUMIF(INDIRECT(Equipo!$F$4&amp;"!B10:B1000"),$B74,INDIRECT(Equipo!$F$4&amp;"!"&amp;ADDRESS(10,COLUMN(J$9)+10)&amp;":"&amp;ADDRESS(1000,COLUMN(J$9)+10))),
SUMIF(INDIRECT(Equipo!$G$4&amp;"!B10:B1000"),$B74,INDIRECT(Equipo!$G$4&amp;"!"&amp;ADDRESS(10,COLUMN(J$9)+10)&amp;":"&amp;ADDRESS(1000,COLUMN(J$9)+10)))
))</f>
        <v>-</v>
      </c>
      <c r="K74" s="19" t="str">
        <f t="array" ref="K74">IF(ISBLANK(Tareas!$B70),"-",
SUM(
SUMIF(INDIRECT(Equipo!$C$4&amp;"!B10:B1000"),$B74,INDIRECT(Equipo!$C$4&amp;"!"&amp;ADDRESS(10,COLUMN(K$9)+10)&amp;":"&amp;ADDRESS(1000,COLUMN(K$9)+10))),
SUMIF(INDIRECT(Equipo!$D$4&amp;"!B10:B1000"),$B74,INDIRECT(Equipo!$D$4&amp;"!"&amp;ADDRESS(10,COLUMN(K$9)+10)&amp;":"&amp;ADDRESS(1000,COLUMN(K$9)+10))),
SUMIF(INDIRECT(Equipo!$E$4&amp;"!B10:B1000"),$B74,INDIRECT(Equipo!$E$4&amp;"!"&amp;ADDRESS(10,COLUMN(K$9)+10)&amp;":"&amp;ADDRESS(1000,COLUMN(K$9)+10))),
SUMIF(INDIRECT(Equipo!$F$4&amp;"!B10:B1000"),$B74,INDIRECT(Equipo!$F$4&amp;"!"&amp;ADDRESS(10,COLUMN(K$9)+10)&amp;":"&amp;ADDRESS(1000,COLUMN(K$9)+10))),
SUMIF(INDIRECT(Equipo!$G$4&amp;"!B10:B1000"),$B74,INDIRECT(Equipo!$G$4&amp;"!"&amp;ADDRESS(10,COLUMN(K$9)+10)&amp;":"&amp;ADDRESS(1000,COLUMN(K$9)+10)))
))</f>
        <v>-</v>
      </c>
    </row>
    <row r="75" ht="15.75" customHeight="1">
      <c r="B75" s="1" t="str">
        <f>IF(ISBLANK(Tareas!B71)," - ",Tareas!B71)</f>
        <v> - </v>
      </c>
      <c r="C75" s="19" t="str">
        <f>IF(ISBLANK(Tareas!$B71),"-",SUM(D75:K75))</f>
        <v>-</v>
      </c>
      <c r="D75" s="19" t="str">
        <f t="array" ref="D75">IF(ISBLANK(Tareas!$B71),"-",
SUM(
SUMIF(INDIRECT(Equipo!$C$4&amp;"!B10:B1000"),$B75,INDIRECT(Equipo!$C$4&amp;"!"&amp;ADDRESS(10,COLUMN(D$9)+10)&amp;":"&amp;ADDRESS(1000,COLUMN(D$9)+10))),
SUMIF(INDIRECT(Equipo!$D$4&amp;"!B10:B1000"),$B75,INDIRECT(Equipo!$D$4&amp;"!"&amp;ADDRESS(10,COLUMN(D$9)+10)&amp;":"&amp;ADDRESS(1000,COLUMN(D$9)+10))),
SUMIF(INDIRECT(Equipo!$E$4&amp;"!B10:B1000"),$B75,INDIRECT(Equipo!$E$4&amp;"!"&amp;ADDRESS(10,COLUMN(D$9)+10)&amp;":"&amp;ADDRESS(1000,COLUMN(D$9)+10))),
SUMIF(INDIRECT(Equipo!$F$4&amp;"!B10:B1000"),$B75,INDIRECT(Equipo!$F$4&amp;"!"&amp;ADDRESS(10,COLUMN(D$9)+10)&amp;":"&amp;ADDRESS(1000,COLUMN(D$9)+10))),
SUMIF(INDIRECT(Equipo!$G$4&amp;"!B10:B1000"),$B75,INDIRECT(Equipo!$G$4&amp;"!"&amp;ADDRESS(10,COLUMN(D$9)+10)&amp;":"&amp;ADDRESS(1000,COLUMN(D$9)+10)))
))</f>
        <v>-</v>
      </c>
      <c r="E75" s="19" t="str">
        <f t="array" ref="E75">IF(ISBLANK(Tareas!$B71),"-",
SUM(
SUMIF(INDIRECT(Equipo!$C$4&amp;"!B10:B1000"),$B75,INDIRECT(Equipo!$C$4&amp;"!"&amp;ADDRESS(10,COLUMN(E$9)+10)&amp;":"&amp;ADDRESS(1000,COLUMN(E$9)+10))),
SUMIF(INDIRECT(Equipo!$D$4&amp;"!B10:B1000"),$B75,INDIRECT(Equipo!$D$4&amp;"!"&amp;ADDRESS(10,COLUMN(E$9)+10)&amp;":"&amp;ADDRESS(1000,COLUMN(E$9)+10))),
SUMIF(INDIRECT(Equipo!$E$4&amp;"!B10:B1000"),$B75,INDIRECT(Equipo!$E$4&amp;"!"&amp;ADDRESS(10,COLUMN(E$9)+10)&amp;":"&amp;ADDRESS(1000,COLUMN(E$9)+10))),
SUMIF(INDIRECT(Equipo!$F$4&amp;"!B10:B1000"),$B75,INDIRECT(Equipo!$F$4&amp;"!"&amp;ADDRESS(10,COLUMN(E$9)+10)&amp;":"&amp;ADDRESS(1000,COLUMN(E$9)+10))),
SUMIF(INDIRECT(Equipo!$G$4&amp;"!B10:B1000"),$B75,INDIRECT(Equipo!$G$4&amp;"!"&amp;ADDRESS(10,COLUMN(E$9)+10)&amp;":"&amp;ADDRESS(1000,COLUMN(E$9)+10)))
))</f>
        <v>-</v>
      </c>
      <c r="F75" s="19" t="str">
        <f t="array" ref="F75">IF(ISBLANK(Tareas!$B71),"-",
SUM(
SUMIF(INDIRECT(Equipo!$C$4&amp;"!B10:B1000"),$B75,INDIRECT(Equipo!$C$4&amp;"!"&amp;ADDRESS(10,COLUMN(F$9)+10)&amp;":"&amp;ADDRESS(1000,COLUMN(F$9)+10))),
SUMIF(INDIRECT(Equipo!$D$4&amp;"!B10:B1000"),$B75,INDIRECT(Equipo!$D$4&amp;"!"&amp;ADDRESS(10,COLUMN(F$9)+10)&amp;":"&amp;ADDRESS(1000,COLUMN(F$9)+10))),
SUMIF(INDIRECT(Equipo!$E$4&amp;"!B10:B1000"),$B75,INDIRECT(Equipo!$E$4&amp;"!"&amp;ADDRESS(10,COLUMN(F$9)+10)&amp;":"&amp;ADDRESS(1000,COLUMN(F$9)+10))),
SUMIF(INDIRECT(Equipo!$F$4&amp;"!B10:B1000"),$B75,INDIRECT(Equipo!$F$4&amp;"!"&amp;ADDRESS(10,COLUMN(F$9)+10)&amp;":"&amp;ADDRESS(1000,COLUMN(F$9)+10))),
SUMIF(INDIRECT(Equipo!$G$4&amp;"!B10:B1000"),$B75,INDIRECT(Equipo!$G$4&amp;"!"&amp;ADDRESS(10,COLUMN(F$9)+10)&amp;":"&amp;ADDRESS(1000,COLUMN(F$9)+10)))
))</f>
        <v>-</v>
      </c>
      <c r="G75" s="19" t="str">
        <f t="array" ref="G75">IF(ISBLANK(Tareas!$B71),"-",
SUM(
SUMIF(INDIRECT(Equipo!$C$4&amp;"!B10:B1000"),$B75,INDIRECT(Equipo!$C$4&amp;"!"&amp;ADDRESS(10,COLUMN(G$9)+10)&amp;":"&amp;ADDRESS(1000,COLUMN(G$9)+10))),
SUMIF(INDIRECT(Equipo!$D$4&amp;"!B10:B1000"),$B75,INDIRECT(Equipo!$D$4&amp;"!"&amp;ADDRESS(10,COLUMN(G$9)+10)&amp;":"&amp;ADDRESS(1000,COLUMN(G$9)+10))),
SUMIF(INDIRECT(Equipo!$E$4&amp;"!B10:B1000"),$B75,INDIRECT(Equipo!$E$4&amp;"!"&amp;ADDRESS(10,COLUMN(G$9)+10)&amp;":"&amp;ADDRESS(1000,COLUMN(G$9)+10))),
SUMIF(INDIRECT(Equipo!$F$4&amp;"!B10:B1000"),$B75,INDIRECT(Equipo!$F$4&amp;"!"&amp;ADDRESS(10,COLUMN(G$9)+10)&amp;":"&amp;ADDRESS(1000,COLUMN(G$9)+10))),
SUMIF(INDIRECT(Equipo!$G$4&amp;"!B10:B1000"),$B75,INDIRECT(Equipo!$G$4&amp;"!"&amp;ADDRESS(10,COLUMN(G$9)+10)&amp;":"&amp;ADDRESS(1000,COLUMN(G$9)+10)))
))</f>
        <v>-</v>
      </c>
      <c r="H75" s="19" t="str">
        <f t="array" ref="H75">IF(ISBLANK(Tareas!$B71),"-",
SUM(
SUMIF(INDIRECT(Equipo!$C$4&amp;"!B10:B1000"),$B75,INDIRECT(Equipo!$C$4&amp;"!"&amp;ADDRESS(10,COLUMN(H$9)+10)&amp;":"&amp;ADDRESS(1000,COLUMN(H$9)+10))),
SUMIF(INDIRECT(Equipo!$D$4&amp;"!B10:B1000"),$B75,INDIRECT(Equipo!$D$4&amp;"!"&amp;ADDRESS(10,COLUMN(H$9)+10)&amp;":"&amp;ADDRESS(1000,COLUMN(H$9)+10))),
SUMIF(INDIRECT(Equipo!$E$4&amp;"!B10:B1000"),$B75,INDIRECT(Equipo!$E$4&amp;"!"&amp;ADDRESS(10,COLUMN(H$9)+10)&amp;":"&amp;ADDRESS(1000,COLUMN(H$9)+10))),
SUMIF(INDIRECT(Equipo!$F$4&amp;"!B10:B1000"),$B75,INDIRECT(Equipo!$F$4&amp;"!"&amp;ADDRESS(10,COLUMN(H$9)+10)&amp;":"&amp;ADDRESS(1000,COLUMN(H$9)+10))),
SUMIF(INDIRECT(Equipo!$G$4&amp;"!B10:B1000"),$B75,INDIRECT(Equipo!$G$4&amp;"!"&amp;ADDRESS(10,COLUMN(H$9)+10)&amp;":"&amp;ADDRESS(1000,COLUMN(H$9)+10)))
))</f>
        <v>-</v>
      </c>
      <c r="I75" s="19" t="str">
        <f t="array" ref="I75">IF(ISBLANK(Tareas!$B71),"-",
SUM(
SUMIF(INDIRECT(Equipo!$C$4&amp;"!B10:B1000"),$B75,INDIRECT(Equipo!$C$4&amp;"!"&amp;ADDRESS(10,COLUMN(I$9)+10)&amp;":"&amp;ADDRESS(1000,COLUMN(I$9)+10))),
SUMIF(INDIRECT(Equipo!$D$4&amp;"!B10:B1000"),$B75,INDIRECT(Equipo!$D$4&amp;"!"&amp;ADDRESS(10,COLUMN(I$9)+10)&amp;":"&amp;ADDRESS(1000,COLUMN(I$9)+10))),
SUMIF(INDIRECT(Equipo!$E$4&amp;"!B10:B1000"),$B75,INDIRECT(Equipo!$E$4&amp;"!"&amp;ADDRESS(10,COLUMN(I$9)+10)&amp;":"&amp;ADDRESS(1000,COLUMN(I$9)+10))),
SUMIF(INDIRECT(Equipo!$F$4&amp;"!B10:B1000"),$B75,INDIRECT(Equipo!$F$4&amp;"!"&amp;ADDRESS(10,COLUMN(I$9)+10)&amp;":"&amp;ADDRESS(1000,COLUMN(I$9)+10))),
SUMIF(INDIRECT(Equipo!$G$4&amp;"!B10:B1000"),$B75,INDIRECT(Equipo!$G$4&amp;"!"&amp;ADDRESS(10,COLUMN(I$9)+10)&amp;":"&amp;ADDRESS(1000,COLUMN(I$9)+10)))
))</f>
        <v>-</v>
      </c>
      <c r="J75" s="19" t="str">
        <f t="array" ref="J75">IF(ISBLANK(Tareas!$B71),"-",
SUM(
SUMIF(INDIRECT(Equipo!$C$4&amp;"!B10:B1000"),$B75,INDIRECT(Equipo!$C$4&amp;"!"&amp;ADDRESS(10,COLUMN(J$9)+10)&amp;":"&amp;ADDRESS(1000,COLUMN(J$9)+10))),
SUMIF(INDIRECT(Equipo!$D$4&amp;"!B10:B1000"),$B75,INDIRECT(Equipo!$D$4&amp;"!"&amp;ADDRESS(10,COLUMN(J$9)+10)&amp;":"&amp;ADDRESS(1000,COLUMN(J$9)+10))),
SUMIF(INDIRECT(Equipo!$E$4&amp;"!B10:B1000"),$B75,INDIRECT(Equipo!$E$4&amp;"!"&amp;ADDRESS(10,COLUMN(J$9)+10)&amp;":"&amp;ADDRESS(1000,COLUMN(J$9)+10))),
SUMIF(INDIRECT(Equipo!$F$4&amp;"!B10:B1000"),$B75,INDIRECT(Equipo!$F$4&amp;"!"&amp;ADDRESS(10,COLUMN(J$9)+10)&amp;":"&amp;ADDRESS(1000,COLUMN(J$9)+10))),
SUMIF(INDIRECT(Equipo!$G$4&amp;"!B10:B1000"),$B75,INDIRECT(Equipo!$G$4&amp;"!"&amp;ADDRESS(10,COLUMN(J$9)+10)&amp;":"&amp;ADDRESS(1000,COLUMN(J$9)+10)))
))</f>
        <v>-</v>
      </c>
      <c r="K75" s="19" t="str">
        <f t="array" ref="K75">IF(ISBLANK(Tareas!$B71),"-",
SUM(
SUMIF(INDIRECT(Equipo!$C$4&amp;"!B10:B1000"),$B75,INDIRECT(Equipo!$C$4&amp;"!"&amp;ADDRESS(10,COLUMN(K$9)+10)&amp;":"&amp;ADDRESS(1000,COLUMN(K$9)+10))),
SUMIF(INDIRECT(Equipo!$D$4&amp;"!B10:B1000"),$B75,INDIRECT(Equipo!$D$4&amp;"!"&amp;ADDRESS(10,COLUMN(K$9)+10)&amp;":"&amp;ADDRESS(1000,COLUMN(K$9)+10))),
SUMIF(INDIRECT(Equipo!$E$4&amp;"!B10:B1000"),$B75,INDIRECT(Equipo!$E$4&amp;"!"&amp;ADDRESS(10,COLUMN(K$9)+10)&amp;":"&amp;ADDRESS(1000,COLUMN(K$9)+10))),
SUMIF(INDIRECT(Equipo!$F$4&amp;"!B10:B1000"),$B75,INDIRECT(Equipo!$F$4&amp;"!"&amp;ADDRESS(10,COLUMN(K$9)+10)&amp;":"&amp;ADDRESS(1000,COLUMN(K$9)+10))),
SUMIF(INDIRECT(Equipo!$G$4&amp;"!B10:B1000"),$B75,INDIRECT(Equipo!$G$4&amp;"!"&amp;ADDRESS(10,COLUMN(K$9)+10)&amp;":"&amp;ADDRESS(1000,COLUMN(K$9)+10)))
))</f>
        <v>-</v>
      </c>
    </row>
    <row r="76" ht="15.75" customHeight="1">
      <c r="B76" s="1" t="str">
        <f>IF(ISBLANK(Tareas!B72)," - ",Tareas!B72)</f>
        <v> - </v>
      </c>
      <c r="C76" s="19" t="str">
        <f>IF(ISBLANK(Tareas!$B72),"-",SUM(D76:K76))</f>
        <v>-</v>
      </c>
      <c r="D76" s="19" t="str">
        <f t="array" ref="D76">IF(ISBLANK(Tareas!$B72),"-",
SUM(
SUMIF(INDIRECT(Equipo!$C$4&amp;"!B10:B1000"),$B76,INDIRECT(Equipo!$C$4&amp;"!"&amp;ADDRESS(10,COLUMN(D$9)+10)&amp;":"&amp;ADDRESS(1000,COLUMN(D$9)+10))),
SUMIF(INDIRECT(Equipo!$D$4&amp;"!B10:B1000"),$B76,INDIRECT(Equipo!$D$4&amp;"!"&amp;ADDRESS(10,COLUMN(D$9)+10)&amp;":"&amp;ADDRESS(1000,COLUMN(D$9)+10))),
SUMIF(INDIRECT(Equipo!$E$4&amp;"!B10:B1000"),$B76,INDIRECT(Equipo!$E$4&amp;"!"&amp;ADDRESS(10,COLUMN(D$9)+10)&amp;":"&amp;ADDRESS(1000,COLUMN(D$9)+10))),
SUMIF(INDIRECT(Equipo!$F$4&amp;"!B10:B1000"),$B76,INDIRECT(Equipo!$F$4&amp;"!"&amp;ADDRESS(10,COLUMN(D$9)+10)&amp;":"&amp;ADDRESS(1000,COLUMN(D$9)+10))),
SUMIF(INDIRECT(Equipo!$G$4&amp;"!B10:B1000"),$B76,INDIRECT(Equipo!$G$4&amp;"!"&amp;ADDRESS(10,COLUMN(D$9)+10)&amp;":"&amp;ADDRESS(1000,COLUMN(D$9)+10)))
))</f>
        <v>-</v>
      </c>
      <c r="E76" s="19" t="str">
        <f t="array" ref="E76">IF(ISBLANK(Tareas!$B72),"-",
SUM(
SUMIF(INDIRECT(Equipo!$C$4&amp;"!B10:B1000"),$B76,INDIRECT(Equipo!$C$4&amp;"!"&amp;ADDRESS(10,COLUMN(E$9)+10)&amp;":"&amp;ADDRESS(1000,COLUMN(E$9)+10))),
SUMIF(INDIRECT(Equipo!$D$4&amp;"!B10:B1000"),$B76,INDIRECT(Equipo!$D$4&amp;"!"&amp;ADDRESS(10,COLUMN(E$9)+10)&amp;":"&amp;ADDRESS(1000,COLUMN(E$9)+10))),
SUMIF(INDIRECT(Equipo!$E$4&amp;"!B10:B1000"),$B76,INDIRECT(Equipo!$E$4&amp;"!"&amp;ADDRESS(10,COLUMN(E$9)+10)&amp;":"&amp;ADDRESS(1000,COLUMN(E$9)+10))),
SUMIF(INDIRECT(Equipo!$F$4&amp;"!B10:B1000"),$B76,INDIRECT(Equipo!$F$4&amp;"!"&amp;ADDRESS(10,COLUMN(E$9)+10)&amp;":"&amp;ADDRESS(1000,COLUMN(E$9)+10))),
SUMIF(INDIRECT(Equipo!$G$4&amp;"!B10:B1000"),$B76,INDIRECT(Equipo!$G$4&amp;"!"&amp;ADDRESS(10,COLUMN(E$9)+10)&amp;":"&amp;ADDRESS(1000,COLUMN(E$9)+10)))
))</f>
        <v>-</v>
      </c>
      <c r="F76" s="19" t="str">
        <f t="array" ref="F76">IF(ISBLANK(Tareas!$B72),"-",
SUM(
SUMIF(INDIRECT(Equipo!$C$4&amp;"!B10:B1000"),$B76,INDIRECT(Equipo!$C$4&amp;"!"&amp;ADDRESS(10,COLUMN(F$9)+10)&amp;":"&amp;ADDRESS(1000,COLUMN(F$9)+10))),
SUMIF(INDIRECT(Equipo!$D$4&amp;"!B10:B1000"),$B76,INDIRECT(Equipo!$D$4&amp;"!"&amp;ADDRESS(10,COLUMN(F$9)+10)&amp;":"&amp;ADDRESS(1000,COLUMN(F$9)+10))),
SUMIF(INDIRECT(Equipo!$E$4&amp;"!B10:B1000"),$B76,INDIRECT(Equipo!$E$4&amp;"!"&amp;ADDRESS(10,COLUMN(F$9)+10)&amp;":"&amp;ADDRESS(1000,COLUMN(F$9)+10))),
SUMIF(INDIRECT(Equipo!$F$4&amp;"!B10:B1000"),$B76,INDIRECT(Equipo!$F$4&amp;"!"&amp;ADDRESS(10,COLUMN(F$9)+10)&amp;":"&amp;ADDRESS(1000,COLUMN(F$9)+10))),
SUMIF(INDIRECT(Equipo!$G$4&amp;"!B10:B1000"),$B76,INDIRECT(Equipo!$G$4&amp;"!"&amp;ADDRESS(10,COLUMN(F$9)+10)&amp;":"&amp;ADDRESS(1000,COLUMN(F$9)+10)))
))</f>
        <v>-</v>
      </c>
      <c r="G76" s="19" t="str">
        <f t="array" ref="G76">IF(ISBLANK(Tareas!$B72),"-",
SUM(
SUMIF(INDIRECT(Equipo!$C$4&amp;"!B10:B1000"),$B76,INDIRECT(Equipo!$C$4&amp;"!"&amp;ADDRESS(10,COLUMN(G$9)+10)&amp;":"&amp;ADDRESS(1000,COLUMN(G$9)+10))),
SUMIF(INDIRECT(Equipo!$D$4&amp;"!B10:B1000"),$B76,INDIRECT(Equipo!$D$4&amp;"!"&amp;ADDRESS(10,COLUMN(G$9)+10)&amp;":"&amp;ADDRESS(1000,COLUMN(G$9)+10))),
SUMIF(INDIRECT(Equipo!$E$4&amp;"!B10:B1000"),$B76,INDIRECT(Equipo!$E$4&amp;"!"&amp;ADDRESS(10,COLUMN(G$9)+10)&amp;":"&amp;ADDRESS(1000,COLUMN(G$9)+10))),
SUMIF(INDIRECT(Equipo!$F$4&amp;"!B10:B1000"),$B76,INDIRECT(Equipo!$F$4&amp;"!"&amp;ADDRESS(10,COLUMN(G$9)+10)&amp;":"&amp;ADDRESS(1000,COLUMN(G$9)+10))),
SUMIF(INDIRECT(Equipo!$G$4&amp;"!B10:B1000"),$B76,INDIRECT(Equipo!$G$4&amp;"!"&amp;ADDRESS(10,COLUMN(G$9)+10)&amp;":"&amp;ADDRESS(1000,COLUMN(G$9)+10)))
))</f>
        <v>-</v>
      </c>
      <c r="H76" s="19" t="str">
        <f t="array" ref="H76">IF(ISBLANK(Tareas!$B72),"-",
SUM(
SUMIF(INDIRECT(Equipo!$C$4&amp;"!B10:B1000"),$B76,INDIRECT(Equipo!$C$4&amp;"!"&amp;ADDRESS(10,COLUMN(H$9)+10)&amp;":"&amp;ADDRESS(1000,COLUMN(H$9)+10))),
SUMIF(INDIRECT(Equipo!$D$4&amp;"!B10:B1000"),$B76,INDIRECT(Equipo!$D$4&amp;"!"&amp;ADDRESS(10,COLUMN(H$9)+10)&amp;":"&amp;ADDRESS(1000,COLUMN(H$9)+10))),
SUMIF(INDIRECT(Equipo!$E$4&amp;"!B10:B1000"),$B76,INDIRECT(Equipo!$E$4&amp;"!"&amp;ADDRESS(10,COLUMN(H$9)+10)&amp;":"&amp;ADDRESS(1000,COLUMN(H$9)+10))),
SUMIF(INDIRECT(Equipo!$F$4&amp;"!B10:B1000"),$B76,INDIRECT(Equipo!$F$4&amp;"!"&amp;ADDRESS(10,COLUMN(H$9)+10)&amp;":"&amp;ADDRESS(1000,COLUMN(H$9)+10))),
SUMIF(INDIRECT(Equipo!$G$4&amp;"!B10:B1000"),$B76,INDIRECT(Equipo!$G$4&amp;"!"&amp;ADDRESS(10,COLUMN(H$9)+10)&amp;":"&amp;ADDRESS(1000,COLUMN(H$9)+10)))
))</f>
        <v>-</v>
      </c>
      <c r="I76" s="19" t="str">
        <f t="array" ref="I76">IF(ISBLANK(Tareas!$B72),"-",
SUM(
SUMIF(INDIRECT(Equipo!$C$4&amp;"!B10:B1000"),$B76,INDIRECT(Equipo!$C$4&amp;"!"&amp;ADDRESS(10,COLUMN(I$9)+10)&amp;":"&amp;ADDRESS(1000,COLUMN(I$9)+10))),
SUMIF(INDIRECT(Equipo!$D$4&amp;"!B10:B1000"),$B76,INDIRECT(Equipo!$D$4&amp;"!"&amp;ADDRESS(10,COLUMN(I$9)+10)&amp;":"&amp;ADDRESS(1000,COLUMN(I$9)+10))),
SUMIF(INDIRECT(Equipo!$E$4&amp;"!B10:B1000"),$B76,INDIRECT(Equipo!$E$4&amp;"!"&amp;ADDRESS(10,COLUMN(I$9)+10)&amp;":"&amp;ADDRESS(1000,COLUMN(I$9)+10))),
SUMIF(INDIRECT(Equipo!$F$4&amp;"!B10:B1000"),$B76,INDIRECT(Equipo!$F$4&amp;"!"&amp;ADDRESS(10,COLUMN(I$9)+10)&amp;":"&amp;ADDRESS(1000,COLUMN(I$9)+10))),
SUMIF(INDIRECT(Equipo!$G$4&amp;"!B10:B1000"),$B76,INDIRECT(Equipo!$G$4&amp;"!"&amp;ADDRESS(10,COLUMN(I$9)+10)&amp;":"&amp;ADDRESS(1000,COLUMN(I$9)+10)))
))</f>
        <v>-</v>
      </c>
      <c r="J76" s="19" t="str">
        <f t="array" ref="J76">IF(ISBLANK(Tareas!$B72),"-",
SUM(
SUMIF(INDIRECT(Equipo!$C$4&amp;"!B10:B1000"),$B76,INDIRECT(Equipo!$C$4&amp;"!"&amp;ADDRESS(10,COLUMN(J$9)+10)&amp;":"&amp;ADDRESS(1000,COLUMN(J$9)+10))),
SUMIF(INDIRECT(Equipo!$D$4&amp;"!B10:B1000"),$B76,INDIRECT(Equipo!$D$4&amp;"!"&amp;ADDRESS(10,COLUMN(J$9)+10)&amp;":"&amp;ADDRESS(1000,COLUMN(J$9)+10))),
SUMIF(INDIRECT(Equipo!$E$4&amp;"!B10:B1000"),$B76,INDIRECT(Equipo!$E$4&amp;"!"&amp;ADDRESS(10,COLUMN(J$9)+10)&amp;":"&amp;ADDRESS(1000,COLUMN(J$9)+10))),
SUMIF(INDIRECT(Equipo!$F$4&amp;"!B10:B1000"),$B76,INDIRECT(Equipo!$F$4&amp;"!"&amp;ADDRESS(10,COLUMN(J$9)+10)&amp;":"&amp;ADDRESS(1000,COLUMN(J$9)+10))),
SUMIF(INDIRECT(Equipo!$G$4&amp;"!B10:B1000"),$B76,INDIRECT(Equipo!$G$4&amp;"!"&amp;ADDRESS(10,COLUMN(J$9)+10)&amp;":"&amp;ADDRESS(1000,COLUMN(J$9)+10)))
))</f>
        <v>-</v>
      </c>
      <c r="K76" s="19" t="str">
        <f t="array" ref="K76">IF(ISBLANK(Tareas!$B72),"-",
SUM(
SUMIF(INDIRECT(Equipo!$C$4&amp;"!B10:B1000"),$B76,INDIRECT(Equipo!$C$4&amp;"!"&amp;ADDRESS(10,COLUMN(K$9)+10)&amp;":"&amp;ADDRESS(1000,COLUMN(K$9)+10))),
SUMIF(INDIRECT(Equipo!$D$4&amp;"!B10:B1000"),$B76,INDIRECT(Equipo!$D$4&amp;"!"&amp;ADDRESS(10,COLUMN(K$9)+10)&amp;":"&amp;ADDRESS(1000,COLUMN(K$9)+10))),
SUMIF(INDIRECT(Equipo!$E$4&amp;"!B10:B1000"),$B76,INDIRECT(Equipo!$E$4&amp;"!"&amp;ADDRESS(10,COLUMN(K$9)+10)&amp;":"&amp;ADDRESS(1000,COLUMN(K$9)+10))),
SUMIF(INDIRECT(Equipo!$F$4&amp;"!B10:B1000"),$B76,INDIRECT(Equipo!$F$4&amp;"!"&amp;ADDRESS(10,COLUMN(K$9)+10)&amp;":"&amp;ADDRESS(1000,COLUMN(K$9)+10))),
SUMIF(INDIRECT(Equipo!$G$4&amp;"!B10:B1000"),$B76,INDIRECT(Equipo!$G$4&amp;"!"&amp;ADDRESS(10,COLUMN(K$9)+10)&amp;":"&amp;ADDRESS(1000,COLUMN(K$9)+10)))
))</f>
        <v>-</v>
      </c>
    </row>
    <row r="77" ht="15.75" customHeight="1">
      <c r="B77" s="1" t="str">
        <f>IF(ISBLANK(Tareas!B73)," - ",Tareas!B73)</f>
        <v> - </v>
      </c>
      <c r="C77" s="19" t="str">
        <f>IF(ISBLANK(Tareas!$B73),"-",SUM(D77:K77))</f>
        <v>-</v>
      </c>
      <c r="D77" s="19" t="str">
        <f t="array" ref="D77">IF(ISBLANK(Tareas!$B73),"-",
SUM(
SUMIF(INDIRECT(Equipo!$C$4&amp;"!B10:B1000"),$B77,INDIRECT(Equipo!$C$4&amp;"!"&amp;ADDRESS(10,COLUMN(D$9)+10)&amp;":"&amp;ADDRESS(1000,COLUMN(D$9)+10))),
SUMIF(INDIRECT(Equipo!$D$4&amp;"!B10:B1000"),$B77,INDIRECT(Equipo!$D$4&amp;"!"&amp;ADDRESS(10,COLUMN(D$9)+10)&amp;":"&amp;ADDRESS(1000,COLUMN(D$9)+10))),
SUMIF(INDIRECT(Equipo!$E$4&amp;"!B10:B1000"),$B77,INDIRECT(Equipo!$E$4&amp;"!"&amp;ADDRESS(10,COLUMN(D$9)+10)&amp;":"&amp;ADDRESS(1000,COLUMN(D$9)+10))),
SUMIF(INDIRECT(Equipo!$F$4&amp;"!B10:B1000"),$B77,INDIRECT(Equipo!$F$4&amp;"!"&amp;ADDRESS(10,COLUMN(D$9)+10)&amp;":"&amp;ADDRESS(1000,COLUMN(D$9)+10))),
SUMIF(INDIRECT(Equipo!$G$4&amp;"!B10:B1000"),$B77,INDIRECT(Equipo!$G$4&amp;"!"&amp;ADDRESS(10,COLUMN(D$9)+10)&amp;":"&amp;ADDRESS(1000,COLUMN(D$9)+10)))
))</f>
        <v>-</v>
      </c>
      <c r="E77" s="19" t="str">
        <f t="array" ref="E77">IF(ISBLANK(Tareas!$B73),"-",
SUM(
SUMIF(INDIRECT(Equipo!$C$4&amp;"!B10:B1000"),$B77,INDIRECT(Equipo!$C$4&amp;"!"&amp;ADDRESS(10,COLUMN(E$9)+10)&amp;":"&amp;ADDRESS(1000,COLUMN(E$9)+10))),
SUMIF(INDIRECT(Equipo!$D$4&amp;"!B10:B1000"),$B77,INDIRECT(Equipo!$D$4&amp;"!"&amp;ADDRESS(10,COLUMN(E$9)+10)&amp;":"&amp;ADDRESS(1000,COLUMN(E$9)+10))),
SUMIF(INDIRECT(Equipo!$E$4&amp;"!B10:B1000"),$B77,INDIRECT(Equipo!$E$4&amp;"!"&amp;ADDRESS(10,COLUMN(E$9)+10)&amp;":"&amp;ADDRESS(1000,COLUMN(E$9)+10))),
SUMIF(INDIRECT(Equipo!$F$4&amp;"!B10:B1000"),$B77,INDIRECT(Equipo!$F$4&amp;"!"&amp;ADDRESS(10,COLUMN(E$9)+10)&amp;":"&amp;ADDRESS(1000,COLUMN(E$9)+10))),
SUMIF(INDIRECT(Equipo!$G$4&amp;"!B10:B1000"),$B77,INDIRECT(Equipo!$G$4&amp;"!"&amp;ADDRESS(10,COLUMN(E$9)+10)&amp;":"&amp;ADDRESS(1000,COLUMN(E$9)+10)))
))</f>
        <v>-</v>
      </c>
      <c r="F77" s="19" t="str">
        <f t="array" ref="F77">IF(ISBLANK(Tareas!$B73),"-",
SUM(
SUMIF(INDIRECT(Equipo!$C$4&amp;"!B10:B1000"),$B77,INDIRECT(Equipo!$C$4&amp;"!"&amp;ADDRESS(10,COLUMN(F$9)+10)&amp;":"&amp;ADDRESS(1000,COLUMN(F$9)+10))),
SUMIF(INDIRECT(Equipo!$D$4&amp;"!B10:B1000"),$B77,INDIRECT(Equipo!$D$4&amp;"!"&amp;ADDRESS(10,COLUMN(F$9)+10)&amp;":"&amp;ADDRESS(1000,COLUMN(F$9)+10))),
SUMIF(INDIRECT(Equipo!$E$4&amp;"!B10:B1000"),$B77,INDIRECT(Equipo!$E$4&amp;"!"&amp;ADDRESS(10,COLUMN(F$9)+10)&amp;":"&amp;ADDRESS(1000,COLUMN(F$9)+10))),
SUMIF(INDIRECT(Equipo!$F$4&amp;"!B10:B1000"),$B77,INDIRECT(Equipo!$F$4&amp;"!"&amp;ADDRESS(10,COLUMN(F$9)+10)&amp;":"&amp;ADDRESS(1000,COLUMN(F$9)+10))),
SUMIF(INDIRECT(Equipo!$G$4&amp;"!B10:B1000"),$B77,INDIRECT(Equipo!$G$4&amp;"!"&amp;ADDRESS(10,COLUMN(F$9)+10)&amp;":"&amp;ADDRESS(1000,COLUMN(F$9)+10)))
))</f>
        <v>-</v>
      </c>
      <c r="G77" s="19" t="str">
        <f t="array" ref="G77">IF(ISBLANK(Tareas!$B73),"-",
SUM(
SUMIF(INDIRECT(Equipo!$C$4&amp;"!B10:B1000"),$B77,INDIRECT(Equipo!$C$4&amp;"!"&amp;ADDRESS(10,COLUMN(G$9)+10)&amp;":"&amp;ADDRESS(1000,COLUMN(G$9)+10))),
SUMIF(INDIRECT(Equipo!$D$4&amp;"!B10:B1000"),$B77,INDIRECT(Equipo!$D$4&amp;"!"&amp;ADDRESS(10,COLUMN(G$9)+10)&amp;":"&amp;ADDRESS(1000,COLUMN(G$9)+10))),
SUMIF(INDIRECT(Equipo!$E$4&amp;"!B10:B1000"),$B77,INDIRECT(Equipo!$E$4&amp;"!"&amp;ADDRESS(10,COLUMN(G$9)+10)&amp;":"&amp;ADDRESS(1000,COLUMN(G$9)+10))),
SUMIF(INDIRECT(Equipo!$F$4&amp;"!B10:B1000"),$B77,INDIRECT(Equipo!$F$4&amp;"!"&amp;ADDRESS(10,COLUMN(G$9)+10)&amp;":"&amp;ADDRESS(1000,COLUMN(G$9)+10))),
SUMIF(INDIRECT(Equipo!$G$4&amp;"!B10:B1000"),$B77,INDIRECT(Equipo!$G$4&amp;"!"&amp;ADDRESS(10,COLUMN(G$9)+10)&amp;":"&amp;ADDRESS(1000,COLUMN(G$9)+10)))
))</f>
        <v>-</v>
      </c>
      <c r="H77" s="19" t="str">
        <f t="array" ref="H77">IF(ISBLANK(Tareas!$B73),"-",
SUM(
SUMIF(INDIRECT(Equipo!$C$4&amp;"!B10:B1000"),$B77,INDIRECT(Equipo!$C$4&amp;"!"&amp;ADDRESS(10,COLUMN(H$9)+10)&amp;":"&amp;ADDRESS(1000,COLUMN(H$9)+10))),
SUMIF(INDIRECT(Equipo!$D$4&amp;"!B10:B1000"),$B77,INDIRECT(Equipo!$D$4&amp;"!"&amp;ADDRESS(10,COLUMN(H$9)+10)&amp;":"&amp;ADDRESS(1000,COLUMN(H$9)+10))),
SUMIF(INDIRECT(Equipo!$E$4&amp;"!B10:B1000"),$B77,INDIRECT(Equipo!$E$4&amp;"!"&amp;ADDRESS(10,COLUMN(H$9)+10)&amp;":"&amp;ADDRESS(1000,COLUMN(H$9)+10))),
SUMIF(INDIRECT(Equipo!$F$4&amp;"!B10:B1000"),$B77,INDIRECT(Equipo!$F$4&amp;"!"&amp;ADDRESS(10,COLUMN(H$9)+10)&amp;":"&amp;ADDRESS(1000,COLUMN(H$9)+10))),
SUMIF(INDIRECT(Equipo!$G$4&amp;"!B10:B1000"),$B77,INDIRECT(Equipo!$G$4&amp;"!"&amp;ADDRESS(10,COLUMN(H$9)+10)&amp;":"&amp;ADDRESS(1000,COLUMN(H$9)+10)))
))</f>
        <v>-</v>
      </c>
      <c r="I77" s="19" t="str">
        <f t="array" ref="I77">IF(ISBLANK(Tareas!$B73),"-",
SUM(
SUMIF(INDIRECT(Equipo!$C$4&amp;"!B10:B1000"),$B77,INDIRECT(Equipo!$C$4&amp;"!"&amp;ADDRESS(10,COLUMN(I$9)+10)&amp;":"&amp;ADDRESS(1000,COLUMN(I$9)+10))),
SUMIF(INDIRECT(Equipo!$D$4&amp;"!B10:B1000"),$B77,INDIRECT(Equipo!$D$4&amp;"!"&amp;ADDRESS(10,COLUMN(I$9)+10)&amp;":"&amp;ADDRESS(1000,COLUMN(I$9)+10))),
SUMIF(INDIRECT(Equipo!$E$4&amp;"!B10:B1000"),$B77,INDIRECT(Equipo!$E$4&amp;"!"&amp;ADDRESS(10,COLUMN(I$9)+10)&amp;":"&amp;ADDRESS(1000,COLUMN(I$9)+10))),
SUMIF(INDIRECT(Equipo!$F$4&amp;"!B10:B1000"),$B77,INDIRECT(Equipo!$F$4&amp;"!"&amp;ADDRESS(10,COLUMN(I$9)+10)&amp;":"&amp;ADDRESS(1000,COLUMN(I$9)+10))),
SUMIF(INDIRECT(Equipo!$G$4&amp;"!B10:B1000"),$B77,INDIRECT(Equipo!$G$4&amp;"!"&amp;ADDRESS(10,COLUMN(I$9)+10)&amp;":"&amp;ADDRESS(1000,COLUMN(I$9)+10)))
))</f>
        <v>-</v>
      </c>
      <c r="J77" s="19" t="str">
        <f t="array" ref="J77">IF(ISBLANK(Tareas!$B73),"-",
SUM(
SUMIF(INDIRECT(Equipo!$C$4&amp;"!B10:B1000"),$B77,INDIRECT(Equipo!$C$4&amp;"!"&amp;ADDRESS(10,COLUMN(J$9)+10)&amp;":"&amp;ADDRESS(1000,COLUMN(J$9)+10))),
SUMIF(INDIRECT(Equipo!$D$4&amp;"!B10:B1000"),$B77,INDIRECT(Equipo!$D$4&amp;"!"&amp;ADDRESS(10,COLUMN(J$9)+10)&amp;":"&amp;ADDRESS(1000,COLUMN(J$9)+10))),
SUMIF(INDIRECT(Equipo!$E$4&amp;"!B10:B1000"),$B77,INDIRECT(Equipo!$E$4&amp;"!"&amp;ADDRESS(10,COLUMN(J$9)+10)&amp;":"&amp;ADDRESS(1000,COLUMN(J$9)+10))),
SUMIF(INDIRECT(Equipo!$F$4&amp;"!B10:B1000"),$B77,INDIRECT(Equipo!$F$4&amp;"!"&amp;ADDRESS(10,COLUMN(J$9)+10)&amp;":"&amp;ADDRESS(1000,COLUMN(J$9)+10))),
SUMIF(INDIRECT(Equipo!$G$4&amp;"!B10:B1000"),$B77,INDIRECT(Equipo!$G$4&amp;"!"&amp;ADDRESS(10,COLUMN(J$9)+10)&amp;":"&amp;ADDRESS(1000,COLUMN(J$9)+10)))
))</f>
        <v>-</v>
      </c>
      <c r="K77" s="19" t="str">
        <f t="array" ref="K77">IF(ISBLANK(Tareas!$B73),"-",
SUM(
SUMIF(INDIRECT(Equipo!$C$4&amp;"!B10:B1000"),$B77,INDIRECT(Equipo!$C$4&amp;"!"&amp;ADDRESS(10,COLUMN(K$9)+10)&amp;":"&amp;ADDRESS(1000,COLUMN(K$9)+10))),
SUMIF(INDIRECT(Equipo!$D$4&amp;"!B10:B1000"),$B77,INDIRECT(Equipo!$D$4&amp;"!"&amp;ADDRESS(10,COLUMN(K$9)+10)&amp;":"&amp;ADDRESS(1000,COLUMN(K$9)+10))),
SUMIF(INDIRECT(Equipo!$E$4&amp;"!B10:B1000"),$B77,INDIRECT(Equipo!$E$4&amp;"!"&amp;ADDRESS(10,COLUMN(K$9)+10)&amp;":"&amp;ADDRESS(1000,COLUMN(K$9)+10))),
SUMIF(INDIRECT(Equipo!$F$4&amp;"!B10:B1000"),$B77,INDIRECT(Equipo!$F$4&amp;"!"&amp;ADDRESS(10,COLUMN(K$9)+10)&amp;":"&amp;ADDRESS(1000,COLUMN(K$9)+10))),
SUMIF(INDIRECT(Equipo!$G$4&amp;"!B10:B1000"),$B77,INDIRECT(Equipo!$G$4&amp;"!"&amp;ADDRESS(10,COLUMN(K$9)+10)&amp;":"&amp;ADDRESS(1000,COLUMN(K$9)+10)))
))</f>
        <v>-</v>
      </c>
    </row>
    <row r="78" ht="15.75" customHeight="1">
      <c r="B78" s="1" t="str">
        <f>IF(ISBLANK(Tareas!B74)," - ",Tareas!B74)</f>
        <v> - </v>
      </c>
      <c r="C78" s="19" t="str">
        <f>IF(ISBLANK(Tareas!$B74),"-",SUM(D78:K78))</f>
        <v>-</v>
      </c>
      <c r="D78" s="19" t="str">
        <f t="array" ref="D78">IF(ISBLANK(Tareas!$B74),"-",
SUM(
SUMIF(INDIRECT(Equipo!$C$4&amp;"!B10:B1000"),$B78,INDIRECT(Equipo!$C$4&amp;"!"&amp;ADDRESS(10,COLUMN(D$9)+10)&amp;":"&amp;ADDRESS(1000,COLUMN(D$9)+10))),
SUMIF(INDIRECT(Equipo!$D$4&amp;"!B10:B1000"),$B78,INDIRECT(Equipo!$D$4&amp;"!"&amp;ADDRESS(10,COLUMN(D$9)+10)&amp;":"&amp;ADDRESS(1000,COLUMN(D$9)+10))),
SUMIF(INDIRECT(Equipo!$E$4&amp;"!B10:B1000"),$B78,INDIRECT(Equipo!$E$4&amp;"!"&amp;ADDRESS(10,COLUMN(D$9)+10)&amp;":"&amp;ADDRESS(1000,COLUMN(D$9)+10))),
SUMIF(INDIRECT(Equipo!$F$4&amp;"!B10:B1000"),$B78,INDIRECT(Equipo!$F$4&amp;"!"&amp;ADDRESS(10,COLUMN(D$9)+10)&amp;":"&amp;ADDRESS(1000,COLUMN(D$9)+10))),
SUMIF(INDIRECT(Equipo!$G$4&amp;"!B10:B1000"),$B78,INDIRECT(Equipo!$G$4&amp;"!"&amp;ADDRESS(10,COLUMN(D$9)+10)&amp;":"&amp;ADDRESS(1000,COLUMN(D$9)+10)))
))</f>
        <v>-</v>
      </c>
      <c r="E78" s="19" t="str">
        <f t="array" ref="E78">IF(ISBLANK(Tareas!$B74),"-",
SUM(
SUMIF(INDIRECT(Equipo!$C$4&amp;"!B10:B1000"),$B78,INDIRECT(Equipo!$C$4&amp;"!"&amp;ADDRESS(10,COLUMN(E$9)+10)&amp;":"&amp;ADDRESS(1000,COLUMN(E$9)+10))),
SUMIF(INDIRECT(Equipo!$D$4&amp;"!B10:B1000"),$B78,INDIRECT(Equipo!$D$4&amp;"!"&amp;ADDRESS(10,COLUMN(E$9)+10)&amp;":"&amp;ADDRESS(1000,COLUMN(E$9)+10))),
SUMIF(INDIRECT(Equipo!$E$4&amp;"!B10:B1000"),$B78,INDIRECT(Equipo!$E$4&amp;"!"&amp;ADDRESS(10,COLUMN(E$9)+10)&amp;":"&amp;ADDRESS(1000,COLUMN(E$9)+10))),
SUMIF(INDIRECT(Equipo!$F$4&amp;"!B10:B1000"),$B78,INDIRECT(Equipo!$F$4&amp;"!"&amp;ADDRESS(10,COLUMN(E$9)+10)&amp;":"&amp;ADDRESS(1000,COLUMN(E$9)+10))),
SUMIF(INDIRECT(Equipo!$G$4&amp;"!B10:B1000"),$B78,INDIRECT(Equipo!$G$4&amp;"!"&amp;ADDRESS(10,COLUMN(E$9)+10)&amp;":"&amp;ADDRESS(1000,COLUMN(E$9)+10)))
))</f>
        <v>-</v>
      </c>
      <c r="F78" s="19" t="str">
        <f t="array" ref="F78">IF(ISBLANK(Tareas!$B74),"-",
SUM(
SUMIF(INDIRECT(Equipo!$C$4&amp;"!B10:B1000"),$B78,INDIRECT(Equipo!$C$4&amp;"!"&amp;ADDRESS(10,COLUMN(F$9)+10)&amp;":"&amp;ADDRESS(1000,COLUMN(F$9)+10))),
SUMIF(INDIRECT(Equipo!$D$4&amp;"!B10:B1000"),$B78,INDIRECT(Equipo!$D$4&amp;"!"&amp;ADDRESS(10,COLUMN(F$9)+10)&amp;":"&amp;ADDRESS(1000,COLUMN(F$9)+10))),
SUMIF(INDIRECT(Equipo!$E$4&amp;"!B10:B1000"),$B78,INDIRECT(Equipo!$E$4&amp;"!"&amp;ADDRESS(10,COLUMN(F$9)+10)&amp;":"&amp;ADDRESS(1000,COLUMN(F$9)+10))),
SUMIF(INDIRECT(Equipo!$F$4&amp;"!B10:B1000"),$B78,INDIRECT(Equipo!$F$4&amp;"!"&amp;ADDRESS(10,COLUMN(F$9)+10)&amp;":"&amp;ADDRESS(1000,COLUMN(F$9)+10))),
SUMIF(INDIRECT(Equipo!$G$4&amp;"!B10:B1000"),$B78,INDIRECT(Equipo!$G$4&amp;"!"&amp;ADDRESS(10,COLUMN(F$9)+10)&amp;":"&amp;ADDRESS(1000,COLUMN(F$9)+10)))
))</f>
        <v>-</v>
      </c>
      <c r="G78" s="19" t="str">
        <f t="array" ref="G78">IF(ISBLANK(Tareas!$B74),"-",
SUM(
SUMIF(INDIRECT(Equipo!$C$4&amp;"!B10:B1000"),$B78,INDIRECT(Equipo!$C$4&amp;"!"&amp;ADDRESS(10,COLUMN(G$9)+10)&amp;":"&amp;ADDRESS(1000,COLUMN(G$9)+10))),
SUMIF(INDIRECT(Equipo!$D$4&amp;"!B10:B1000"),$B78,INDIRECT(Equipo!$D$4&amp;"!"&amp;ADDRESS(10,COLUMN(G$9)+10)&amp;":"&amp;ADDRESS(1000,COLUMN(G$9)+10))),
SUMIF(INDIRECT(Equipo!$E$4&amp;"!B10:B1000"),$B78,INDIRECT(Equipo!$E$4&amp;"!"&amp;ADDRESS(10,COLUMN(G$9)+10)&amp;":"&amp;ADDRESS(1000,COLUMN(G$9)+10))),
SUMIF(INDIRECT(Equipo!$F$4&amp;"!B10:B1000"),$B78,INDIRECT(Equipo!$F$4&amp;"!"&amp;ADDRESS(10,COLUMN(G$9)+10)&amp;":"&amp;ADDRESS(1000,COLUMN(G$9)+10))),
SUMIF(INDIRECT(Equipo!$G$4&amp;"!B10:B1000"),$B78,INDIRECT(Equipo!$G$4&amp;"!"&amp;ADDRESS(10,COLUMN(G$9)+10)&amp;":"&amp;ADDRESS(1000,COLUMN(G$9)+10)))
))</f>
        <v>-</v>
      </c>
      <c r="H78" s="19" t="str">
        <f t="array" ref="H78">IF(ISBLANK(Tareas!$B74),"-",
SUM(
SUMIF(INDIRECT(Equipo!$C$4&amp;"!B10:B1000"),$B78,INDIRECT(Equipo!$C$4&amp;"!"&amp;ADDRESS(10,COLUMN(H$9)+10)&amp;":"&amp;ADDRESS(1000,COLUMN(H$9)+10))),
SUMIF(INDIRECT(Equipo!$D$4&amp;"!B10:B1000"),$B78,INDIRECT(Equipo!$D$4&amp;"!"&amp;ADDRESS(10,COLUMN(H$9)+10)&amp;":"&amp;ADDRESS(1000,COLUMN(H$9)+10))),
SUMIF(INDIRECT(Equipo!$E$4&amp;"!B10:B1000"),$B78,INDIRECT(Equipo!$E$4&amp;"!"&amp;ADDRESS(10,COLUMN(H$9)+10)&amp;":"&amp;ADDRESS(1000,COLUMN(H$9)+10))),
SUMIF(INDIRECT(Equipo!$F$4&amp;"!B10:B1000"),$B78,INDIRECT(Equipo!$F$4&amp;"!"&amp;ADDRESS(10,COLUMN(H$9)+10)&amp;":"&amp;ADDRESS(1000,COLUMN(H$9)+10))),
SUMIF(INDIRECT(Equipo!$G$4&amp;"!B10:B1000"),$B78,INDIRECT(Equipo!$G$4&amp;"!"&amp;ADDRESS(10,COLUMN(H$9)+10)&amp;":"&amp;ADDRESS(1000,COLUMN(H$9)+10)))
))</f>
        <v>-</v>
      </c>
      <c r="I78" s="19" t="str">
        <f t="array" ref="I78">IF(ISBLANK(Tareas!$B74),"-",
SUM(
SUMIF(INDIRECT(Equipo!$C$4&amp;"!B10:B1000"),$B78,INDIRECT(Equipo!$C$4&amp;"!"&amp;ADDRESS(10,COLUMN(I$9)+10)&amp;":"&amp;ADDRESS(1000,COLUMN(I$9)+10))),
SUMIF(INDIRECT(Equipo!$D$4&amp;"!B10:B1000"),$B78,INDIRECT(Equipo!$D$4&amp;"!"&amp;ADDRESS(10,COLUMN(I$9)+10)&amp;":"&amp;ADDRESS(1000,COLUMN(I$9)+10))),
SUMIF(INDIRECT(Equipo!$E$4&amp;"!B10:B1000"),$B78,INDIRECT(Equipo!$E$4&amp;"!"&amp;ADDRESS(10,COLUMN(I$9)+10)&amp;":"&amp;ADDRESS(1000,COLUMN(I$9)+10))),
SUMIF(INDIRECT(Equipo!$F$4&amp;"!B10:B1000"),$B78,INDIRECT(Equipo!$F$4&amp;"!"&amp;ADDRESS(10,COLUMN(I$9)+10)&amp;":"&amp;ADDRESS(1000,COLUMN(I$9)+10))),
SUMIF(INDIRECT(Equipo!$G$4&amp;"!B10:B1000"),$B78,INDIRECT(Equipo!$G$4&amp;"!"&amp;ADDRESS(10,COLUMN(I$9)+10)&amp;":"&amp;ADDRESS(1000,COLUMN(I$9)+10)))
))</f>
        <v>-</v>
      </c>
      <c r="J78" s="19" t="str">
        <f t="array" ref="J78">IF(ISBLANK(Tareas!$B74),"-",
SUM(
SUMIF(INDIRECT(Equipo!$C$4&amp;"!B10:B1000"),$B78,INDIRECT(Equipo!$C$4&amp;"!"&amp;ADDRESS(10,COLUMN(J$9)+10)&amp;":"&amp;ADDRESS(1000,COLUMN(J$9)+10))),
SUMIF(INDIRECT(Equipo!$D$4&amp;"!B10:B1000"),$B78,INDIRECT(Equipo!$D$4&amp;"!"&amp;ADDRESS(10,COLUMN(J$9)+10)&amp;":"&amp;ADDRESS(1000,COLUMN(J$9)+10))),
SUMIF(INDIRECT(Equipo!$E$4&amp;"!B10:B1000"),$B78,INDIRECT(Equipo!$E$4&amp;"!"&amp;ADDRESS(10,COLUMN(J$9)+10)&amp;":"&amp;ADDRESS(1000,COLUMN(J$9)+10))),
SUMIF(INDIRECT(Equipo!$F$4&amp;"!B10:B1000"),$B78,INDIRECT(Equipo!$F$4&amp;"!"&amp;ADDRESS(10,COLUMN(J$9)+10)&amp;":"&amp;ADDRESS(1000,COLUMN(J$9)+10))),
SUMIF(INDIRECT(Equipo!$G$4&amp;"!B10:B1000"),$B78,INDIRECT(Equipo!$G$4&amp;"!"&amp;ADDRESS(10,COLUMN(J$9)+10)&amp;":"&amp;ADDRESS(1000,COLUMN(J$9)+10)))
))</f>
        <v>-</v>
      </c>
      <c r="K78" s="19" t="str">
        <f t="array" ref="K78">IF(ISBLANK(Tareas!$B74),"-",
SUM(
SUMIF(INDIRECT(Equipo!$C$4&amp;"!B10:B1000"),$B78,INDIRECT(Equipo!$C$4&amp;"!"&amp;ADDRESS(10,COLUMN(K$9)+10)&amp;":"&amp;ADDRESS(1000,COLUMN(K$9)+10))),
SUMIF(INDIRECT(Equipo!$D$4&amp;"!B10:B1000"),$B78,INDIRECT(Equipo!$D$4&amp;"!"&amp;ADDRESS(10,COLUMN(K$9)+10)&amp;":"&amp;ADDRESS(1000,COLUMN(K$9)+10))),
SUMIF(INDIRECT(Equipo!$E$4&amp;"!B10:B1000"),$B78,INDIRECT(Equipo!$E$4&amp;"!"&amp;ADDRESS(10,COLUMN(K$9)+10)&amp;":"&amp;ADDRESS(1000,COLUMN(K$9)+10))),
SUMIF(INDIRECT(Equipo!$F$4&amp;"!B10:B1000"),$B78,INDIRECT(Equipo!$F$4&amp;"!"&amp;ADDRESS(10,COLUMN(K$9)+10)&amp;":"&amp;ADDRESS(1000,COLUMN(K$9)+10))),
SUMIF(INDIRECT(Equipo!$G$4&amp;"!B10:B1000"),$B78,INDIRECT(Equipo!$G$4&amp;"!"&amp;ADDRESS(10,COLUMN(K$9)+10)&amp;":"&amp;ADDRESS(1000,COLUMN(K$9)+10)))
))</f>
        <v>-</v>
      </c>
    </row>
    <row r="79" ht="15.75" customHeight="1">
      <c r="B79" s="1" t="str">
        <f>IF(ISBLANK(Tareas!B75)," - ",Tareas!B75)</f>
        <v> - </v>
      </c>
      <c r="C79" s="19" t="str">
        <f>IF(ISBLANK(Tareas!$B75),"-",SUM(D79:K79))</f>
        <v>-</v>
      </c>
      <c r="D79" s="19" t="str">
        <f t="array" ref="D79">IF(ISBLANK(Tareas!$B75),"-",
SUM(
SUMIF(INDIRECT(Equipo!$C$4&amp;"!B10:B1000"),$B79,INDIRECT(Equipo!$C$4&amp;"!"&amp;ADDRESS(10,COLUMN(D$9)+10)&amp;":"&amp;ADDRESS(1000,COLUMN(D$9)+10))),
SUMIF(INDIRECT(Equipo!$D$4&amp;"!B10:B1000"),$B79,INDIRECT(Equipo!$D$4&amp;"!"&amp;ADDRESS(10,COLUMN(D$9)+10)&amp;":"&amp;ADDRESS(1000,COLUMN(D$9)+10))),
SUMIF(INDIRECT(Equipo!$E$4&amp;"!B10:B1000"),$B79,INDIRECT(Equipo!$E$4&amp;"!"&amp;ADDRESS(10,COLUMN(D$9)+10)&amp;":"&amp;ADDRESS(1000,COLUMN(D$9)+10))),
SUMIF(INDIRECT(Equipo!$F$4&amp;"!B10:B1000"),$B79,INDIRECT(Equipo!$F$4&amp;"!"&amp;ADDRESS(10,COLUMN(D$9)+10)&amp;":"&amp;ADDRESS(1000,COLUMN(D$9)+10))),
SUMIF(INDIRECT(Equipo!$G$4&amp;"!B10:B1000"),$B79,INDIRECT(Equipo!$G$4&amp;"!"&amp;ADDRESS(10,COLUMN(D$9)+10)&amp;":"&amp;ADDRESS(1000,COLUMN(D$9)+10)))
))</f>
        <v>-</v>
      </c>
      <c r="E79" s="19" t="str">
        <f t="array" ref="E79">IF(ISBLANK(Tareas!$B75),"-",
SUM(
SUMIF(INDIRECT(Equipo!$C$4&amp;"!B10:B1000"),$B79,INDIRECT(Equipo!$C$4&amp;"!"&amp;ADDRESS(10,COLUMN(E$9)+10)&amp;":"&amp;ADDRESS(1000,COLUMN(E$9)+10))),
SUMIF(INDIRECT(Equipo!$D$4&amp;"!B10:B1000"),$B79,INDIRECT(Equipo!$D$4&amp;"!"&amp;ADDRESS(10,COLUMN(E$9)+10)&amp;":"&amp;ADDRESS(1000,COLUMN(E$9)+10))),
SUMIF(INDIRECT(Equipo!$E$4&amp;"!B10:B1000"),$B79,INDIRECT(Equipo!$E$4&amp;"!"&amp;ADDRESS(10,COLUMN(E$9)+10)&amp;":"&amp;ADDRESS(1000,COLUMN(E$9)+10))),
SUMIF(INDIRECT(Equipo!$F$4&amp;"!B10:B1000"),$B79,INDIRECT(Equipo!$F$4&amp;"!"&amp;ADDRESS(10,COLUMN(E$9)+10)&amp;":"&amp;ADDRESS(1000,COLUMN(E$9)+10))),
SUMIF(INDIRECT(Equipo!$G$4&amp;"!B10:B1000"),$B79,INDIRECT(Equipo!$G$4&amp;"!"&amp;ADDRESS(10,COLUMN(E$9)+10)&amp;":"&amp;ADDRESS(1000,COLUMN(E$9)+10)))
))</f>
        <v>-</v>
      </c>
      <c r="F79" s="19" t="str">
        <f t="array" ref="F79">IF(ISBLANK(Tareas!$B75),"-",
SUM(
SUMIF(INDIRECT(Equipo!$C$4&amp;"!B10:B1000"),$B79,INDIRECT(Equipo!$C$4&amp;"!"&amp;ADDRESS(10,COLUMN(F$9)+10)&amp;":"&amp;ADDRESS(1000,COLUMN(F$9)+10))),
SUMIF(INDIRECT(Equipo!$D$4&amp;"!B10:B1000"),$B79,INDIRECT(Equipo!$D$4&amp;"!"&amp;ADDRESS(10,COLUMN(F$9)+10)&amp;":"&amp;ADDRESS(1000,COLUMN(F$9)+10))),
SUMIF(INDIRECT(Equipo!$E$4&amp;"!B10:B1000"),$B79,INDIRECT(Equipo!$E$4&amp;"!"&amp;ADDRESS(10,COLUMN(F$9)+10)&amp;":"&amp;ADDRESS(1000,COLUMN(F$9)+10))),
SUMIF(INDIRECT(Equipo!$F$4&amp;"!B10:B1000"),$B79,INDIRECT(Equipo!$F$4&amp;"!"&amp;ADDRESS(10,COLUMN(F$9)+10)&amp;":"&amp;ADDRESS(1000,COLUMN(F$9)+10))),
SUMIF(INDIRECT(Equipo!$G$4&amp;"!B10:B1000"),$B79,INDIRECT(Equipo!$G$4&amp;"!"&amp;ADDRESS(10,COLUMN(F$9)+10)&amp;":"&amp;ADDRESS(1000,COLUMN(F$9)+10)))
))</f>
        <v>-</v>
      </c>
      <c r="G79" s="19" t="str">
        <f t="array" ref="G79">IF(ISBLANK(Tareas!$B75),"-",
SUM(
SUMIF(INDIRECT(Equipo!$C$4&amp;"!B10:B1000"),$B79,INDIRECT(Equipo!$C$4&amp;"!"&amp;ADDRESS(10,COLUMN(G$9)+10)&amp;":"&amp;ADDRESS(1000,COLUMN(G$9)+10))),
SUMIF(INDIRECT(Equipo!$D$4&amp;"!B10:B1000"),$B79,INDIRECT(Equipo!$D$4&amp;"!"&amp;ADDRESS(10,COLUMN(G$9)+10)&amp;":"&amp;ADDRESS(1000,COLUMN(G$9)+10))),
SUMIF(INDIRECT(Equipo!$E$4&amp;"!B10:B1000"),$B79,INDIRECT(Equipo!$E$4&amp;"!"&amp;ADDRESS(10,COLUMN(G$9)+10)&amp;":"&amp;ADDRESS(1000,COLUMN(G$9)+10))),
SUMIF(INDIRECT(Equipo!$F$4&amp;"!B10:B1000"),$B79,INDIRECT(Equipo!$F$4&amp;"!"&amp;ADDRESS(10,COLUMN(G$9)+10)&amp;":"&amp;ADDRESS(1000,COLUMN(G$9)+10))),
SUMIF(INDIRECT(Equipo!$G$4&amp;"!B10:B1000"),$B79,INDIRECT(Equipo!$G$4&amp;"!"&amp;ADDRESS(10,COLUMN(G$9)+10)&amp;":"&amp;ADDRESS(1000,COLUMN(G$9)+10)))
))</f>
        <v>-</v>
      </c>
      <c r="H79" s="19" t="str">
        <f t="array" ref="H79">IF(ISBLANK(Tareas!$B75),"-",
SUM(
SUMIF(INDIRECT(Equipo!$C$4&amp;"!B10:B1000"),$B79,INDIRECT(Equipo!$C$4&amp;"!"&amp;ADDRESS(10,COLUMN(H$9)+10)&amp;":"&amp;ADDRESS(1000,COLUMN(H$9)+10))),
SUMIF(INDIRECT(Equipo!$D$4&amp;"!B10:B1000"),$B79,INDIRECT(Equipo!$D$4&amp;"!"&amp;ADDRESS(10,COLUMN(H$9)+10)&amp;":"&amp;ADDRESS(1000,COLUMN(H$9)+10))),
SUMIF(INDIRECT(Equipo!$E$4&amp;"!B10:B1000"),$B79,INDIRECT(Equipo!$E$4&amp;"!"&amp;ADDRESS(10,COLUMN(H$9)+10)&amp;":"&amp;ADDRESS(1000,COLUMN(H$9)+10))),
SUMIF(INDIRECT(Equipo!$F$4&amp;"!B10:B1000"),$B79,INDIRECT(Equipo!$F$4&amp;"!"&amp;ADDRESS(10,COLUMN(H$9)+10)&amp;":"&amp;ADDRESS(1000,COLUMN(H$9)+10))),
SUMIF(INDIRECT(Equipo!$G$4&amp;"!B10:B1000"),$B79,INDIRECT(Equipo!$G$4&amp;"!"&amp;ADDRESS(10,COLUMN(H$9)+10)&amp;":"&amp;ADDRESS(1000,COLUMN(H$9)+10)))
))</f>
        <v>-</v>
      </c>
      <c r="I79" s="19" t="str">
        <f t="array" ref="I79">IF(ISBLANK(Tareas!$B75),"-",
SUM(
SUMIF(INDIRECT(Equipo!$C$4&amp;"!B10:B1000"),$B79,INDIRECT(Equipo!$C$4&amp;"!"&amp;ADDRESS(10,COLUMN(I$9)+10)&amp;":"&amp;ADDRESS(1000,COLUMN(I$9)+10))),
SUMIF(INDIRECT(Equipo!$D$4&amp;"!B10:B1000"),$B79,INDIRECT(Equipo!$D$4&amp;"!"&amp;ADDRESS(10,COLUMN(I$9)+10)&amp;":"&amp;ADDRESS(1000,COLUMN(I$9)+10))),
SUMIF(INDIRECT(Equipo!$E$4&amp;"!B10:B1000"),$B79,INDIRECT(Equipo!$E$4&amp;"!"&amp;ADDRESS(10,COLUMN(I$9)+10)&amp;":"&amp;ADDRESS(1000,COLUMN(I$9)+10))),
SUMIF(INDIRECT(Equipo!$F$4&amp;"!B10:B1000"),$B79,INDIRECT(Equipo!$F$4&amp;"!"&amp;ADDRESS(10,COLUMN(I$9)+10)&amp;":"&amp;ADDRESS(1000,COLUMN(I$9)+10))),
SUMIF(INDIRECT(Equipo!$G$4&amp;"!B10:B1000"),$B79,INDIRECT(Equipo!$G$4&amp;"!"&amp;ADDRESS(10,COLUMN(I$9)+10)&amp;":"&amp;ADDRESS(1000,COLUMN(I$9)+10)))
))</f>
        <v>-</v>
      </c>
      <c r="J79" s="19" t="str">
        <f t="array" ref="J79">IF(ISBLANK(Tareas!$B75),"-",
SUM(
SUMIF(INDIRECT(Equipo!$C$4&amp;"!B10:B1000"),$B79,INDIRECT(Equipo!$C$4&amp;"!"&amp;ADDRESS(10,COLUMN(J$9)+10)&amp;":"&amp;ADDRESS(1000,COLUMN(J$9)+10))),
SUMIF(INDIRECT(Equipo!$D$4&amp;"!B10:B1000"),$B79,INDIRECT(Equipo!$D$4&amp;"!"&amp;ADDRESS(10,COLUMN(J$9)+10)&amp;":"&amp;ADDRESS(1000,COLUMN(J$9)+10))),
SUMIF(INDIRECT(Equipo!$E$4&amp;"!B10:B1000"),$B79,INDIRECT(Equipo!$E$4&amp;"!"&amp;ADDRESS(10,COLUMN(J$9)+10)&amp;":"&amp;ADDRESS(1000,COLUMN(J$9)+10))),
SUMIF(INDIRECT(Equipo!$F$4&amp;"!B10:B1000"),$B79,INDIRECT(Equipo!$F$4&amp;"!"&amp;ADDRESS(10,COLUMN(J$9)+10)&amp;":"&amp;ADDRESS(1000,COLUMN(J$9)+10))),
SUMIF(INDIRECT(Equipo!$G$4&amp;"!B10:B1000"),$B79,INDIRECT(Equipo!$G$4&amp;"!"&amp;ADDRESS(10,COLUMN(J$9)+10)&amp;":"&amp;ADDRESS(1000,COLUMN(J$9)+10)))
))</f>
        <v>-</v>
      </c>
      <c r="K79" s="19" t="str">
        <f t="array" ref="K79">IF(ISBLANK(Tareas!$B75),"-",
SUM(
SUMIF(INDIRECT(Equipo!$C$4&amp;"!B10:B1000"),$B79,INDIRECT(Equipo!$C$4&amp;"!"&amp;ADDRESS(10,COLUMN(K$9)+10)&amp;":"&amp;ADDRESS(1000,COLUMN(K$9)+10))),
SUMIF(INDIRECT(Equipo!$D$4&amp;"!B10:B1000"),$B79,INDIRECT(Equipo!$D$4&amp;"!"&amp;ADDRESS(10,COLUMN(K$9)+10)&amp;":"&amp;ADDRESS(1000,COLUMN(K$9)+10))),
SUMIF(INDIRECT(Equipo!$E$4&amp;"!B10:B1000"),$B79,INDIRECT(Equipo!$E$4&amp;"!"&amp;ADDRESS(10,COLUMN(K$9)+10)&amp;":"&amp;ADDRESS(1000,COLUMN(K$9)+10))),
SUMIF(INDIRECT(Equipo!$F$4&amp;"!B10:B1000"),$B79,INDIRECT(Equipo!$F$4&amp;"!"&amp;ADDRESS(10,COLUMN(K$9)+10)&amp;":"&amp;ADDRESS(1000,COLUMN(K$9)+10))),
SUMIF(INDIRECT(Equipo!$G$4&amp;"!B10:B1000"),$B79,INDIRECT(Equipo!$G$4&amp;"!"&amp;ADDRESS(10,COLUMN(K$9)+10)&amp;":"&amp;ADDRESS(1000,COLUMN(K$9)+10)))
))</f>
        <v>-</v>
      </c>
    </row>
    <row r="80" ht="15.75" customHeight="1">
      <c r="B80" s="1" t="str">
        <f>IF(ISBLANK(Tareas!B76)," - ",Tareas!B76)</f>
        <v> - </v>
      </c>
      <c r="C80" s="19" t="str">
        <f>IF(ISBLANK(Tareas!$B76),"-",SUM(D80:K80))</f>
        <v>-</v>
      </c>
      <c r="D80" s="19" t="str">
        <f t="array" ref="D80">IF(ISBLANK(Tareas!$B76),"-",
SUM(
SUMIF(INDIRECT(Equipo!$C$4&amp;"!B10:B1000"),$B80,INDIRECT(Equipo!$C$4&amp;"!"&amp;ADDRESS(10,COLUMN(D$9)+10)&amp;":"&amp;ADDRESS(1000,COLUMN(D$9)+10))),
SUMIF(INDIRECT(Equipo!$D$4&amp;"!B10:B1000"),$B80,INDIRECT(Equipo!$D$4&amp;"!"&amp;ADDRESS(10,COLUMN(D$9)+10)&amp;":"&amp;ADDRESS(1000,COLUMN(D$9)+10))),
SUMIF(INDIRECT(Equipo!$E$4&amp;"!B10:B1000"),$B80,INDIRECT(Equipo!$E$4&amp;"!"&amp;ADDRESS(10,COLUMN(D$9)+10)&amp;":"&amp;ADDRESS(1000,COLUMN(D$9)+10))),
SUMIF(INDIRECT(Equipo!$F$4&amp;"!B10:B1000"),$B80,INDIRECT(Equipo!$F$4&amp;"!"&amp;ADDRESS(10,COLUMN(D$9)+10)&amp;":"&amp;ADDRESS(1000,COLUMN(D$9)+10))),
SUMIF(INDIRECT(Equipo!$G$4&amp;"!B10:B1000"),$B80,INDIRECT(Equipo!$G$4&amp;"!"&amp;ADDRESS(10,COLUMN(D$9)+10)&amp;":"&amp;ADDRESS(1000,COLUMN(D$9)+10)))
))</f>
        <v>-</v>
      </c>
      <c r="E80" s="19" t="str">
        <f t="array" ref="E80">IF(ISBLANK(Tareas!$B76),"-",
SUM(
SUMIF(INDIRECT(Equipo!$C$4&amp;"!B10:B1000"),$B80,INDIRECT(Equipo!$C$4&amp;"!"&amp;ADDRESS(10,COLUMN(E$9)+10)&amp;":"&amp;ADDRESS(1000,COLUMN(E$9)+10))),
SUMIF(INDIRECT(Equipo!$D$4&amp;"!B10:B1000"),$B80,INDIRECT(Equipo!$D$4&amp;"!"&amp;ADDRESS(10,COLUMN(E$9)+10)&amp;":"&amp;ADDRESS(1000,COLUMN(E$9)+10))),
SUMIF(INDIRECT(Equipo!$E$4&amp;"!B10:B1000"),$B80,INDIRECT(Equipo!$E$4&amp;"!"&amp;ADDRESS(10,COLUMN(E$9)+10)&amp;":"&amp;ADDRESS(1000,COLUMN(E$9)+10))),
SUMIF(INDIRECT(Equipo!$F$4&amp;"!B10:B1000"),$B80,INDIRECT(Equipo!$F$4&amp;"!"&amp;ADDRESS(10,COLUMN(E$9)+10)&amp;":"&amp;ADDRESS(1000,COLUMN(E$9)+10))),
SUMIF(INDIRECT(Equipo!$G$4&amp;"!B10:B1000"),$B80,INDIRECT(Equipo!$G$4&amp;"!"&amp;ADDRESS(10,COLUMN(E$9)+10)&amp;":"&amp;ADDRESS(1000,COLUMN(E$9)+10)))
))</f>
        <v>-</v>
      </c>
      <c r="F80" s="19" t="str">
        <f t="array" ref="F80">IF(ISBLANK(Tareas!$B76),"-",
SUM(
SUMIF(INDIRECT(Equipo!$C$4&amp;"!B10:B1000"),$B80,INDIRECT(Equipo!$C$4&amp;"!"&amp;ADDRESS(10,COLUMN(F$9)+10)&amp;":"&amp;ADDRESS(1000,COLUMN(F$9)+10))),
SUMIF(INDIRECT(Equipo!$D$4&amp;"!B10:B1000"),$B80,INDIRECT(Equipo!$D$4&amp;"!"&amp;ADDRESS(10,COLUMN(F$9)+10)&amp;":"&amp;ADDRESS(1000,COLUMN(F$9)+10))),
SUMIF(INDIRECT(Equipo!$E$4&amp;"!B10:B1000"),$B80,INDIRECT(Equipo!$E$4&amp;"!"&amp;ADDRESS(10,COLUMN(F$9)+10)&amp;":"&amp;ADDRESS(1000,COLUMN(F$9)+10))),
SUMIF(INDIRECT(Equipo!$F$4&amp;"!B10:B1000"),$B80,INDIRECT(Equipo!$F$4&amp;"!"&amp;ADDRESS(10,COLUMN(F$9)+10)&amp;":"&amp;ADDRESS(1000,COLUMN(F$9)+10))),
SUMIF(INDIRECT(Equipo!$G$4&amp;"!B10:B1000"),$B80,INDIRECT(Equipo!$G$4&amp;"!"&amp;ADDRESS(10,COLUMN(F$9)+10)&amp;":"&amp;ADDRESS(1000,COLUMN(F$9)+10)))
))</f>
        <v>-</v>
      </c>
      <c r="G80" s="19" t="str">
        <f t="array" ref="G80">IF(ISBLANK(Tareas!$B76),"-",
SUM(
SUMIF(INDIRECT(Equipo!$C$4&amp;"!B10:B1000"),$B80,INDIRECT(Equipo!$C$4&amp;"!"&amp;ADDRESS(10,COLUMN(G$9)+10)&amp;":"&amp;ADDRESS(1000,COLUMN(G$9)+10))),
SUMIF(INDIRECT(Equipo!$D$4&amp;"!B10:B1000"),$B80,INDIRECT(Equipo!$D$4&amp;"!"&amp;ADDRESS(10,COLUMN(G$9)+10)&amp;":"&amp;ADDRESS(1000,COLUMN(G$9)+10))),
SUMIF(INDIRECT(Equipo!$E$4&amp;"!B10:B1000"),$B80,INDIRECT(Equipo!$E$4&amp;"!"&amp;ADDRESS(10,COLUMN(G$9)+10)&amp;":"&amp;ADDRESS(1000,COLUMN(G$9)+10))),
SUMIF(INDIRECT(Equipo!$F$4&amp;"!B10:B1000"),$B80,INDIRECT(Equipo!$F$4&amp;"!"&amp;ADDRESS(10,COLUMN(G$9)+10)&amp;":"&amp;ADDRESS(1000,COLUMN(G$9)+10))),
SUMIF(INDIRECT(Equipo!$G$4&amp;"!B10:B1000"),$B80,INDIRECT(Equipo!$G$4&amp;"!"&amp;ADDRESS(10,COLUMN(G$9)+10)&amp;":"&amp;ADDRESS(1000,COLUMN(G$9)+10)))
))</f>
        <v>-</v>
      </c>
      <c r="H80" s="19" t="str">
        <f t="array" ref="H80">IF(ISBLANK(Tareas!$B76),"-",
SUM(
SUMIF(INDIRECT(Equipo!$C$4&amp;"!B10:B1000"),$B80,INDIRECT(Equipo!$C$4&amp;"!"&amp;ADDRESS(10,COLUMN(H$9)+10)&amp;":"&amp;ADDRESS(1000,COLUMN(H$9)+10))),
SUMIF(INDIRECT(Equipo!$D$4&amp;"!B10:B1000"),$B80,INDIRECT(Equipo!$D$4&amp;"!"&amp;ADDRESS(10,COLUMN(H$9)+10)&amp;":"&amp;ADDRESS(1000,COLUMN(H$9)+10))),
SUMIF(INDIRECT(Equipo!$E$4&amp;"!B10:B1000"),$B80,INDIRECT(Equipo!$E$4&amp;"!"&amp;ADDRESS(10,COLUMN(H$9)+10)&amp;":"&amp;ADDRESS(1000,COLUMN(H$9)+10))),
SUMIF(INDIRECT(Equipo!$F$4&amp;"!B10:B1000"),$B80,INDIRECT(Equipo!$F$4&amp;"!"&amp;ADDRESS(10,COLUMN(H$9)+10)&amp;":"&amp;ADDRESS(1000,COLUMN(H$9)+10))),
SUMIF(INDIRECT(Equipo!$G$4&amp;"!B10:B1000"),$B80,INDIRECT(Equipo!$G$4&amp;"!"&amp;ADDRESS(10,COLUMN(H$9)+10)&amp;":"&amp;ADDRESS(1000,COLUMN(H$9)+10)))
))</f>
        <v>-</v>
      </c>
      <c r="I80" s="19" t="str">
        <f t="array" ref="I80">IF(ISBLANK(Tareas!$B76),"-",
SUM(
SUMIF(INDIRECT(Equipo!$C$4&amp;"!B10:B1000"),$B80,INDIRECT(Equipo!$C$4&amp;"!"&amp;ADDRESS(10,COLUMN(I$9)+10)&amp;":"&amp;ADDRESS(1000,COLUMN(I$9)+10))),
SUMIF(INDIRECT(Equipo!$D$4&amp;"!B10:B1000"),$B80,INDIRECT(Equipo!$D$4&amp;"!"&amp;ADDRESS(10,COLUMN(I$9)+10)&amp;":"&amp;ADDRESS(1000,COLUMN(I$9)+10))),
SUMIF(INDIRECT(Equipo!$E$4&amp;"!B10:B1000"),$B80,INDIRECT(Equipo!$E$4&amp;"!"&amp;ADDRESS(10,COLUMN(I$9)+10)&amp;":"&amp;ADDRESS(1000,COLUMN(I$9)+10))),
SUMIF(INDIRECT(Equipo!$F$4&amp;"!B10:B1000"),$B80,INDIRECT(Equipo!$F$4&amp;"!"&amp;ADDRESS(10,COLUMN(I$9)+10)&amp;":"&amp;ADDRESS(1000,COLUMN(I$9)+10))),
SUMIF(INDIRECT(Equipo!$G$4&amp;"!B10:B1000"),$B80,INDIRECT(Equipo!$G$4&amp;"!"&amp;ADDRESS(10,COLUMN(I$9)+10)&amp;":"&amp;ADDRESS(1000,COLUMN(I$9)+10)))
))</f>
        <v>-</v>
      </c>
      <c r="J80" s="19" t="str">
        <f t="array" ref="J80">IF(ISBLANK(Tareas!$B76),"-",
SUM(
SUMIF(INDIRECT(Equipo!$C$4&amp;"!B10:B1000"),$B80,INDIRECT(Equipo!$C$4&amp;"!"&amp;ADDRESS(10,COLUMN(J$9)+10)&amp;":"&amp;ADDRESS(1000,COLUMN(J$9)+10))),
SUMIF(INDIRECT(Equipo!$D$4&amp;"!B10:B1000"),$B80,INDIRECT(Equipo!$D$4&amp;"!"&amp;ADDRESS(10,COLUMN(J$9)+10)&amp;":"&amp;ADDRESS(1000,COLUMN(J$9)+10))),
SUMIF(INDIRECT(Equipo!$E$4&amp;"!B10:B1000"),$B80,INDIRECT(Equipo!$E$4&amp;"!"&amp;ADDRESS(10,COLUMN(J$9)+10)&amp;":"&amp;ADDRESS(1000,COLUMN(J$9)+10))),
SUMIF(INDIRECT(Equipo!$F$4&amp;"!B10:B1000"),$B80,INDIRECT(Equipo!$F$4&amp;"!"&amp;ADDRESS(10,COLUMN(J$9)+10)&amp;":"&amp;ADDRESS(1000,COLUMN(J$9)+10))),
SUMIF(INDIRECT(Equipo!$G$4&amp;"!B10:B1000"),$B80,INDIRECT(Equipo!$G$4&amp;"!"&amp;ADDRESS(10,COLUMN(J$9)+10)&amp;":"&amp;ADDRESS(1000,COLUMN(J$9)+10)))
))</f>
        <v>-</v>
      </c>
      <c r="K80" s="19" t="str">
        <f t="array" ref="K80">IF(ISBLANK(Tareas!$B76),"-",
SUM(
SUMIF(INDIRECT(Equipo!$C$4&amp;"!B10:B1000"),$B80,INDIRECT(Equipo!$C$4&amp;"!"&amp;ADDRESS(10,COLUMN(K$9)+10)&amp;":"&amp;ADDRESS(1000,COLUMN(K$9)+10))),
SUMIF(INDIRECT(Equipo!$D$4&amp;"!B10:B1000"),$B80,INDIRECT(Equipo!$D$4&amp;"!"&amp;ADDRESS(10,COLUMN(K$9)+10)&amp;":"&amp;ADDRESS(1000,COLUMN(K$9)+10))),
SUMIF(INDIRECT(Equipo!$E$4&amp;"!B10:B1000"),$B80,INDIRECT(Equipo!$E$4&amp;"!"&amp;ADDRESS(10,COLUMN(K$9)+10)&amp;":"&amp;ADDRESS(1000,COLUMN(K$9)+10))),
SUMIF(INDIRECT(Equipo!$F$4&amp;"!B10:B1000"),$B80,INDIRECT(Equipo!$F$4&amp;"!"&amp;ADDRESS(10,COLUMN(K$9)+10)&amp;":"&amp;ADDRESS(1000,COLUMN(K$9)+10))),
SUMIF(INDIRECT(Equipo!$G$4&amp;"!B10:B1000"),$B80,INDIRECT(Equipo!$G$4&amp;"!"&amp;ADDRESS(10,COLUMN(K$9)+10)&amp;":"&amp;ADDRESS(1000,COLUMN(K$9)+10)))
))</f>
        <v>-</v>
      </c>
    </row>
    <row r="81" ht="15.75" customHeight="1">
      <c r="B81" s="1" t="str">
        <f>IF(ISBLANK(Tareas!B77)," - ",Tareas!B77)</f>
        <v> - </v>
      </c>
      <c r="C81" s="19" t="str">
        <f>IF(ISBLANK(Tareas!$B77),"-",SUM(D81:K81))</f>
        <v>-</v>
      </c>
      <c r="D81" s="19" t="str">
        <f t="array" ref="D81">IF(ISBLANK(Tareas!$B77),"-",
SUM(
SUMIF(INDIRECT(Equipo!$C$4&amp;"!B10:B1000"),$B81,INDIRECT(Equipo!$C$4&amp;"!"&amp;ADDRESS(10,COLUMN(D$9)+10)&amp;":"&amp;ADDRESS(1000,COLUMN(D$9)+10))),
SUMIF(INDIRECT(Equipo!$D$4&amp;"!B10:B1000"),$B81,INDIRECT(Equipo!$D$4&amp;"!"&amp;ADDRESS(10,COLUMN(D$9)+10)&amp;":"&amp;ADDRESS(1000,COLUMN(D$9)+10))),
SUMIF(INDIRECT(Equipo!$E$4&amp;"!B10:B1000"),$B81,INDIRECT(Equipo!$E$4&amp;"!"&amp;ADDRESS(10,COLUMN(D$9)+10)&amp;":"&amp;ADDRESS(1000,COLUMN(D$9)+10))),
SUMIF(INDIRECT(Equipo!$F$4&amp;"!B10:B1000"),$B81,INDIRECT(Equipo!$F$4&amp;"!"&amp;ADDRESS(10,COLUMN(D$9)+10)&amp;":"&amp;ADDRESS(1000,COLUMN(D$9)+10))),
SUMIF(INDIRECT(Equipo!$G$4&amp;"!B10:B1000"),$B81,INDIRECT(Equipo!$G$4&amp;"!"&amp;ADDRESS(10,COLUMN(D$9)+10)&amp;":"&amp;ADDRESS(1000,COLUMN(D$9)+10)))
))</f>
        <v>-</v>
      </c>
      <c r="E81" s="19" t="str">
        <f t="array" ref="E81">IF(ISBLANK(Tareas!$B77),"-",
SUM(
SUMIF(INDIRECT(Equipo!$C$4&amp;"!B10:B1000"),$B81,INDIRECT(Equipo!$C$4&amp;"!"&amp;ADDRESS(10,COLUMN(E$9)+10)&amp;":"&amp;ADDRESS(1000,COLUMN(E$9)+10))),
SUMIF(INDIRECT(Equipo!$D$4&amp;"!B10:B1000"),$B81,INDIRECT(Equipo!$D$4&amp;"!"&amp;ADDRESS(10,COLUMN(E$9)+10)&amp;":"&amp;ADDRESS(1000,COLUMN(E$9)+10))),
SUMIF(INDIRECT(Equipo!$E$4&amp;"!B10:B1000"),$B81,INDIRECT(Equipo!$E$4&amp;"!"&amp;ADDRESS(10,COLUMN(E$9)+10)&amp;":"&amp;ADDRESS(1000,COLUMN(E$9)+10))),
SUMIF(INDIRECT(Equipo!$F$4&amp;"!B10:B1000"),$B81,INDIRECT(Equipo!$F$4&amp;"!"&amp;ADDRESS(10,COLUMN(E$9)+10)&amp;":"&amp;ADDRESS(1000,COLUMN(E$9)+10))),
SUMIF(INDIRECT(Equipo!$G$4&amp;"!B10:B1000"),$B81,INDIRECT(Equipo!$G$4&amp;"!"&amp;ADDRESS(10,COLUMN(E$9)+10)&amp;":"&amp;ADDRESS(1000,COLUMN(E$9)+10)))
))</f>
        <v>-</v>
      </c>
      <c r="F81" s="19" t="str">
        <f t="array" ref="F81">IF(ISBLANK(Tareas!$B77),"-",
SUM(
SUMIF(INDIRECT(Equipo!$C$4&amp;"!B10:B1000"),$B81,INDIRECT(Equipo!$C$4&amp;"!"&amp;ADDRESS(10,COLUMN(F$9)+10)&amp;":"&amp;ADDRESS(1000,COLUMN(F$9)+10))),
SUMIF(INDIRECT(Equipo!$D$4&amp;"!B10:B1000"),$B81,INDIRECT(Equipo!$D$4&amp;"!"&amp;ADDRESS(10,COLUMN(F$9)+10)&amp;":"&amp;ADDRESS(1000,COLUMN(F$9)+10))),
SUMIF(INDIRECT(Equipo!$E$4&amp;"!B10:B1000"),$B81,INDIRECT(Equipo!$E$4&amp;"!"&amp;ADDRESS(10,COLUMN(F$9)+10)&amp;":"&amp;ADDRESS(1000,COLUMN(F$9)+10))),
SUMIF(INDIRECT(Equipo!$F$4&amp;"!B10:B1000"),$B81,INDIRECT(Equipo!$F$4&amp;"!"&amp;ADDRESS(10,COLUMN(F$9)+10)&amp;":"&amp;ADDRESS(1000,COLUMN(F$9)+10))),
SUMIF(INDIRECT(Equipo!$G$4&amp;"!B10:B1000"),$B81,INDIRECT(Equipo!$G$4&amp;"!"&amp;ADDRESS(10,COLUMN(F$9)+10)&amp;":"&amp;ADDRESS(1000,COLUMN(F$9)+10)))
))</f>
        <v>-</v>
      </c>
      <c r="G81" s="19" t="str">
        <f t="array" ref="G81">IF(ISBLANK(Tareas!$B77),"-",
SUM(
SUMIF(INDIRECT(Equipo!$C$4&amp;"!B10:B1000"),$B81,INDIRECT(Equipo!$C$4&amp;"!"&amp;ADDRESS(10,COLUMN(G$9)+10)&amp;":"&amp;ADDRESS(1000,COLUMN(G$9)+10))),
SUMIF(INDIRECT(Equipo!$D$4&amp;"!B10:B1000"),$B81,INDIRECT(Equipo!$D$4&amp;"!"&amp;ADDRESS(10,COLUMN(G$9)+10)&amp;":"&amp;ADDRESS(1000,COLUMN(G$9)+10))),
SUMIF(INDIRECT(Equipo!$E$4&amp;"!B10:B1000"),$B81,INDIRECT(Equipo!$E$4&amp;"!"&amp;ADDRESS(10,COLUMN(G$9)+10)&amp;":"&amp;ADDRESS(1000,COLUMN(G$9)+10))),
SUMIF(INDIRECT(Equipo!$F$4&amp;"!B10:B1000"),$B81,INDIRECT(Equipo!$F$4&amp;"!"&amp;ADDRESS(10,COLUMN(G$9)+10)&amp;":"&amp;ADDRESS(1000,COLUMN(G$9)+10))),
SUMIF(INDIRECT(Equipo!$G$4&amp;"!B10:B1000"),$B81,INDIRECT(Equipo!$G$4&amp;"!"&amp;ADDRESS(10,COLUMN(G$9)+10)&amp;":"&amp;ADDRESS(1000,COLUMN(G$9)+10)))
))</f>
        <v>-</v>
      </c>
      <c r="H81" s="19" t="str">
        <f t="array" ref="H81">IF(ISBLANK(Tareas!$B77),"-",
SUM(
SUMIF(INDIRECT(Equipo!$C$4&amp;"!B10:B1000"),$B81,INDIRECT(Equipo!$C$4&amp;"!"&amp;ADDRESS(10,COLUMN(H$9)+10)&amp;":"&amp;ADDRESS(1000,COLUMN(H$9)+10))),
SUMIF(INDIRECT(Equipo!$D$4&amp;"!B10:B1000"),$B81,INDIRECT(Equipo!$D$4&amp;"!"&amp;ADDRESS(10,COLUMN(H$9)+10)&amp;":"&amp;ADDRESS(1000,COLUMN(H$9)+10))),
SUMIF(INDIRECT(Equipo!$E$4&amp;"!B10:B1000"),$B81,INDIRECT(Equipo!$E$4&amp;"!"&amp;ADDRESS(10,COLUMN(H$9)+10)&amp;":"&amp;ADDRESS(1000,COLUMN(H$9)+10))),
SUMIF(INDIRECT(Equipo!$F$4&amp;"!B10:B1000"),$B81,INDIRECT(Equipo!$F$4&amp;"!"&amp;ADDRESS(10,COLUMN(H$9)+10)&amp;":"&amp;ADDRESS(1000,COLUMN(H$9)+10))),
SUMIF(INDIRECT(Equipo!$G$4&amp;"!B10:B1000"),$B81,INDIRECT(Equipo!$G$4&amp;"!"&amp;ADDRESS(10,COLUMN(H$9)+10)&amp;":"&amp;ADDRESS(1000,COLUMN(H$9)+10)))
))</f>
        <v>-</v>
      </c>
      <c r="I81" s="19" t="str">
        <f t="array" ref="I81">IF(ISBLANK(Tareas!$B77),"-",
SUM(
SUMIF(INDIRECT(Equipo!$C$4&amp;"!B10:B1000"),$B81,INDIRECT(Equipo!$C$4&amp;"!"&amp;ADDRESS(10,COLUMN(I$9)+10)&amp;":"&amp;ADDRESS(1000,COLUMN(I$9)+10))),
SUMIF(INDIRECT(Equipo!$D$4&amp;"!B10:B1000"),$B81,INDIRECT(Equipo!$D$4&amp;"!"&amp;ADDRESS(10,COLUMN(I$9)+10)&amp;":"&amp;ADDRESS(1000,COLUMN(I$9)+10))),
SUMIF(INDIRECT(Equipo!$E$4&amp;"!B10:B1000"),$B81,INDIRECT(Equipo!$E$4&amp;"!"&amp;ADDRESS(10,COLUMN(I$9)+10)&amp;":"&amp;ADDRESS(1000,COLUMN(I$9)+10))),
SUMIF(INDIRECT(Equipo!$F$4&amp;"!B10:B1000"),$B81,INDIRECT(Equipo!$F$4&amp;"!"&amp;ADDRESS(10,COLUMN(I$9)+10)&amp;":"&amp;ADDRESS(1000,COLUMN(I$9)+10))),
SUMIF(INDIRECT(Equipo!$G$4&amp;"!B10:B1000"),$B81,INDIRECT(Equipo!$G$4&amp;"!"&amp;ADDRESS(10,COLUMN(I$9)+10)&amp;":"&amp;ADDRESS(1000,COLUMN(I$9)+10)))
))</f>
        <v>-</v>
      </c>
      <c r="J81" s="19" t="str">
        <f t="array" ref="J81">IF(ISBLANK(Tareas!$B77),"-",
SUM(
SUMIF(INDIRECT(Equipo!$C$4&amp;"!B10:B1000"),$B81,INDIRECT(Equipo!$C$4&amp;"!"&amp;ADDRESS(10,COLUMN(J$9)+10)&amp;":"&amp;ADDRESS(1000,COLUMN(J$9)+10))),
SUMIF(INDIRECT(Equipo!$D$4&amp;"!B10:B1000"),$B81,INDIRECT(Equipo!$D$4&amp;"!"&amp;ADDRESS(10,COLUMN(J$9)+10)&amp;":"&amp;ADDRESS(1000,COLUMN(J$9)+10))),
SUMIF(INDIRECT(Equipo!$E$4&amp;"!B10:B1000"),$B81,INDIRECT(Equipo!$E$4&amp;"!"&amp;ADDRESS(10,COLUMN(J$9)+10)&amp;":"&amp;ADDRESS(1000,COLUMN(J$9)+10))),
SUMIF(INDIRECT(Equipo!$F$4&amp;"!B10:B1000"),$B81,INDIRECT(Equipo!$F$4&amp;"!"&amp;ADDRESS(10,COLUMN(J$9)+10)&amp;":"&amp;ADDRESS(1000,COLUMN(J$9)+10))),
SUMIF(INDIRECT(Equipo!$G$4&amp;"!B10:B1000"),$B81,INDIRECT(Equipo!$G$4&amp;"!"&amp;ADDRESS(10,COLUMN(J$9)+10)&amp;":"&amp;ADDRESS(1000,COLUMN(J$9)+10)))
))</f>
        <v>-</v>
      </c>
      <c r="K81" s="19" t="str">
        <f t="array" ref="K81">IF(ISBLANK(Tareas!$B77),"-",
SUM(
SUMIF(INDIRECT(Equipo!$C$4&amp;"!B10:B1000"),$B81,INDIRECT(Equipo!$C$4&amp;"!"&amp;ADDRESS(10,COLUMN(K$9)+10)&amp;":"&amp;ADDRESS(1000,COLUMN(K$9)+10))),
SUMIF(INDIRECT(Equipo!$D$4&amp;"!B10:B1000"),$B81,INDIRECT(Equipo!$D$4&amp;"!"&amp;ADDRESS(10,COLUMN(K$9)+10)&amp;":"&amp;ADDRESS(1000,COLUMN(K$9)+10))),
SUMIF(INDIRECT(Equipo!$E$4&amp;"!B10:B1000"),$B81,INDIRECT(Equipo!$E$4&amp;"!"&amp;ADDRESS(10,COLUMN(K$9)+10)&amp;":"&amp;ADDRESS(1000,COLUMN(K$9)+10))),
SUMIF(INDIRECT(Equipo!$F$4&amp;"!B10:B1000"),$B81,INDIRECT(Equipo!$F$4&amp;"!"&amp;ADDRESS(10,COLUMN(K$9)+10)&amp;":"&amp;ADDRESS(1000,COLUMN(K$9)+10))),
SUMIF(INDIRECT(Equipo!$G$4&amp;"!B10:B1000"),$B81,INDIRECT(Equipo!$G$4&amp;"!"&amp;ADDRESS(10,COLUMN(K$9)+10)&amp;":"&amp;ADDRESS(1000,COLUMN(K$9)+10)))
))</f>
        <v>-</v>
      </c>
    </row>
    <row r="82" ht="15.75" customHeight="1">
      <c r="B82" s="1" t="str">
        <f>IF(ISBLANK(Tareas!B78)," - ",Tareas!B78)</f>
        <v> - </v>
      </c>
      <c r="C82" s="19" t="str">
        <f>IF(ISBLANK(Tareas!$B78),"-",SUM(D82:K82))</f>
        <v>-</v>
      </c>
      <c r="D82" s="19" t="str">
        <f t="array" ref="D82">IF(ISBLANK(Tareas!$B78),"-",
SUM(
SUMIF(INDIRECT(Equipo!$C$4&amp;"!B10:B1000"),$B82,INDIRECT(Equipo!$C$4&amp;"!"&amp;ADDRESS(10,COLUMN(D$9)+10)&amp;":"&amp;ADDRESS(1000,COLUMN(D$9)+10))),
SUMIF(INDIRECT(Equipo!$D$4&amp;"!B10:B1000"),$B82,INDIRECT(Equipo!$D$4&amp;"!"&amp;ADDRESS(10,COLUMN(D$9)+10)&amp;":"&amp;ADDRESS(1000,COLUMN(D$9)+10))),
SUMIF(INDIRECT(Equipo!$E$4&amp;"!B10:B1000"),$B82,INDIRECT(Equipo!$E$4&amp;"!"&amp;ADDRESS(10,COLUMN(D$9)+10)&amp;":"&amp;ADDRESS(1000,COLUMN(D$9)+10))),
SUMIF(INDIRECT(Equipo!$F$4&amp;"!B10:B1000"),$B82,INDIRECT(Equipo!$F$4&amp;"!"&amp;ADDRESS(10,COLUMN(D$9)+10)&amp;":"&amp;ADDRESS(1000,COLUMN(D$9)+10))),
SUMIF(INDIRECT(Equipo!$G$4&amp;"!B10:B1000"),$B82,INDIRECT(Equipo!$G$4&amp;"!"&amp;ADDRESS(10,COLUMN(D$9)+10)&amp;":"&amp;ADDRESS(1000,COLUMN(D$9)+10)))
))</f>
        <v>-</v>
      </c>
      <c r="E82" s="19" t="str">
        <f t="array" ref="E82">IF(ISBLANK(Tareas!$B78),"-",
SUM(
SUMIF(INDIRECT(Equipo!$C$4&amp;"!B10:B1000"),$B82,INDIRECT(Equipo!$C$4&amp;"!"&amp;ADDRESS(10,COLUMN(E$9)+10)&amp;":"&amp;ADDRESS(1000,COLUMN(E$9)+10))),
SUMIF(INDIRECT(Equipo!$D$4&amp;"!B10:B1000"),$B82,INDIRECT(Equipo!$D$4&amp;"!"&amp;ADDRESS(10,COLUMN(E$9)+10)&amp;":"&amp;ADDRESS(1000,COLUMN(E$9)+10))),
SUMIF(INDIRECT(Equipo!$E$4&amp;"!B10:B1000"),$B82,INDIRECT(Equipo!$E$4&amp;"!"&amp;ADDRESS(10,COLUMN(E$9)+10)&amp;":"&amp;ADDRESS(1000,COLUMN(E$9)+10))),
SUMIF(INDIRECT(Equipo!$F$4&amp;"!B10:B1000"),$B82,INDIRECT(Equipo!$F$4&amp;"!"&amp;ADDRESS(10,COLUMN(E$9)+10)&amp;":"&amp;ADDRESS(1000,COLUMN(E$9)+10))),
SUMIF(INDIRECT(Equipo!$G$4&amp;"!B10:B1000"),$B82,INDIRECT(Equipo!$G$4&amp;"!"&amp;ADDRESS(10,COLUMN(E$9)+10)&amp;":"&amp;ADDRESS(1000,COLUMN(E$9)+10)))
))</f>
        <v>-</v>
      </c>
      <c r="F82" s="19" t="str">
        <f t="array" ref="F82">IF(ISBLANK(Tareas!$B78),"-",
SUM(
SUMIF(INDIRECT(Equipo!$C$4&amp;"!B10:B1000"),$B82,INDIRECT(Equipo!$C$4&amp;"!"&amp;ADDRESS(10,COLUMN(F$9)+10)&amp;":"&amp;ADDRESS(1000,COLUMN(F$9)+10))),
SUMIF(INDIRECT(Equipo!$D$4&amp;"!B10:B1000"),$B82,INDIRECT(Equipo!$D$4&amp;"!"&amp;ADDRESS(10,COLUMN(F$9)+10)&amp;":"&amp;ADDRESS(1000,COLUMN(F$9)+10))),
SUMIF(INDIRECT(Equipo!$E$4&amp;"!B10:B1000"),$B82,INDIRECT(Equipo!$E$4&amp;"!"&amp;ADDRESS(10,COLUMN(F$9)+10)&amp;":"&amp;ADDRESS(1000,COLUMN(F$9)+10))),
SUMIF(INDIRECT(Equipo!$F$4&amp;"!B10:B1000"),$B82,INDIRECT(Equipo!$F$4&amp;"!"&amp;ADDRESS(10,COLUMN(F$9)+10)&amp;":"&amp;ADDRESS(1000,COLUMN(F$9)+10))),
SUMIF(INDIRECT(Equipo!$G$4&amp;"!B10:B1000"),$B82,INDIRECT(Equipo!$G$4&amp;"!"&amp;ADDRESS(10,COLUMN(F$9)+10)&amp;":"&amp;ADDRESS(1000,COLUMN(F$9)+10)))
))</f>
        <v>-</v>
      </c>
      <c r="G82" s="19" t="str">
        <f t="array" ref="G82">IF(ISBLANK(Tareas!$B78),"-",
SUM(
SUMIF(INDIRECT(Equipo!$C$4&amp;"!B10:B1000"),$B82,INDIRECT(Equipo!$C$4&amp;"!"&amp;ADDRESS(10,COLUMN(G$9)+10)&amp;":"&amp;ADDRESS(1000,COLUMN(G$9)+10))),
SUMIF(INDIRECT(Equipo!$D$4&amp;"!B10:B1000"),$B82,INDIRECT(Equipo!$D$4&amp;"!"&amp;ADDRESS(10,COLUMN(G$9)+10)&amp;":"&amp;ADDRESS(1000,COLUMN(G$9)+10))),
SUMIF(INDIRECT(Equipo!$E$4&amp;"!B10:B1000"),$B82,INDIRECT(Equipo!$E$4&amp;"!"&amp;ADDRESS(10,COLUMN(G$9)+10)&amp;":"&amp;ADDRESS(1000,COLUMN(G$9)+10))),
SUMIF(INDIRECT(Equipo!$F$4&amp;"!B10:B1000"),$B82,INDIRECT(Equipo!$F$4&amp;"!"&amp;ADDRESS(10,COLUMN(G$9)+10)&amp;":"&amp;ADDRESS(1000,COLUMN(G$9)+10))),
SUMIF(INDIRECT(Equipo!$G$4&amp;"!B10:B1000"),$B82,INDIRECT(Equipo!$G$4&amp;"!"&amp;ADDRESS(10,COLUMN(G$9)+10)&amp;":"&amp;ADDRESS(1000,COLUMN(G$9)+10)))
))</f>
        <v>-</v>
      </c>
      <c r="H82" s="19" t="str">
        <f t="array" ref="H82">IF(ISBLANK(Tareas!$B78),"-",
SUM(
SUMIF(INDIRECT(Equipo!$C$4&amp;"!B10:B1000"),$B82,INDIRECT(Equipo!$C$4&amp;"!"&amp;ADDRESS(10,COLUMN(H$9)+10)&amp;":"&amp;ADDRESS(1000,COLUMN(H$9)+10))),
SUMIF(INDIRECT(Equipo!$D$4&amp;"!B10:B1000"),$B82,INDIRECT(Equipo!$D$4&amp;"!"&amp;ADDRESS(10,COLUMN(H$9)+10)&amp;":"&amp;ADDRESS(1000,COLUMN(H$9)+10))),
SUMIF(INDIRECT(Equipo!$E$4&amp;"!B10:B1000"),$B82,INDIRECT(Equipo!$E$4&amp;"!"&amp;ADDRESS(10,COLUMN(H$9)+10)&amp;":"&amp;ADDRESS(1000,COLUMN(H$9)+10))),
SUMIF(INDIRECT(Equipo!$F$4&amp;"!B10:B1000"),$B82,INDIRECT(Equipo!$F$4&amp;"!"&amp;ADDRESS(10,COLUMN(H$9)+10)&amp;":"&amp;ADDRESS(1000,COLUMN(H$9)+10))),
SUMIF(INDIRECT(Equipo!$G$4&amp;"!B10:B1000"),$B82,INDIRECT(Equipo!$G$4&amp;"!"&amp;ADDRESS(10,COLUMN(H$9)+10)&amp;":"&amp;ADDRESS(1000,COLUMN(H$9)+10)))
))</f>
        <v>-</v>
      </c>
      <c r="I82" s="19" t="str">
        <f t="array" ref="I82">IF(ISBLANK(Tareas!$B78),"-",
SUM(
SUMIF(INDIRECT(Equipo!$C$4&amp;"!B10:B1000"),$B82,INDIRECT(Equipo!$C$4&amp;"!"&amp;ADDRESS(10,COLUMN(I$9)+10)&amp;":"&amp;ADDRESS(1000,COLUMN(I$9)+10))),
SUMIF(INDIRECT(Equipo!$D$4&amp;"!B10:B1000"),$B82,INDIRECT(Equipo!$D$4&amp;"!"&amp;ADDRESS(10,COLUMN(I$9)+10)&amp;":"&amp;ADDRESS(1000,COLUMN(I$9)+10))),
SUMIF(INDIRECT(Equipo!$E$4&amp;"!B10:B1000"),$B82,INDIRECT(Equipo!$E$4&amp;"!"&amp;ADDRESS(10,COLUMN(I$9)+10)&amp;":"&amp;ADDRESS(1000,COLUMN(I$9)+10))),
SUMIF(INDIRECT(Equipo!$F$4&amp;"!B10:B1000"),$B82,INDIRECT(Equipo!$F$4&amp;"!"&amp;ADDRESS(10,COLUMN(I$9)+10)&amp;":"&amp;ADDRESS(1000,COLUMN(I$9)+10))),
SUMIF(INDIRECT(Equipo!$G$4&amp;"!B10:B1000"),$B82,INDIRECT(Equipo!$G$4&amp;"!"&amp;ADDRESS(10,COLUMN(I$9)+10)&amp;":"&amp;ADDRESS(1000,COLUMN(I$9)+10)))
))</f>
        <v>-</v>
      </c>
      <c r="J82" s="19" t="str">
        <f t="array" ref="J82">IF(ISBLANK(Tareas!$B78),"-",
SUM(
SUMIF(INDIRECT(Equipo!$C$4&amp;"!B10:B1000"),$B82,INDIRECT(Equipo!$C$4&amp;"!"&amp;ADDRESS(10,COLUMN(J$9)+10)&amp;":"&amp;ADDRESS(1000,COLUMN(J$9)+10))),
SUMIF(INDIRECT(Equipo!$D$4&amp;"!B10:B1000"),$B82,INDIRECT(Equipo!$D$4&amp;"!"&amp;ADDRESS(10,COLUMN(J$9)+10)&amp;":"&amp;ADDRESS(1000,COLUMN(J$9)+10))),
SUMIF(INDIRECT(Equipo!$E$4&amp;"!B10:B1000"),$B82,INDIRECT(Equipo!$E$4&amp;"!"&amp;ADDRESS(10,COLUMN(J$9)+10)&amp;":"&amp;ADDRESS(1000,COLUMN(J$9)+10))),
SUMIF(INDIRECT(Equipo!$F$4&amp;"!B10:B1000"),$B82,INDIRECT(Equipo!$F$4&amp;"!"&amp;ADDRESS(10,COLUMN(J$9)+10)&amp;":"&amp;ADDRESS(1000,COLUMN(J$9)+10))),
SUMIF(INDIRECT(Equipo!$G$4&amp;"!B10:B1000"),$B82,INDIRECT(Equipo!$G$4&amp;"!"&amp;ADDRESS(10,COLUMN(J$9)+10)&amp;":"&amp;ADDRESS(1000,COLUMN(J$9)+10)))
))</f>
        <v>-</v>
      </c>
      <c r="K82" s="19" t="str">
        <f t="array" ref="K82">IF(ISBLANK(Tareas!$B78),"-",
SUM(
SUMIF(INDIRECT(Equipo!$C$4&amp;"!B10:B1000"),$B82,INDIRECT(Equipo!$C$4&amp;"!"&amp;ADDRESS(10,COLUMN(K$9)+10)&amp;":"&amp;ADDRESS(1000,COLUMN(K$9)+10))),
SUMIF(INDIRECT(Equipo!$D$4&amp;"!B10:B1000"),$B82,INDIRECT(Equipo!$D$4&amp;"!"&amp;ADDRESS(10,COLUMN(K$9)+10)&amp;":"&amp;ADDRESS(1000,COLUMN(K$9)+10))),
SUMIF(INDIRECT(Equipo!$E$4&amp;"!B10:B1000"),$B82,INDIRECT(Equipo!$E$4&amp;"!"&amp;ADDRESS(10,COLUMN(K$9)+10)&amp;":"&amp;ADDRESS(1000,COLUMN(K$9)+10))),
SUMIF(INDIRECT(Equipo!$F$4&amp;"!B10:B1000"),$B82,INDIRECT(Equipo!$F$4&amp;"!"&amp;ADDRESS(10,COLUMN(K$9)+10)&amp;":"&amp;ADDRESS(1000,COLUMN(K$9)+10))),
SUMIF(INDIRECT(Equipo!$G$4&amp;"!B10:B1000"),$B82,INDIRECT(Equipo!$G$4&amp;"!"&amp;ADDRESS(10,COLUMN(K$9)+10)&amp;":"&amp;ADDRESS(1000,COLUMN(K$9)+10)))
))</f>
        <v>-</v>
      </c>
    </row>
    <row r="83" ht="15.75" customHeight="1">
      <c r="B83" s="1" t="str">
        <f>IF(ISBLANK(Tareas!B79)," - ",Tareas!B79)</f>
        <v> - </v>
      </c>
      <c r="C83" s="19" t="str">
        <f>IF(ISBLANK(Tareas!$B79),"-",SUM(D83:K83))</f>
        <v>-</v>
      </c>
      <c r="D83" s="19" t="str">
        <f t="array" ref="D83">IF(ISBLANK(Tareas!$B79),"-",
SUM(
SUMIF(INDIRECT(Equipo!$C$4&amp;"!B10:B1000"),$B83,INDIRECT(Equipo!$C$4&amp;"!"&amp;ADDRESS(10,COLUMN(D$9)+10)&amp;":"&amp;ADDRESS(1000,COLUMN(D$9)+10))),
SUMIF(INDIRECT(Equipo!$D$4&amp;"!B10:B1000"),$B83,INDIRECT(Equipo!$D$4&amp;"!"&amp;ADDRESS(10,COLUMN(D$9)+10)&amp;":"&amp;ADDRESS(1000,COLUMN(D$9)+10))),
SUMIF(INDIRECT(Equipo!$E$4&amp;"!B10:B1000"),$B83,INDIRECT(Equipo!$E$4&amp;"!"&amp;ADDRESS(10,COLUMN(D$9)+10)&amp;":"&amp;ADDRESS(1000,COLUMN(D$9)+10))),
SUMIF(INDIRECT(Equipo!$F$4&amp;"!B10:B1000"),$B83,INDIRECT(Equipo!$F$4&amp;"!"&amp;ADDRESS(10,COLUMN(D$9)+10)&amp;":"&amp;ADDRESS(1000,COLUMN(D$9)+10))),
SUMIF(INDIRECT(Equipo!$G$4&amp;"!B10:B1000"),$B83,INDIRECT(Equipo!$G$4&amp;"!"&amp;ADDRESS(10,COLUMN(D$9)+10)&amp;":"&amp;ADDRESS(1000,COLUMN(D$9)+10)))
))</f>
        <v>-</v>
      </c>
      <c r="E83" s="19" t="str">
        <f t="array" ref="E83">IF(ISBLANK(Tareas!$B79),"-",
SUM(
SUMIF(INDIRECT(Equipo!$C$4&amp;"!B10:B1000"),$B83,INDIRECT(Equipo!$C$4&amp;"!"&amp;ADDRESS(10,COLUMN(E$9)+10)&amp;":"&amp;ADDRESS(1000,COLUMN(E$9)+10))),
SUMIF(INDIRECT(Equipo!$D$4&amp;"!B10:B1000"),$B83,INDIRECT(Equipo!$D$4&amp;"!"&amp;ADDRESS(10,COLUMN(E$9)+10)&amp;":"&amp;ADDRESS(1000,COLUMN(E$9)+10))),
SUMIF(INDIRECT(Equipo!$E$4&amp;"!B10:B1000"),$B83,INDIRECT(Equipo!$E$4&amp;"!"&amp;ADDRESS(10,COLUMN(E$9)+10)&amp;":"&amp;ADDRESS(1000,COLUMN(E$9)+10))),
SUMIF(INDIRECT(Equipo!$F$4&amp;"!B10:B1000"),$B83,INDIRECT(Equipo!$F$4&amp;"!"&amp;ADDRESS(10,COLUMN(E$9)+10)&amp;":"&amp;ADDRESS(1000,COLUMN(E$9)+10))),
SUMIF(INDIRECT(Equipo!$G$4&amp;"!B10:B1000"),$B83,INDIRECT(Equipo!$G$4&amp;"!"&amp;ADDRESS(10,COLUMN(E$9)+10)&amp;":"&amp;ADDRESS(1000,COLUMN(E$9)+10)))
))</f>
        <v>-</v>
      </c>
      <c r="F83" s="19" t="str">
        <f t="array" ref="F83">IF(ISBLANK(Tareas!$B79),"-",
SUM(
SUMIF(INDIRECT(Equipo!$C$4&amp;"!B10:B1000"),$B83,INDIRECT(Equipo!$C$4&amp;"!"&amp;ADDRESS(10,COLUMN(F$9)+10)&amp;":"&amp;ADDRESS(1000,COLUMN(F$9)+10))),
SUMIF(INDIRECT(Equipo!$D$4&amp;"!B10:B1000"),$B83,INDIRECT(Equipo!$D$4&amp;"!"&amp;ADDRESS(10,COLUMN(F$9)+10)&amp;":"&amp;ADDRESS(1000,COLUMN(F$9)+10))),
SUMIF(INDIRECT(Equipo!$E$4&amp;"!B10:B1000"),$B83,INDIRECT(Equipo!$E$4&amp;"!"&amp;ADDRESS(10,COLUMN(F$9)+10)&amp;":"&amp;ADDRESS(1000,COLUMN(F$9)+10))),
SUMIF(INDIRECT(Equipo!$F$4&amp;"!B10:B1000"),$B83,INDIRECT(Equipo!$F$4&amp;"!"&amp;ADDRESS(10,COLUMN(F$9)+10)&amp;":"&amp;ADDRESS(1000,COLUMN(F$9)+10))),
SUMIF(INDIRECT(Equipo!$G$4&amp;"!B10:B1000"),$B83,INDIRECT(Equipo!$G$4&amp;"!"&amp;ADDRESS(10,COLUMN(F$9)+10)&amp;":"&amp;ADDRESS(1000,COLUMN(F$9)+10)))
))</f>
        <v>-</v>
      </c>
      <c r="G83" s="19" t="str">
        <f t="array" ref="G83">IF(ISBLANK(Tareas!$B79),"-",
SUM(
SUMIF(INDIRECT(Equipo!$C$4&amp;"!B10:B1000"),$B83,INDIRECT(Equipo!$C$4&amp;"!"&amp;ADDRESS(10,COLUMN(G$9)+10)&amp;":"&amp;ADDRESS(1000,COLUMN(G$9)+10))),
SUMIF(INDIRECT(Equipo!$D$4&amp;"!B10:B1000"),$B83,INDIRECT(Equipo!$D$4&amp;"!"&amp;ADDRESS(10,COLUMN(G$9)+10)&amp;":"&amp;ADDRESS(1000,COLUMN(G$9)+10))),
SUMIF(INDIRECT(Equipo!$E$4&amp;"!B10:B1000"),$B83,INDIRECT(Equipo!$E$4&amp;"!"&amp;ADDRESS(10,COLUMN(G$9)+10)&amp;":"&amp;ADDRESS(1000,COLUMN(G$9)+10))),
SUMIF(INDIRECT(Equipo!$F$4&amp;"!B10:B1000"),$B83,INDIRECT(Equipo!$F$4&amp;"!"&amp;ADDRESS(10,COLUMN(G$9)+10)&amp;":"&amp;ADDRESS(1000,COLUMN(G$9)+10))),
SUMIF(INDIRECT(Equipo!$G$4&amp;"!B10:B1000"),$B83,INDIRECT(Equipo!$G$4&amp;"!"&amp;ADDRESS(10,COLUMN(G$9)+10)&amp;":"&amp;ADDRESS(1000,COLUMN(G$9)+10)))
))</f>
        <v>-</v>
      </c>
      <c r="H83" s="19" t="str">
        <f t="array" ref="H83">IF(ISBLANK(Tareas!$B79),"-",
SUM(
SUMIF(INDIRECT(Equipo!$C$4&amp;"!B10:B1000"),$B83,INDIRECT(Equipo!$C$4&amp;"!"&amp;ADDRESS(10,COLUMN(H$9)+10)&amp;":"&amp;ADDRESS(1000,COLUMN(H$9)+10))),
SUMIF(INDIRECT(Equipo!$D$4&amp;"!B10:B1000"),$B83,INDIRECT(Equipo!$D$4&amp;"!"&amp;ADDRESS(10,COLUMN(H$9)+10)&amp;":"&amp;ADDRESS(1000,COLUMN(H$9)+10))),
SUMIF(INDIRECT(Equipo!$E$4&amp;"!B10:B1000"),$B83,INDIRECT(Equipo!$E$4&amp;"!"&amp;ADDRESS(10,COLUMN(H$9)+10)&amp;":"&amp;ADDRESS(1000,COLUMN(H$9)+10))),
SUMIF(INDIRECT(Equipo!$F$4&amp;"!B10:B1000"),$B83,INDIRECT(Equipo!$F$4&amp;"!"&amp;ADDRESS(10,COLUMN(H$9)+10)&amp;":"&amp;ADDRESS(1000,COLUMN(H$9)+10))),
SUMIF(INDIRECT(Equipo!$G$4&amp;"!B10:B1000"),$B83,INDIRECT(Equipo!$G$4&amp;"!"&amp;ADDRESS(10,COLUMN(H$9)+10)&amp;":"&amp;ADDRESS(1000,COLUMN(H$9)+10)))
))</f>
        <v>-</v>
      </c>
      <c r="I83" s="19" t="str">
        <f t="array" ref="I83">IF(ISBLANK(Tareas!$B79),"-",
SUM(
SUMIF(INDIRECT(Equipo!$C$4&amp;"!B10:B1000"),$B83,INDIRECT(Equipo!$C$4&amp;"!"&amp;ADDRESS(10,COLUMN(I$9)+10)&amp;":"&amp;ADDRESS(1000,COLUMN(I$9)+10))),
SUMIF(INDIRECT(Equipo!$D$4&amp;"!B10:B1000"),$B83,INDIRECT(Equipo!$D$4&amp;"!"&amp;ADDRESS(10,COLUMN(I$9)+10)&amp;":"&amp;ADDRESS(1000,COLUMN(I$9)+10))),
SUMIF(INDIRECT(Equipo!$E$4&amp;"!B10:B1000"),$B83,INDIRECT(Equipo!$E$4&amp;"!"&amp;ADDRESS(10,COLUMN(I$9)+10)&amp;":"&amp;ADDRESS(1000,COLUMN(I$9)+10))),
SUMIF(INDIRECT(Equipo!$F$4&amp;"!B10:B1000"),$B83,INDIRECT(Equipo!$F$4&amp;"!"&amp;ADDRESS(10,COLUMN(I$9)+10)&amp;":"&amp;ADDRESS(1000,COLUMN(I$9)+10))),
SUMIF(INDIRECT(Equipo!$G$4&amp;"!B10:B1000"),$B83,INDIRECT(Equipo!$G$4&amp;"!"&amp;ADDRESS(10,COLUMN(I$9)+10)&amp;":"&amp;ADDRESS(1000,COLUMN(I$9)+10)))
))</f>
        <v>-</v>
      </c>
      <c r="J83" s="19" t="str">
        <f t="array" ref="J83">IF(ISBLANK(Tareas!$B79),"-",
SUM(
SUMIF(INDIRECT(Equipo!$C$4&amp;"!B10:B1000"),$B83,INDIRECT(Equipo!$C$4&amp;"!"&amp;ADDRESS(10,COLUMN(J$9)+10)&amp;":"&amp;ADDRESS(1000,COLUMN(J$9)+10))),
SUMIF(INDIRECT(Equipo!$D$4&amp;"!B10:B1000"),$B83,INDIRECT(Equipo!$D$4&amp;"!"&amp;ADDRESS(10,COLUMN(J$9)+10)&amp;":"&amp;ADDRESS(1000,COLUMN(J$9)+10))),
SUMIF(INDIRECT(Equipo!$E$4&amp;"!B10:B1000"),$B83,INDIRECT(Equipo!$E$4&amp;"!"&amp;ADDRESS(10,COLUMN(J$9)+10)&amp;":"&amp;ADDRESS(1000,COLUMN(J$9)+10))),
SUMIF(INDIRECT(Equipo!$F$4&amp;"!B10:B1000"),$B83,INDIRECT(Equipo!$F$4&amp;"!"&amp;ADDRESS(10,COLUMN(J$9)+10)&amp;":"&amp;ADDRESS(1000,COLUMN(J$9)+10))),
SUMIF(INDIRECT(Equipo!$G$4&amp;"!B10:B1000"),$B83,INDIRECT(Equipo!$G$4&amp;"!"&amp;ADDRESS(10,COLUMN(J$9)+10)&amp;":"&amp;ADDRESS(1000,COLUMN(J$9)+10)))
))</f>
        <v>-</v>
      </c>
      <c r="K83" s="19" t="str">
        <f t="array" ref="K83">IF(ISBLANK(Tareas!$B79),"-",
SUM(
SUMIF(INDIRECT(Equipo!$C$4&amp;"!B10:B1000"),$B83,INDIRECT(Equipo!$C$4&amp;"!"&amp;ADDRESS(10,COLUMN(K$9)+10)&amp;":"&amp;ADDRESS(1000,COLUMN(K$9)+10))),
SUMIF(INDIRECT(Equipo!$D$4&amp;"!B10:B1000"),$B83,INDIRECT(Equipo!$D$4&amp;"!"&amp;ADDRESS(10,COLUMN(K$9)+10)&amp;":"&amp;ADDRESS(1000,COLUMN(K$9)+10))),
SUMIF(INDIRECT(Equipo!$E$4&amp;"!B10:B1000"),$B83,INDIRECT(Equipo!$E$4&amp;"!"&amp;ADDRESS(10,COLUMN(K$9)+10)&amp;":"&amp;ADDRESS(1000,COLUMN(K$9)+10))),
SUMIF(INDIRECT(Equipo!$F$4&amp;"!B10:B1000"),$B83,INDIRECT(Equipo!$F$4&amp;"!"&amp;ADDRESS(10,COLUMN(K$9)+10)&amp;":"&amp;ADDRESS(1000,COLUMN(K$9)+10))),
SUMIF(INDIRECT(Equipo!$G$4&amp;"!B10:B1000"),$B83,INDIRECT(Equipo!$G$4&amp;"!"&amp;ADDRESS(10,COLUMN(K$9)+10)&amp;":"&amp;ADDRESS(1000,COLUMN(K$9)+10)))
))</f>
        <v>-</v>
      </c>
    </row>
    <row r="84" ht="15.75" customHeight="1">
      <c r="B84" s="1" t="str">
        <f>IF(ISBLANK(Tareas!B80)," - ",Tareas!B80)</f>
        <v> - </v>
      </c>
      <c r="C84" s="19" t="str">
        <f>IF(ISBLANK(Tareas!$B80),"-",SUM(D84:K84))</f>
        <v>-</v>
      </c>
      <c r="D84" s="19" t="str">
        <f t="array" ref="D84">IF(ISBLANK(Tareas!$B80),"-",
SUM(
SUMIF(INDIRECT(Equipo!$C$4&amp;"!B10:B1000"),$B84,INDIRECT(Equipo!$C$4&amp;"!"&amp;ADDRESS(10,COLUMN(D$9)+10)&amp;":"&amp;ADDRESS(1000,COLUMN(D$9)+10))),
SUMIF(INDIRECT(Equipo!$D$4&amp;"!B10:B1000"),$B84,INDIRECT(Equipo!$D$4&amp;"!"&amp;ADDRESS(10,COLUMN(D$9)+10)&amp;":"&amp;ADDRESS(1000,COLUMN(D$9)+10))),
SUMIF(INDIRECT(Equipo!$E$4&amp;"!B10:B1000"),$B84,INDIRECT(Equipo!$E$4&amp;"!"&amp;ADDRESS(10,COLUMN(D$9)+10)&amp;":"&amp;ADDRESS(1000,COLUMN(D$9)+10))),
SUMIF(INDIRECT(Equipo!$F$4&amp;"!B10:B1000"),$B84,INDIRECT(Equipo!$F$4&amp;"!"&amp;ADDRESS(10,COLUMN(D$9)+10)&amp;":"&amp;ADDRESS(1000,COLUMN(D$9)+10))),
SUMIF(INDIRECT(Equipo!$G$4&amp;"!B10:B1000"),$B84,INDIRECT(Equipo!$G$4&amp;"!"&amp;ADDRESS(10,COLUMN(D$9)+10)&amp;":"&amp;ADDRESS(1000,COLUMN(D$9)+10)))
))</f>
        <v>-</v>
      </c>
      <c r="E84" s="19" t="str">
        <f t="array" ref="E84">IF(ISBLANK(Tareas!$B80),"-",
SUM(
SUMIF(INDIRECT(Equipo!$C$4&amp;"!B10:B1000"),$B84,INDIRECT(Equipo!$C$4&amp;"!"&amp;ADDRESS(10,COLUMN(E$9)+10)&amp;":"&amp;ADDRESS(1000,COLUMN(E$9)+10))),
SUMIF(INDIRECT(Equipo!$D$4&amp;"!B10:B1000"),$B84,INDIRECT(Equipo!$D$4&amp;"!"&amp;ADDRESS(10,COLUMN(E$9)+10)&amp;":"&amp;ADDRESS(1000,COLUMN(E$9)+10))),
SUMIF(INDIRECT(Equipo!$E$4&amp;"!B10:B1000"),$B84,INDIRECT(Equipo!$E$4&amp;"!"&amp;ADDRESS(10,COLUMN(E$9)+10)&amp;":"&amp;ADDRESS(1000,COLUMN(E$9)+10))),
SUMIF(INDIRECT(Equipo!$F$4&amp;"!B10:B1000"),$B84,INDIRECT(Equipo!$F$4&amp;"!"&amp;ADDRESS(10,COLUMN(E$9)+10)&amp;":"&amp;ADDRESS(1000,COLUMN(E$9)+10))),
SUMIF(INDIRECT(Equipo!$G$4&amp;"!B10:B1000"),$B84,INDIRECT(Equipo!$G$4&amp;"!"&amp;ADDRESS(10,COLUMN(E$9)+10)&amp;":"&amp;ADDRESS(1000,COLUMN(E$9)+10)))
))</f>
        <v>-</v>
      </c>
      <c r="F84" s="19" t="str">
        <f t="array" ref="F84">IF(ISBLANK(Tareas!$B80),"-",
SUM(
SUMIF(INDIRECT(Equipo!$C$4&amp;"!B10:B1000"),$B84,INDIRECT(Equipo!$C$4&amp;"!"&amp;ADDRESS(10,COLUMN(F$9)+10)&amp;":"&amp;ADDRESS(1000,COLUMN(F$9)+10))),
SUMIF(INDIRECT(Equipo!$D$4&amp;"!B10:B1000"),$B84,INDIRECT(Equipo!$D$4&amp;"!"&amp;ADDRESS(10,COLUMN(F$9)+10)&amp;":"&amp;ADDRESS(1000,COLUMN(F$9)+10))),
SUMIF(INDIRECT(Equipo!$E$4&amp;"!B10:B1000"),$B84,INDIRECT(Equipo!$E$4&amp;"!"&amp;ADDRESS(10,COLUMN(F$9)+10)&amp;":"&amp;ADDRESS(1000,COLUMN(F$9)+10))),
SUMIF(INDIRECT(Equipo!$F$4&amp;"!B10:B1000"),$B84,INDIRECT(Equipo!$F$4&amp;"!"&amp;ADDRESS(10,COLUMN(F$9)+10)&amp;":"&amp;ADDRESS(1000,COLUMN(F$9)+10))),
SUMIF(INDIRECT(Equipo!$G$4&amp;"!B10:B1000"),$B84,INDIRECT(Equipo!$G$4&amp;"!"&amp;ADDRESS(10,COLUMN(F$9)+10)&amp;":"&amp;ADDRESS(1000,COLUMN(F$9)+10)))
))</f>
        <v>-</v>
      </c>
      <c r="G84" s="19" t="str">
        <f t="array" ref="G84">IF(ISBLANK(Tareas!$B80),"-",
SUM(
SUMIF(INDIRECT(Equipo!$C$4&amp;"!B10:B1000"),$B84,INDIRECT(Equipo!$C$4&amp;"!"&amp;ADDRESS(10,COLUMN(G$9)+10)&amp;":"&amp;ADDRESS(1000,COLUMN(G$9)+10))),
SUMIF(INDIRECT(Equipo!$D$4&amp;"!B10:B1000"),$B84,INDIRECT(Equipo!$D$4&amp;"!"&amp;ADDRESS(10,COLUMN(G$9)+10)&amp;":"&amp;ADDRESS(1000,COLUMN(G$9)+10))),
SUMIF(INDIRECT(Equipo!$E$4&amp;"!B10:B1000"),$B84,INDIRECT(Equipo!$E$4&amp;"!"&amp;ADDRESS(10,COLUMN(G$9)+10)&amp;":"&amp;ADDRESS(1000,COLUMN(G$9)+10))),
SUMIF(INDIRECT(Equipo!$F$4&amp;"!B10:B1000"),$B84,INDIRECT(Equipo!$F$4&amp;"!"&amp;ADDRESS(10,COLUMN(G$9)+10)&amp;":"&amp;ADDRESS(1000,COLUMN(G$9)+10))),
SUMIF(INDIRECT(Equipo!$G$4&amp;"!B10:B1000"),$B84,INDIRECT(Equipo!$G$4&amp;"!"&amp;ADDRESS(10,COLUMN(G$9)+10)&amp;":"&amp;ADDRESS(1000,COLUMN(G$9)+10)))
))</f>
        <v>-</v>
      </c>
      <c r="H84" s="19" t="str">
        <f t="array" ref="H84">IF(ISBLANK(Tareas!$B80),"-",
SUM(
SUMIF(INDIRECT(Equipo!$C$4&amp;"!B10:B1000"),$B84,INDIRECT(Equipo!$C$4&amp;"!"&amp;ADDRESS(10,COLUMN(H$9)+10)&amp;":"&amp;ADDRESS(1000,COLUMN(H$9)+10))),
SUMIF(INDIRECT(Equipo!$D$4&amp;"!B10:B1000"),$B84,INDIRECT(Equipo!$D$4&amp;"!"&amp;ADDRESS(10,COLUMN(H$9)+10)&amp;":"&amp;ADDRESS(1000,COLUMN(H$9)+10))),
SUMIF(INDIRECT(Equipo!$E$4&amp;"!B10:B1000"),$B84,INDIRECT(Equipo!$E$4&amp;"!"&amp;ADDRESS(10,COLUMN(H$9)+10)&amp;":"&amp;ADDRESS(1000,COLUMN(H$9)+10))),
SUMIF(INDIRECT(Equipo!$F$4&amp;"!B10:B1000"),$B84,INDIRECT(Equipo!$F$4&amp;"!"&amp;ADDRESS(10,COLUMN(H$9)+10)&amp;":"&amp;ADDRESS(1000,COLUMN(H$9)+10))),
SUMIF(INDIRECT(Equipo!$G$4&amp;"!B10:B1000"),$B84,INDIRECT(Equipo!$G$4&amp;"!"&amp;ADDRESS(10,COLUMN(H$9)+10)&amp;":"&amp;ADDRESS(1000,COLUMN(H$9)+10)))
))</f>
        <v>-</v>
      </c>
      <c r="I84" s="19" t="str">
        <f t="array" ref="I84">IF(ISBLANK(Tareas!$B80),"-",
SUM(
SUMIF(INDIRECT(Equipo!$C$4&amp;"!B10:B1000"),$B84,INDIRECT(Equipo!$C$4&amp;"!"&amp;ADDRESS(10,COLUMN(I$9)+10)&amp;":"&amp;ADDRESS(1000,COLUMN(I$9)+10))),
SUMIF(INDIRECT(Equipo!$D$4&amp;"!B10:B1000"),$B84,INDIRECT(Equipo!$D$4&amp;"!"&amp;ADDRESS(10,COLUMN(I$9)+10)&amp;":"&amp;ADDRESS(1000,COLUMN(I$9)+10))),
SUMIF(INDIRECT(Equipo!$E$4&amp;"!B10:B1000"),$B84,INDIRECT(Equipo!$E$4&amp;"!"&amp;ADDRESS(10,COLUMN(I$9)+10)&amp;":"&amp;ADDRESS(1000,COLUMN(I$9)+10))),
SUMIF(INDIRECT(Equipo!$F$4&amp;"!B10:B1000"),$B84,INDIRECT(Equipo!$F$4&amp;"!"&amp;ADDRESS(10,COLUMN(I$9)+10)&amp;":"&amp;ADDRESS(1000,COLUMN(I$9)+10))),
SUMIF(INDIRECT(Equipo!$G$4&amp;"!B10:B1000"),$B84,INDIRECT(Equipo!$G$4&amp;"!"&amp;ADDRESS(10,COLUMN(I$9)+10)&amp;":"&amp;ADDRESS(1000,COLUMN(I$9)+10)))
))</f>
        <v>-</v>
      </c>
      <c r="J84" s="19" t="str">
        <f t="array" ref="J84">IF(ISBLANK(Tareas!$B80),"-",
SUM(
SUMIF(INDIRECT(Equipo!$C$4&amp;"!B10:B1000"),$B84,INDIRECT(Equipo!$C$4&amp;"!"&amp;ADDRESS(10,COLUMN(J$9)+10)&amp;":"&amp;ADDRESS(1000,COLUMN(J$9)+10))),
SUMIF(INDIRECT(Equipo!$D$4&amp;"!B10:B1000"),$B84,INDIRECT(Equipo!$D$4&amp;"!"&amp;ADDRESS(10,COLUMN(J$9)+10)&amp;":"&amp;ADDRESS(1000,COLUMN(J$9)+10))),
SUMIF(INDIRECT(Equipo!$E$4&amp;"!B10:B1000"),$B84,INDIRECT(Equipo!$E$4&amp;"!"&amp;ADDRESS(10,COLUMN(J$9)+10)&amp;":"&amp;ADDRESS(1000,COLUMN(J$9)+10))),
SUMIF(INDIRECT(Equipo!$F$4&amp;"!B10:B1000"),$B84,INDIRECT(Equipo!$F$4&amp;"!"&amp;ADDRESS(10,COLUMN(J$9)+10)&amp;":"&amp;ADDRESS(1000,COLUMN(J$9)+10))),
SUMIF(INDIRECT(Equipo!$G$4&amp;"!B10:B1000"),$B84,INDIRECT(Equipo!$G$4&amp;"!"&amp;ADDRESS(10,COLUMN(J$9)+10)&amp;":"&amp;ADDRESS(1000,COLUMN(J$9)+10)))
))</f>
        <v>-</v>
      </c>
      <c r="K84" s="19" t="str">
        <f t="array" ref="K84">IF(ISBLANK(Tareas!$B80),"-",
SUM(
SUMIF(INDIRECT(Equipo!$C$4&amp;"!B10:B1000"),$B84,INDIRECT(Equipo!$C$4&amp;"!"&amp;ADDRESS(10,COLUMN(K$9)+10)&amp;":"&amp;ADDRESS(1000,COLUMN(K$9)+10))),
SUMIF(INDIRECT(Equipo!$D$4&amp;"!B10:B1000"),$B84,INDIRECT(Equipo!$D$4&amp;"!"&amp;ADDRESS(10,COLUMN(K$9)+10)&amp;":"&amp;ADDRESS(1000,COLUMN(K$9)+10))),
SUMIF(INDIRECT(Equipo!$E$4&amp;"!B10:B1000"),$B84,INDIRECT(Equipo!$E$4&amp;"!"&amp;ADDRESS(10,COLUMN(K$9)+10)&amp;":"&amp;ADDRESS(1000,COLUMN(K$9)+10))),
SUMIF(INDIRECT(Equipo!$F$4&amp;"!B10:B1000"),$B84,INDIRECT(Equipo!$F$4&amp;"!"&amp;ADDRESS(10,COLUMN(K$9)+10)&amp;":"&amp;ADDRESS(1000,COLUMN(K$9)+10))),
SUMIF(INDIRECT(Equipo!$G$4&amp;"!B10:B1000"),$B84,INDIRECT(Equipo!$G$4&amp;"!"&amp;ADDRESS(10,COLUMN(K$9)+10)&amp;":"&amp;ADDRESS(1000,COLUMN(K$9)+10)))
))</f>
        <v>-</v>
      </c>
    </row>
    <row r="85" ht="15.75" customHeight="1">
      <c r="C85" s="19" t="str">
        <f>IF(ISBLANK(Tareas!$B81),"-",SUM(D85:K85))</f>
        <v>-</v>
      </c>
      <c r="D85" s="19" t="str">
        <f t="array" ref="D85">IF(ISBLANK(Tareas!$B81),"-",
SUM(
SUMIF(INDIRECT(Equipo!$C$4&amp;"!B10:B1000"),$B85,INDIRECT(Equipo!$C$4&amp;"!"&amp;ADDRESS(10,COLUMN(D$9)+10)&amp;":"&amp;ADDRESS(1000,COLUMN(D$9)+10))),
SUMIF(INDIRECT(Equipo!$D$4&amp;"!B10:B1000"),$B85,INDIRECT(Equipo!$D$4&amp;"!"&amp;ADDRESS(10,COLUMN(D$9)+10)&amp;":"&amp;ADDRESS(1000,COLUMN(D$9)+10))),
SUMIF(INDIRECT(Equipo!$E$4&amp;"!B10:B1000"),$B85,INDIRECT(Equipo!$E$4&amp;"!"&amp;ADDRESS(10,COLUMN(D$9)+10)&amp;":"&amp;ADDRESS(1000,COLUMN(D$9)+10))),
SUMIF(INDIRECT(Equipo!$F$4&amp;"!B10:B1000"),$B85,INDIRECT(Equipo!$F$4&amp;"!"&amp;ADDRESS(10,COLUMN(D$9)+10)&amp;":"&amp;ADDRESS(1000,COLUMN(D$9)+10))),
SUMIF(INDIRECT(Equipo!$G$4&amp;"!B10:B1000"),$B85,INDIRECT(Equipo!$G$4&amp;"!"&amp;ADDRESS(10,COLUMN(D$9)+10)&amp;":"&amp;ADDRESS(1000,COLUMN(D$9)+10)))
))</f>
        <v>-</v>
      </c>
      <c r="E85" s="19" t="str">
        <f t="array" ref="E85">IF(ISBLANK(Tareas!$B81),"-",
SUM(
SUMIF(INDIRECT(Equipo!$C$4&amp;"!B10:B1000"),$B85,INDIRECT(Equipo!$C$4&amp;"!"&amp;ADDRESS(10,COLUMN(E$9)+10)&amp;":"&amp;ADDRESS(1000,COLUMN(E$9)+10))),
SUMIF(INDIRECT(Equipo!$D$4&amp;"!B10:B1000"),$B85,INDIRECT(Equipo!$D$4&amp;"!"&amp;ADDRESS(10,COLUMN(E$9)+10)&amp;":"&amp;ADDRESS(1000,COLUMN(E$9)+10))),
SUMIF(INDIRECT(Equipo!$E$4&amp;"!B10:B1000"),$B85,INDIRECT(Equipo!$E$4&amp;"!"&amp;ADDRESS(10,COLUMN(E$9)+10)&amp;":"&amp;ADDRESS(1000,COLUMN(E$9)+10))),
SUMIF(INDIRECT(Equipo!$F$4&amp;"!B10:B1000"),$B85,INDIRECT(Equipo!$F$4&amp;"!"&amp;ADDRESS(10,COLUMN(E$9)+10)&amp;":"&amp;ADDRESS(1000,COLUMN(E$9)+10))),
SUMIF(INDIRECT(Equipo!$G$4&amp;"!B10:B1000"),$B85,INDIRECT(Equipo!$G$4&amp;"!"&amp;ADDRESS(10,COLUMN(E$9)+10)&amp;":"&amp;ADDRESS(1000,COLUMN(E$9)+10)))
))</f>
        <v>-</v>
      </c>
      <c r="F85" s="19" t="str">
        <f t="array" ref="F85">IF(ISBLANK(Tareas!$B81),"-",
SUM(
SUMIF(INDIRECT(Equipo!$C$4&amp;"!B10:B1000"),$B85,INDIRECT(Equipo!$C$4&amp;"!"&amp;ADDRESS(10,COLUMN(F$9)+10)&amp;":"&amp;ADDRESS(1000,COLUMN(F$9)+10))),
SUMIF(INDIRECT(Equipo!$D$4&amp;"!B10:B1000"),$B85,INDIRECT(Equipo!$D$4&amp;"!"&amp;ADDRESS(10,COLUMN(F$9)+10)&amp;":"&amp;ADDRESS(1000,COLUMN(F$9)+10))),
SUMIF(INDIRECT(Equipo!$E$4&amp;"!B10:B1000"),$B85,INDIRECT(Equipo!$E$4&amp;"!"&amp;ADDRESS(10,COLUMN(F$9)+10)&amp;":"&amp;ADDRESS(1000,COLUMN(F$9)+10))),
SUMIF(INDIRECT(Equipo!$F$4&amp;"!B10:B1000"),$B85,INDIRECT(Equipo!$F$4&amp;"!"&amp;ADDRESS(10,COLUMN(F$9)+10)&amp;":"&amp;ADDRESS(1000,COLUMN(F$9)+10))),
SUMIF(INDIRECT(Equipo!$G$4&amp;"!B10:B1000"),$B85,INDIRECT(Equipo!$G$4&amp;"!"&amp;ADDRESS(10,COLUMN(F$9)+10)&amp;":"&amp;ADDRESS(1000,COLUMN(F$9)+10)))
))</f>
        <v>-</v>
      </c>
      <c r="G85" s="19" t="str">
        <f t="array" ref="G85">IF(ISBLANK(Tareas!$B81),"-",
SUM(
SUMIF(INDIRECT(Equipo!$C$4&amp;"!B10:B1000"),$B85,INDIRECT(Equipo!$C$4&amp;"!"&amp;ADDRESS(10,COLUMN(G$9)+10)&amp;":"&amp;ADDRESS(1000,COLUMN(G$9)+10))),
SUMIF(INDIRECT(Equipo!$D$4&amp;"!B10:B1000"),$B85,INDIRECT(Equipo!$D$4&amp;"!"&amp;ADDRESS(10,COLUMN(G$9)+10)&amp;":"&amp;ADDRESS(1000,COLUMN(G$9)+10))),
SUMIF(INDIRECT(Equipo!$E$4&amp;"!B10:B1000"),$B85,INDIRECT(Equipo!$E$4&amp;"!"&amp;ADDRESS(10,COLUMN(G$9)+10)&amp;":"&amp;ADDRESS(1000,COLUMN(G$9)+10))),
SUMIF(INDIRECT(Equipo!$F$4&amp;"!B10:B1000"),$B85,INDIRECT(Equipo!$F$4&amp;"!"&amp;ADDRESS(10,COLUMN(G$9)+10)&amp;":"&amp;ADDRESS(1000,COLUMN(G$9)+10))),
SUMIF(INDIRECT(Equipo!$G$4&amp;"!B10:B1000"),$B85,INDIRECT(Equipo!$G$4&amp;"!"&amp;ADDRESS(10,COLUMN(G$9)+10)&amp;":"&amp;ADDRESS(1000,COLUMN(G$9)+10)))
))</f>
        <v>-</v>
      </c>
      <c r="H85" s="19" t="str">
        <f t="array" ref="H85">IF(ISBLANK(Tareas!$B81),"-",
SUM(
SUMIF(INDIRECT(Equipo!$C$4&amp;"!B10:B1000"),$B85,INDIRECT(Equipo!$C$4&amp;"!"&amp;ADDRESS(10,COLUMN(H$9)+10)&amp;":"&amp;ADDRESS(1000,COLUMN(H$9)+10))),
SUMIF(INDIRECT(Equipo!$D$4&amp;"!B10:B1000"),$B85,INDIRECT(Equipo!$D$4&amp;"!"&amp;ADDRESS(10,COLUMN(H$9)+10)&amp;":"&amp;ADDRESS(1000,COLUMN(H$9)+10))),
SUMIF(INDIRECT(Equipo!$E$4&amp;"!B10:B1000"),$B85,INDIRECT(Equipo!$E$4&amp;"!"&amp;ADDRESS(10,COLUMN(H$9)+10)&amp;":"&amp;ADDRESS(1000,COLUMN(H$9)+10))),
SUMIF(INDIRECT(Equipo!$F$4&amp;"!B10:B1000"),$B85,INDIRECT(Equipo!$F$4&amp;"!"&amp;ADDRESS(10,COLUMN(H$9)+10)&amp;":"&amp;ADDRESS(1000,COLUMN(H$9)+10))),
SUMIF(INDIRECT(Equipo!$G$4&amp;"!B10:B1000"),$B85,INDIRECT(Equipo!$G$4&amp;"!"&amp;ADDRESS(10,COLUMN(H$9)+10)&amp;":"&amp;ADDRESS(1000,COLUMN(H$9)+10)))
))</f>
        <v>-</v>
      </c>
      <c r="I85" s="19" t="str">
        <f t="array" ref="I85">IF(ISBLANK(Tareas!$B81),"-",
SUM(
SUMIF(INDIRECT(Equipo!$C$4&amp;"!B10:B1000"),$B85,INDIRECT(Equipo!$C$4&amp;"!"&amp;ADDRESS(10,COLUMN(I$9)+10)&amp;":"&amp;ADDRESS(1000,COLUMN(I$9)+10))),
SUMIF(INDIRECT(Equipo!$D$4&amp;"!B10:B1000"),$B85,INDIRECT(Equipo!$D$4&amp;"!"&amp;ADDRESS(10,COLUMN(I$9)+10)&amp;":"&amp;ADDRESS(1000,COLUMN(I$9)+10))),
SUMIF(INDIRECT(Equipo!$E$4&amp;"!B10:B1000"),$B85,INDIRECT(Equipo!$E$4&amp;"!"&amp;ADDRESS(10,COLUMN(I$9)+10)&amp;":"&amp;ADDRESS(1000,COLUMN(I$9)+10))),
SUMIF(INDIRECT(Equipo!$F$4&amp;"!B10:B1000"),$B85,INDIRECT(Equipo!$F$4&amp;"!"&amp;ADDRESS(10,COLUMN(I$9)+10)&amp;":"&amp;ADDRESS(1000,COLUMN(I$9)+10))),
SUMIF(INDIRECT(Equipo!$G$4&amp;"!B10:B1000"),$B85,INDIRECT(Equipo!$G$4&amp;"!"&amp;ADDRESS(10,COLUMN(I$9)+10)&amp;":"&amp;ADDRESS(1000,COLUMN(I$9)+10)))
))</f>
        <v>-</v>
      </c>
      <c r="J85" s="19" t="str">
        <f t="array" ref="J85">IF(ISBLANK(Tareas!$B81),"-",
SUM(
SUMIF(INDIRECT(Equipo!$C$4&amp;"!B10:B1000"),$B85,INDIRECT(Equipo!$C$4&amp;"!"&amp;ADDRESS(10,COLUMN(J$9)+10)&amp;":"&amp;ADDRESS(1000,COLUMN(J$9)+10))),
SUMIF(INDIRECT(Equipo!$D$4&amp;"!B10:B1000"),$B85,INDIRECT(Equipo!$D$4&amp;"!"&amp;ADDRESS(10,COLUMN(J$9)+10)&amp;":"&amp;ADDRESS(1000,COLUMN(J$9)+10))),
SUMIF(INDIRECT(Equipo!$E$4&amp;"!B10:B1000"),$B85,INDIRECT(Equipo!$E$4&amp;"!"&amp;ADDRESS(10,COLUMN(J$9)+10)&amp;":"&amp;ADDRESS(1000,COLUMN(J$9)+10))),
SUMIF(INDIRECT(Equipo!$F$4&amp;"!B10:B1000"),$B85,INDIRECT(Equipo!$F$4&amp;"!"&amp;ADDRESS(10,COLUMN(J$9)+10)&amp;":"&amp;ADDRESS(1000,COLUMN(J$9)+10))),
SUMIF(INDIRECT(Equipo!$G$4&amp;"!B10:B1000"),$B85,INDIRECT(Equipo!$G$4&amp;"!"&amp;ADDRESS(10,COLUMN(J$9)+10)&amp;":"&amp;ADDRESS(1000,COLUMN(J$9)+10)))
))</f>
        <v>-</v>
      </c>
      <c r="K85" s="19" t="str">
        <f t="array" ref="K85">IF(ISBLANK(Tareas!$B81),"-",
SUM(
SUMIF(INDIRECT(Equipo!$C$4&amp;"!B10:B1000"),$B85,INDIRECT(Equipo!$C$4&amp;"!"&amp;ADDRESS(10,COLUMN(K$9)+10)&amp;":"&amp;ADDRESS(1000,COLUMN(K$9)+10))),
SUMIF(INDIRECT(Equipo!$D$4&amp;"!B10:B1000"),$B85,INDIRECT(Equipo!$D$4&amp;"!"&amp;ADDRESS(10,COLUMN(K$9)+10)&amp;":"&amp;ADDRESS(1000,COLUMN(K$9)+10))),
SUMIF(INDIRECT(Equipo!$E$4&amp;"!B10:B1000"),$B85,INDIRECT(Equipo!$E$4&amp;"!"&amp;ADDRESS(10,COLUMN(K$9)+10)&amp;":"&amp;ADDRESS(1000,COLUMN(K$9)+10))),
SUMIF(INDIRECT(Equipo!$F$4&amp;"!B10:B1000"),$B85,INDIRECT(Equipo!$F$4&amp;"!"&amp;ADDRESS(10,COLUMN(K$9)+10)&amp;":"&amp;ADDRESS(1000,COLUMN(K$9)+10))),
SUMIF(INDIRECT(Equipo!$G$4&amp;"!B10:B1000"),$B85,INDIRECT(Equipo!$G$4&amp;"!"&amp;ADDRESS(10,COLUMN(K$9)+10)&amp;":"&amp;ADDRESS(1000,COLUMN(K$9)+10)))
))</f>
        <v>-</v>
      </c>
    </row>
    <row r="86" ht="15.75" customHeight="1">
      <c r="C86" s="19" t="str">
        <f>IF(ISBLANK(Tareas!$B82),"-",SUM(D86:K86))</f>
        <v>-</v>
      </c>
      <c r="D86" s="19" t="str">
        <f t="array" ref="D86">IF(ISBLANK(Tareas!$B82),"-",
SUM(
SUMIF(INDIRECT(Equipo!$C$4&amp;"!B10:B1000"),$B86,INDIRECT(Equipo!$C$4&amp;"!"&amp;ADDRESS(10,COLUMN(D$9)+10)&amp;":"&amp;ADDRESS(1000,COLUMN(D$9)+10))),
SUMIF(INDIRECT(Equipo!$D$4&amp;"!B10:B1000"),$B86,INDIRECT(Equipo!$D$4&amp;"!"&amp;ADDRESS(10,COLUMN(D$9)+10)&amp;":"&amp;ADDRESS(1000,COLUMN(D$9)+10))),
SUMIF(INDIRECT(Equipo!$E$4&amp;"!B10:B1000"),$B86,INDIRECT(Equipo!$E$4&amp;"!"&amp;ADDRESS(10,COLUMN(D$9)+10)&amp;":"&amp;ADDRESS(1000,COLUMN(D$9)+10))),
SUMIF(INDIRECT(Equipo!$F$4&amp;"!B10:B1000"),$B86,INDIRECT(Equipo!$F$4&amp;"!"&amp;ADDRESS(10,COLUMN(D$9)+10)&amp;":"&amp;ADDRESS(1000,COLUMN(D$9)+10))),
SUMIF(INDIRECT(Equipo!$G$4&amp;"!B10:B1000"),$B86,INDIRECT(Equipo!$G$4&amp;"!"&amp;ADDRESS(10,COLUMN(D$9)+10)&amp;":"&amp;ADDRESS(1000,COLUMN(D$9)+10)))
))</f>
        <v>-</v>
      </c>
      <c r="E86" s="19" t="str">
        <f t="array" ref="E86">IF(ISBLANK(Tareas!$B82),"-",
SUM(
SUMIF(INDIRECT(Equipo!$C$4&amp;"!B10:B1000"),$B86,INDIRECT(Equipo!$C$4&amp;"!"&amp;ADDRESS(10,COLUMN(E$9)+10)&amp;":"&amp;ADDRESS(1000,COLUMN(E$9)+10))),
SUMIF(INDIRECT(Equipo!$D$4&amp;"!B10:B1000"),$B86,INDIRECT(Equipo!$D$4&amp;"!"&amp;ADDRESS(10,COLUMN(E$9)+10)&amp;":"&amp;ADDRESS(1000,COLUMN(E$9)+10))),
SUMIF(INDIRECT(Equipo!$E$4&amp;"!B10:B1000"),$B86,INDIRECT(Equipo!$E$4&amp;"!"&amp;ADDRESS(10,COLUMN(E$9)+10)&amp;":"&amp;ADDRESS(1000,COLUMN(E$9)+10))),
SUMIF(INDIRECT(Equipo!$F$4&amp;"!B10:B1000"),$B86,INDIRECT(Equipo!$F$4&amp;"!"&amp;ADDRESS(10,COLUMN(E$9)+10)&amp;":"&amp;ADDRESS(1000,COLUMN(E$9)+10))),
SUMIF(INDIRECT(Equipo!$G$4&amp;"!B10:B1000"),$B86,INDIRECT(Equipo!$G$4&amp;"!"&amp;ADDRESS(10,COLUMN(E$9)+10)&amp;":"&amp;ADDRESS(1000,COLUMN(E$9)+10)))
))</f>
        <v>-</v>
      </c>
      <c r="F86" s="19" t="str">
        <f t="array" ref="F86">IF(ISBLANK(Tareas!$B82),"-",
SUM(
SUMIF(INDIRECT(Equipo!$C$4&amp;"!B10:B1000"),$B86,INDIRECT(Equipo!$C$4&amp;"!"&amp;ADDRESS(10,COLUMN(F$9)+10)&amp;":"&amp;ADDRESS(1000,COLUMN(F$9)+10))),
SUMIF(INDIRECT(Equipo!$D$4&amp;"!B10:B1000"),$B86,INDIRECT(Equipo!$D$4&amp;"!"&amp;ADDRESS(10,COLUMN(F$9)+10)&amp;":"&amp;ADDRESS(1000,COLUMN(F$9)+10))),
SUMIF(INDIRECT(Equipo!$E$4&amp;"!B10:B1000"),$B86,INDIRECT(Equipo!$E$4&amp;"!"&amp;ADDRESS(10,COLUMN(F$9)+10)&amp;":"&amp;ADDRESS(1000,COLUMN(F$9)+10))),
SUMIF(INDIRECT(Equipo!$F$4&amp;"!B10:B1000"),$B86,INDIRECT(Equipo!$F$4&amp;"!"&amp;ADDRESS(10,COLUMN(F$9)+10)&amp;":"&amp;ADDRESS(1000,COLUMN(F$9)+10))),
SUMIF(INDIRECT(Equipo!$G$4&amp;"!B10:B1000"),$B86,INDIRECT(Equipo!$G$4&amp;"!"&amp;ADDRESS(10,COLUMN(F$9)+10)&amp;":"&amp;ADDRESS(1000,COLUMN(F$9)+10)))
))</f>
        <v>-</v>
      </c>
      <c r="G86" s="19" t="str">
        <f t="array" ref="G86">IF(ISBLANK(Tareas!$B82),"-",
SUM(
SUMIF(INDIRECT(Equipo!$C$4&amp;"!B10:B1000"),$B86,INDIRECT(Equipo!$C$4&amp;"!"&amp;ADDRESS(10,COLUMN(G$9)+10)&amp;":"&amp;ADDRESS(1000,COLUMN(G$9)+10))),
SUMIF(INDIRECT(Equipo!$D$4&amp;"!B10:B1000"),$B86,INDIRECT(Equipo!$D$4&amp;"!"&amp;ADDRESS(10,COLUMN(G$9)+10)&amp;":"&amp;ADDRESS(1000,COLUMN(G$9)+10))),
SUMIF(INDIRECT(Equipo!$E$4&amp;"!B10:B1000"),$B86,INDIRECT(Equipo!$E$4&amp;"!"&amp;ADDRESS(10,COLUMN(G$9)+10)&amp;":"&amp;ADDRESS(1000,COLUMN(G$9)+10))),
SUMIF(INDIRECT(Equipo!$F$4&amp;"!B10:B1000"),$B86,INDIRECT(Equipo!$F$4&amp;"!"&amp;ADDRESS(10,COLUMN(G$9)+10)&amp;":"&amp;ADDRESS(1000,COLUMN(G$9)+10))),
SUMIF(INDIRECT(Equipo!$G$4&amp;"!B10:B1000"),$B86,INDIRECT(Equipo!$G$4&amp;"!"&amp;ADDRESS(10,COLUMN(G$9)+10)&amp;":"&amp;ADDRESS(1000,COLUMN(G$9)+10)))
))</f>
        <v>-</v>
      </c>
      <c r="H86" s="19" t="str">
        <f t="array" ref="H86">IF(ISBLANK(Tareas!$B82),"-",
SUM(
SUMIF(INDIRECT(Equipo!$C$4&amp;"!B10:B1000"),$B86,INDIRECT(Equipo!$C$4&amp;"!"&amp;ADDRESS(10,COLUMN(H$9)+10)&amp;":"&amp;ADDRESS(1000,COLUMN(H$9)+10))),
SUMIF(INDIRECT(Equipo!$D$4&amp;"!B10:B1000"),$B86,INDIRECT(Equipo!$D$4&amp;"!"&amp;ADDRESS(10,COLUMN(H$9)+10)&amp;":"&amp;ADDRESS(1000,COLUMN(H$9)+10))),
SUMIF(INDIRECT(Equipo!$E$4&amp;"!B10:B1000"),$B86,INDIRECT(Equipo!$E$4&amp;"!"&amp;ADDRESS(10,COLUMN(H$9)+10)&amp;":"&amp;ADDRESS(1000,COLUMN(H$9)+10))),
SUMIF(INDIRECT(Equipo!$F$4&amp;"!B10:B1000"),$B86,INDIRECT(Equipo!$F$4&amp;"!"&amp;ADDRESS(10,COLUMN(H$9)+10)&amp;":"&amp;ADDRESS(1000,COLUMN(H$9)+10))),
SUMIF(INDIRECT(Equipo!$G$4&amp;"!B10:B1000"),$B86,INDIRECT(Equipo!$G$4&amp;"!"&amp;ADDRESS(10,COLUMN(H$9)+10)&amp;":"&amp;ADDRESS(1000,COLUMN(H$9)+10)))
))</f>
        <v>-</v>
      </c>
      <c r="I86" s="19" t="str">
        <f t="array" ref="I86">IF(ISBLANK(Tareas!$B82),"-",
SUM(
SUMIF(INDIRECT(Equipo!$C$4&amp;"!B10:B1000"),$B86,INDIRECT(Equipo!$C$4&amp;"!"&amp;ADDRESS(10,COLUMN(I$9)+10)&amp;":"&amp;ADDRESS(1000,COLUMN(I$9)+10))),
SUMIF(INDIRECT(Equipo!$D$4&amp;"!B10:B1000"),$B86,INDIRECT(Equipo!$D$4&amp;"!"&amp;ADDRESS(10,COLUMN(I$9)+10)&amp;":"&amp;ADDRESS(1000,COLUMN(I$9)+10))),
SUMIF(INDIRECT(Equipo!$E$4&amp;"!B10:B1000"),$B86,INDIRECT(Equipo!$E$4&amp;"!"&amp;ADDRESS(10,COLUMN(I$9)+10)&amp;":"&amp;ADDRESS(1000,COLUMN(I$9)+10))),
SUMIF(INDIRECT(Equipo!$F$4&amp;"!B10:B1000"),$B86,INDIRECT(Equipo!$F$4&amp;"!"&amp;ADDRESS(10,COLUMN(I$9)+10)&amp;":"&amp;ADDRESS(1000,COLUMN(I$9)+10))),
SUMIF(INDIRECT(Equipo!$G$4&amp;"!B10:B1000"),$B86,INDIRECT(Equipo!$G$4&amp;"!"&amp;ADDRESS(10,COLUMN(I$9)+10)&amp;":"&amp;ADDRESS(1000,COLUMN(I$9)+10)))
))</f>
        <v>-</v>
      </c>
      <c r="J86" s="19" t="str">
        <f t="array" ref="J86">IF(ISBLANK(Tareas!$B82),"-",
SUM(
SUMIF(INDIRECT(Equipo!$C$4&amp;"!B10:B1000"),$B86,INDIRECT(Equipo!$C$4&amp;"!"&amp;ADDRESS(10,COLUMN(J$9)+10)&amp;":"&amp;ADDRESS(1000,COLUMN(J$9)+10))),
SUMIF(INDIRECT(Equipo!$D$4&amp;"!B10:B1000"),$B86,INDIRECT(Equipo!$D$4&amp;"!"&amp;ADDRESS(10,COLUMN(J$9)+10)&amp;":"&amp;ADDRESS(1000,COLUMN(J$9)+10))),
SUMIF(INDIRECT(Equipo!$E$4&amp;"!B10:B1000"),$B86,INDIRECT(Equipo!$E$4&amp;"!"&amp;ADDRESS(10,COLUMN(J$9)+10)&amp;":"&amp;ADDRESS(1000,COLUMN(J$9)+10))),
SUMIF(INDIRECT(Equipo!$F$4&amp;"!B10:B1000"),$B86,INDIRECT(Equipo!$F$4&amp;"!"&amp;ADDRESS(10,COLUMN(J$9)+10)&amp;":"&amp;ADDRESS(1000,COLUMN(J$9)+10))),
SUMIF(INDIRECT(Equipo!$G$4&amp;"!B10:B1000"),$B86,INDIRECT(Equipo!$G$4&amp;"!"&amp;ADDRESS(10,COLUMN(J$9)+10)&amp;":"&amp;ADDRESS(1000,COLUMN(J$9)+10)))
))</f>
        <v>-</v>
      </c>
      <c r="K86" s="19" t="str">
        <f t="array" ref="K86">IF(ISBLANK(Tareas!$B82),"-",
SUM(
SUMIF(INDIRECT(Equipo!$C$4&amp;"!B10:B1000"),$B86,INDIRECT(Equipo!$C$4&amp;"!"&amp;ADDRESS(10,COLUMN(K$9)+10)&amp;":"&amp;ADDRESS(1000,COLUMN(K$9)+10))),
SUMIF(INDIRECT(Equipo!$D$4&amp;"!B10:B1000"),$B86,INDIRECT(Equipo!$D$4&amp;"!"&amp;ADDRESS(10,COLUMN(K$9)+10)&amp;":"&amp;ADDRESS(1000,COLUMN(K$9)+10))),
SUMIF(INDIRECT(Equipo!$E$4&amp;"!B10:B1000"),$B86,INDIRECT(Equipo!$E$4&amp;"!"&amp;ADDRESS(10,COLUMN(K$9)+10)&amp;":"&amp;ADDRESS(1000,COLUMN(K$9)+10))),
SUMIF(INDIRECT(Equipo!$F$4&amp;"!B10:B1000"),$B86,INDIRECT(Equipo!$F$4&amp;"!"&amp;ADDRESS(10,COLUMN(K$9)+10)&amp;":"&amp;ADDRESS(1000,COLUMN(K$9)+10))),
SUMIF(INDIRECT(Equipo!$G$4&amp;"!B10:B1000"),$B86,INDIRECT(Equipo!$G$4&amp;"!"&amp;ADDRESS(10,COLUMN(K$9)+10)&amp;":"&amp;ADDRESS(1000,COLUMN(K$9)+10)))
))</f>
        <v>-</v>
      </c>
    </row>
    <row r="87" ht="15.75" customHeight="1">
      <c r="C87" s="19" t="str">
        <f>IF(ISBLANK(Tareas!$B83),"-",SUM(D87:K87))</f>
        <v>-</v>
      </c>
      <c r="D87" s="19" t="str">
        <f t="array" ref="D87">IF(ISBLANK(Tareas!$B83),"-",
SUM(
SUMIF(INDIRECT(Equipo!$C$4&amp;"!B10:B1000"),$B87,INDIRECT(Equipo!$C$4&amp;"!"&amp;ADDRESS(10,COLUMN(D$9)+10)&amp;":"&amp;ADDRESS(1000,COLUMN(D$9)+10))),
SUMIF(INDIRECT(Equipo!$D$4&amp;"!B10:B1000"),$B87,INDIRECT(Equipo!$D$4&amp;"!"&amp;ADDRESS(10,COLUMN(D$9)+10)&amp;":"&amp;ADDRESS(1000,COLUMN(D$9)+10))),
SUMIF(INDIRECT(Equipo!$E$4&amp;"!B10:B1000"),$B87,INDIRECT(Equipo!$E$4&amp;"!"&amp;ADDRESS(10,COLUMN(D$9)+10)&amp;":"&amp;ADDRESS(1000,COLUMN(D$9)+10))),
SUMIF(INDIRECT(Equipo!$F$4&amp;"!B10:B1000"),$B87,INDIRECT(Equipo!$F$4&amp;"!"&amp;ADDRESS(10,COLUMN(D$9)+10)&amp;":"&amp;ADDRESS(1000,COLUMN(D$9)+10))),
SUMIF(INDIRECT(Equipo!$G$4&amp;"!B10:B1000"),$B87,INDIRECT(Equipo!$G$4&amp;"!"&amp;ADDRESS(10,COLUMN(D$9)+10)&amp;":"&amp;ADDRESS(1000,COLUMN(D$9)+10)))
))</f>
        <v>-</v>
      </c>
      <c r="E87" s="19" t="str">
        <f t="array" ref="E87">IF(ISBLANK(Tareas!$B83),"-",
SUM(
SUMIF(INDIRECT(Equipo!$C$4&amp;"!B10:B1000"),$B87,INDIRECT(Equipo!$C$4&amp;"!"&amp;ADDRESS(10,COLUMN(E$9)+10)&amp;":"&amp;ADDRESS(1000,COLUMN(E$9)+10))),
SUMIF(INDIRECT(Equipo!$D$4&amp;"!B10:B1000"),$B87,INDIRECT(Equipo!$D$4&amp;"!"&amp;ADDRESS(10,COLUMN(E$9)+10)&amp;":"&amp;ADDRESS(1000,COLUMN(E$9)+10))),
SUMIF(INDIRECT(Equipo!$E$4&amp;"!B10:B1000"),$B87,INDIRECT(Equipo!$E$4&amp;"!"&amp;ADDRESS(10,COLUMN(E$9)+10)&amp;":"&amp;ADDRESS(1000,COLUMN(E$9)+10))),
SUMIF(INDIRECT(Equipo!$F$4&amp;"!B10:B1000"),$B87,INDIRECT(Equipo!$F$4&amp;"!"&amp;ADDRESS(10,COLUMN(E$9)+10)&amp;":"&amp;ADDRESS(1000,COLUMN(E$9)+10))),
SUMIF(INDIRECT(Equipo!$G$4&amp;"!B10:B1000"),$B87,INDIRECT(Equipo!$G$4&amp;"!"&amp;ADDRESS(10,COLUMN(E$9)+10)&amp;":"&amp;ADDRESS(1000,COLUMN(E$9)+10)))
))</f>
        <v>-</v>
      </c>
      <c r="F87" s="19" t="str">
        <f t="array" ref="F87">IF(ISBLANK(Tareas!$B83),"-",
SUM(
SUMIF(INDIRECT(Equipo!$C$4&amp;"!B10:B1000"),$B87,INDIRECT(Equipo!$C$4&amp;"!"&amp;ADDRESS(10,COLUMN(F$9)+10)&amp;":"&amp;ADDRESS(1000,COLUMN(F$9)+10))),
SUMIF(INDIRECT(Equipo!$D$4&amp;"!B10:B1000"),$B87,INDIRECT(Equipo!$D$4&amp;"!"&amp;ADDRESS(10,COLUMN(F$9)+10)&amp;":"&amp;ADDRESS(1000,COLUMN(F$9)+10))),
SUMIF(INDIRECT(Equipo!$E$4&amp;"!B10:B1000"),$B87,INDIRECT(Equipo!$E$4&amp;"!"&amp;ADDRESS(10,COLUMN(F$9)+10)&amp;":"&amp;ADDRESS(1000,COLUMN(F$9)+10))),
SUMIF(INDIRECT(Equipo!$F$4&amp;"!B10:B1000"),$B87,INDIRECT(Equipo!$F$4&amp;"!"&amp;ADDRESS(10,COLUMN(F$9)+10)&amp;":"&amp;ADDRESS(1000,COLUMN(F$9)+10))),
SUMIF(INDIRECT(Equipo!$G$4&amp;"!B10:B1000"),$B87,INDIRECT(Equipo!$G$4&amp;"!"&amp;ADDRESS(10,COLUMN(F$9)+10)&amp;":"&amp;ADDRESS(1000,COLUMN(F$9)+10)))
))</f>
        <v>-</v>
      </c>
      <c r="G87" s="19" t="str">
        <f t="array" ref="G87">IF(ISBLANK(Tareas!$B83),"-",
SUM(
SUMIF(INDIRECT(Equipo!$C$4&amp;"!B10:B1000"),$B87,INDIRECT(Equipo!$C$4&amp;"!"&amp;ADDRESS(10,COLUMN(G$9)+10)&amp;":"&amp;ADDRESS(1000,COLUMN(G$9)+10))),
SUMIF(INDIRECT(Equipo!$D$4&amp;"!B10:B1000"),$B87,INDIRECT(Equipo!$D$4&amp;"!"&amp;ADDRESS(10,COLUMN(G$9)+10)&amp;":"&amp;ADDRESS(1000,COLUMN(G$9)+10))),
SUMIF(INDIRECT(Equipo!$E$4&amp;"!B10:B1000"),$B87,INDIRECT(Equipo!$E$4&amp;"!"&amp;ADDRESS(10,COLUMN(G$9)+10)&amp;":"&amp;ADDRESS(1000,COLUMN(G$9)+10))),
SUMIF(INDIRECT(Equipo!$F$4&amp;"!B10:B1000"),$B87,INDIRECT(Equipo!$F$4&amp;"!"&amp;ADDRESS(10,COLUMN(G$9)+10)&amp;":"&amp;ADDRESS(1000,COLUMN(G$9)+10))),
SUMIF(INDIRECT(Equipo!$G$4&amp;"!B10:B1000"),$B87,INDIRECT(Equipo!$G$4&amp;"!"&amp;ADDRESS(10,COLUMN(G$9)+10)&amp;":"&amp;ADDRESS(1000,COLUMN(G$9)+10)))
))</f>
        <v>-</v>
      </c>
      <c r="H87" s="19" t="str">
        <f t="array" ref="H87">IF(ISBLANK(Tareas!$B83),"-",
SUM(
SUMIF(INDIRECT(Equipo!$C$4&amp;"!B10:B1000"),$B87,INDIRECT(Equipo!$C$4&amp;"!"&amp;ADDRESS(10,COLUMN(H$9)+10)&amp;":"&amp;ADDRESS(1000,COLUMN(H$9)+10))),
SUMIF(INDIRECT(Equipo!$D$4&amp;"!B10:B1000"),$B87,INDIRECT(Equipo!$D$4&amp;"!"&amp;ADDRESS(10,COLUMN(H$9)+10)&amp;":"&amp;ADDRESS(1000,COLUMN(H$9)+10))),
SUMIF(INDIRECT(Equipo!$E$4&amp;"!B10:B1000"),$B87,INDIRECT(Equipo!$E$4&amp;"!"&amp;ADDRESS(10,COLUMN(H$9)+10)&amp;":"&amp;ADDRESS(1000,COLUMN(H$9)+10))),
SUMIF(INDIRECT(Equipo!$F$4&amp;"!B10:B1000"),$B87,INDIRECT(Equipo!$F$4&amp;"!"&amp;ADDRESS(10,COLUMN(H$9)+10)&amp;":"&amp;ADDRESS(1000,COLUMN(H$9)+10))),
SUMIF(INDIRECT(Equipo!$G$4&amp;"!B10:B1000"),$B87,INDIRECT(Equipo!$G$4&amp;"!"&amp;ADDRESS(10,COLUMN(H$9)+10)&amp;":"&amp;ADDRESS(1000,COLUMN(H$9)+10)))
))</f>
        <v>-</v>
      </c>
      <c r="I87" s="19" t="str">
        <f t="array" ref="I87">IF(ISBLANK(Tareas!$B83),"-",
SUM(
SUMIF(INDIRECT(Equipo!$C$4&amp;"!B10:B1000"),$B87,INDIRECT(Equipo!$C$4&amp;"!"&amp;ADDRESS(10,COLUMN(I$9)+10)&amp;":"&amp;ADDRESS(1000,COLUMN(I$9)+10))),
SUMIF(INDIRECT(Equipo!$D$4&amp;"!B10:B1000"),$B87,INDIRECT(Equipo!$D$4&amp;"!"&amp;ADDRESS(10,COLUMN(I$9)+10)&amp;":"&amp;ADDRESS(1000,COLUMN(I$9)+10))),
SUMIF(INDIRECT(Equipo!$E$4&amp;"!B10:B1000"),$B87,INDIRECT(Equipo!$E$4&amp;"!"&amp;ADDRESS(10,COLUMN(I$9)+10)&amp;":"&amp;ADDRESS(1000,COLUMN(I$9)+10))),
SUMIF(INDIRECT(Equipo!$F$4&amp;"!B10:B1000"),$B87,INDIRECT(Equipo!$F$4&amp;"!"&amp;ADDRESS(10,COLUMN(I$9)+10)&amp;":"&amp;ADDRESS(1000,COLUMN(I$9)+10))),
SUMIF(INDIRECT(Equipo!$G$4&amp;"!B10:B1000"),$B87,INDIRECT(Equipo!$G$4&amp;"!"&amp;ADDRESS(10,COLUMN(I$9)+10)&amp;":"&amp;ADDRESS(1000,COLUMN(I$9)+10)))
))</f>
        <v>-</v>
      </c>
      <c r="J87" s="19" t="str">
        <f t="array" ref="J87">IF(ISBLANK(Tareas!$B83),"-",
SUM(
SUMIF(INDIRECT(Equipo!$C$4&amp;"!B10:B1000"),$B87,INDIRECT(Equipo!$C$4&amp;"!"&amp;ADDRESS(10,COLUMN(J$9)+10)&amp;":"&amp;ADDRESS(1000,COLUMN(J$9)+10))),
SUMIF(INDIRECT(Equipo!$D$4&amp;"!B10:B1000"),$B87,INDIRECT(Equipo!$D$4&amp;"!"&amp;ADDRESS(10,COLUMN(J$9)+10)&amp;":"&amp;ADDRESS(1000,COLUMN(J$9)+10))),
SUMIF(INDIRECT(Equipo!$E$4&amp;"!B10:B1000"),$B87,INDIRECT(Equipo!$E$4&amp;"!"&amp;ADDRESS(10,COLUMN(J$9)+10)&amp;":"&amp;ADDRESS(1000,COLUMN(J$9)+10))),
SUMIF(INDIRECT(Equipo!$F$4&amp;"!B10:B1000"),$B87,INDIRECT(Equipo!$F$4&amp;"!"&amp;ADDRESS(10,COLUMN(J$9)+10)&amp;":"&amp;ADDRESS(1000,COLUMN(J$9)+10))),
SUMIF(INDIRECT(Equipo!$G$4&amp;"!B10:B1000"),$B87,INDIRECT(Equipo!$G$4&amp;"!"&amp;ADDRESS(10,COLUMN(J$9)+10)&amp;":"&amp;ADDRESS(1000,COLUMN(J$9)+10)))
))</f>
        <v>-</v>
      </c>
      <c r="K87" s="19" t="str">
        <f t="array" ref="K87">IF(ISBLANK(Tareas!$B83),"-",
SUM(
SUMIF(INDIRECT(Equipo!$C$4&amp;"!B10:B1000"),$B87,INDIRECT(Equipo!$C$4&amp;"!"&amp;ADDRESS(10,COLUMN(K$9)+10)&amp;":"&amp;ADDRESS(1000,COLUMN(K$9)+10))),
SUMIF(INDIRECT(Equipo!$D$4&amp;"!B10:B1000"),$B87,INDIRECT(Equipo!$D$4&amp;"!"&amp;ADDRESS(10,COLUMN(K$9)+10)&amp;":"&amp;ADDRESS(1000,COLUMN(K$9)+10))),
SUMIF(INDIRECT(Equipo!$E$4&amp;"!B10:B1000"),$B87,INDIRECT(Equipo!$E$4&amp;"!"&amp;ADDRESS(10,COLUMN(K$9)+10)&amp;":"&amp;ADDRESS(1000,COLUMN(K$9)+10))),
SUMIF(INDIRECT(Equipo!$F$4&amp;"!B10:B1000"),$B87,INDIRECT(Equipo!$F$4&amp;"!"&amp;ADDRESS(10,COLUMN(K$9)+10)&amp;":"&amp;ADDRESS(1000,COLUMN(K$9)+10))),
SUMIF(INDIRECT(Equipo!$G$4&amp;"!B10:B1000"),$B87,INDIRECT(Equipo!$G$4&amp;"!"&amp;ADDRESS(10,COLUMN(K$9)+10)&amp;":"&amp;ADDRESS(1000,COLUMN(K$9)+10)))
))</f>
        <v>-</v>
      </c>
    </row>
    <row r="88" ht="15.75" customHeight="1">
      <c r="C88" s="19" t="str">
        <f>IF(ISBLANK(Tareas!$B84),"-",SUM(D88:K88))</f>
        <v>-</v>
      </c>
      <c r="D88" s="19" t="str">
        <f t="array" ref="D88">IF(ISBLANK(Tareas!$B84),"-",
SUM(
SUMIF(INDIRECT(Equipo!$C$4&amp;"!B10:B1000"),$B88,INDIRECT(Equipo!$C$4&amp;"!"&amp;ADDRESS(10,COLUMN(D$9)+10)&amp;":"&amp;ADDRESS(1000,COLUMN(D$9)+10))),
SUMIF(INDIRECT(Equipo!$D$4&amp;"!B10:B1000"),$B88,INDIRECT(Equipo!$D$4&amp;"!"&amp;ADDRESS(10,COLUMN(D$9)+10)&amp;":"&amp;ADDRESS(1000,COLUMN(D$9)+10))),
SUMIF(INDIRECT(Equipo!$E$4&amp;"!B10:B1000"),$B88,INDIRECT(Equipo!$E$4&amp;"!"&amp;ADDRESS(10,COLUMN(D$9)+10)&amp;":"&amp;ADDRESS(1000,COLUMN(D$9)+10))),
SUMIF(INDIRECT(Equipo!$F$4&amp;"!B10:B1000"),$B88,INDIRECT(Equipo!$F$4&amp;"!"&amp;ADDRESS(10,COLUMN(D$9)+10)&amp;":"&amp;ADDRESS(1000,COLUMN(D$9)+10))),
SUMIF(INDIRECT(Equipo!$G$4&amp;"!B10:B1000"),$B88,INDIRECT(Equipo!$G$4&amp;"!"&amp;ADDRESS(10,COLUMN(D$9)+10)&amp;":"&amp;ADDRESS(1000,COLUMN(D$9)+10)))
))</f>
        <v>-</v>
      </c>
      <c r="E88" s="19" t="str">
        <f t="array" ref="E88">IF(ISBLANK(Tareas!$B84),"-",
SUM(
SUMIF(INDIRECT(Equipo!$C$4&amp;"!B10:B1000"),$B88,INDIRECT(Equipo!$C$4&amp;"!"&amp;ADDRESS(10,COLUMN(E$9)+10)&amp;":"&amp;ADDRESS(1000,COLUMN(E$9)+10))),
SUMIF(INDIRECT(Equipo!$D$4&amp;"!B10:B1000"),$B88,INDIRECT(Equipo!$D$4&amp;"!"&amp;ADDRESS(10,COLUMN(E$9)+10)&amp;":"&amp;ADDRESS(1000,COLUMN(E$9)+10))),
SUMIF(INDIRECT(Equipo!$E$4&amp;"!B10:B1000"),$B88,INDIRECT(Equipo!$E$4&amp;"!"&amp;ADDRESS(10,COLUMN(E$9)+10)&amp;":"&amp;ADDRESS(1000,COLUMN(E$9)+10))),
SUMIF(INDIRECT(Equipo!$F$4&amp;"!B10:B1000"),$B88,INDIRECT(Equipo!$F$4&amp;"!"&amp;ADDRESS(10,COLUMN(E$9)+10)&amp;":"&amp;ADDRESS(1000,COLUMN(E$9)+10))),
SUMIF(INDIRECT(Equipo!$G$4&amp;"!B10:B1000"),$B88,INDIRECT(Equipo!$G$4&amp;"!"&amp;ADDRESS(10,COLUMN(E$9)+10)&amp;":"&amp;ADDRESS(1000,COLUMN(E$9)+10)))
))</f>
        <v>-</v>
      </c>
      <c r="F88" s="19" t="str">
        <f t="array" ref="F88">IF(ISBLANK(Tareas!$B84),"-",
SUM(
SUMIF(INDIRECT(Equipo!$C$4&amp;"!B10:B1000"),$B88,INDIRECT(Equipo!$C$4&amp;"!"&amp;ADDRESS(10,COLUMN(F$9)+10)&amp;":"&amp;ADDRESS(1000,COLUMN(F$9)+10))),
SUMIF(INDIRECT(Equipo!$D$4&amp;"!B10:B1000"),$B88,INDIRECT(Equipo!$D$4&amp;"!"&amp;ADDRESS(10,COLUMN(F$9)+10)&amp;":"&amp;ADDRESS(1000,COLUMN(F$9)+10))),
SUMIF(INDIRECT(Equipo!$E$4&amp;"!B10:B1000"),$B88,INDIRECT(Equipo!$E$4&amp;"!"&amp;ADDRESS(10,COLUMN(F$9)+10)&amp;":"&amp;ADDRESS(1000,COLUMN(F$9)+10))),
SUMIF(INDIRECT(Equipo!$F$4&amp;"!B10:B1000"),$B88,INDIRECT(Equipo!$F$4&amp;"!"&amp;ADDRESS(10,COLUMN(F$9)+10)&amp;":"&amp;ADDRESS(1000,COLUMN(F$9)+10))),
SUMIF(INDIRECT(Equipo!$G$4&amp;"!B10:B1000"),$B88,INDIRECT(Equipo!$G$4&amp;"!"&amp;ADDRESS(10,COLUMN(F$9)+10)&amp;":"&amp;ADDRESS(1000,COLUMN(F$9)+10)))
))</f>
        <v>-</v>
      </c>
      <c r="G88" s="19" t="str">
        <f t="array" ref="G88">IF(ISBLANK(Tareas!$B84),"-",
SUM(
SUMIF(INDIRECT(Equipo!$C$4&amp;"!B10:B1000"),$B88,INDIRECT(Equipo!$C$4&amp;"!"&amp;ADDRESS(10,COLUMN(G$9)+10)&amp;":"&amp;ADDRESS(1000,COLUMN(G$9)+10))),
SUMIF(INDIRECT(Equipo!$D$4&amp;"!B10:B1000"),$B88,INDIRECT(Equipo!$D$4&amp;"!"&amp;ADDRESS(10,COLUMN(G$9)+10)&amp;":"&amp;ADDRESS(1000,COLUMN(G$9)+10))),
SUMIF(INDIRECT(Equipo!$E$4&amp;"!B10:B1000"),$B88,INDIRECT(Equipo!$E$4&amp;"!"&amp;ADDRESS(10,COLUMN(G$9)+10)&amp;":"&amp;ADDRESS(1000,COLUMN(G$9)+10))),
SUMIF(INDIRECT(Equipo!$F$4&amp;"!B10:B1000"),$B88,INDIRECT(Equipo!$F$4&amp;"!"&amp;ADDRESS(10,COLUMN(G$9)+10)&amp;":"&amp;ADDRESS(1000,COLUMN(G$9)+10))),
SUMIF(INDIRECT(Equipo!$G$4&amp;"!B10:B1000"),$B88,INDIRECT(Equipo!$G$4&amp;"!"&amp;ADDRESS(10,COLUMN(G$9)+10)&amp;":"&amp;ADDRESS(1000,COLUMN(G$9)+10)))
))</f>
        <v>-</v>
      </c>
      <c r="H88" s="19" t="str">
        <f t="array" ref="H88">IF(ISBLANK(Tareas!$B84),"-",
SUM(
SUMIF(INDIRECT(Equipo!$C$4&amp;"!B10:B1000"),$B88,INDIRECT(Equipo!$C$4&amp;"!"&amp;ADDRESS(10,COLUMN(H$9)+10)&amp;":"&amp;ADDRESS(1000,COLUMN(H$9)+10))),
SUMIF(INDIRECT(Equipo!$D$4&amp;"!B10:B1000"),$B88,INDIRECT(Equipo!$D$4&amp;"!"&amp;ADDRESS(10,COLUMN(H$9)+10)&amp;":"&amp;ADDRESS(1000,COLUMN(H$9)+10))),
SUMIF(INDIRECT(Equipo!$E$4&amp;"!B10:B1000"),$B88,INDIRECT(Equipo!$E$4&amp;"!"&amp;ADDRESS(10,COLUMN(H$9)+10)&amp;":"&amp;ADDRESS(1000,COLUMN(H$9)+10))),
SUMIF(INDIRECT(Equipo!$F$4&amp;"!B10:B1000"),$B88,INDIRECT(Equipo!$F$4&amp;"!"&amp;ADDRESS(10,COLUMN(H$9)+10)&amp;":"&amp;ADDRESS(1000,COLUMN(H$9)+10))),
SUMIF(INDIRECT(Equipo!$G$4&amp;"!B10:B1000"),$B88,INDIRECT(Equipo!$G$4&amp;"!"&amp;ADDRESS(10,COLUMN(H$9)+10)&amp;":"&amp;ADDRESS(1000,COLUMN(H$9)+10)))
))</f>
        <v>-</v>
      </c>
      <c r="I88" s="19" t="str">
        <f t="array" ref="I88">IF(ISBLANK(Tareas!$B84),"-",
SUM(
SUMIF(INDIRECT(Equipo!$C$4&amp;"!B10:B1000"),$B88,INDIRECT(Equipo!$C$4&amp;"!"&amp;ADDRESS(10,COLUMN(I$9)+10)&amp;":"&amp;ADDRESS(1000,COLUMN(I$9)+10))),
SUMIF(INDIRECT(Equipo!$D$4&amp;"!B10:B1000"),$B88,INDIRECT(Equipo!$D$4&amp;"!"&amp;ADDRESS(10,COLUMN(I$9)+10)&amp;":"&amp;ADDRESS(1000,COLUMN(I$9)+10))),
SUMIF(INDIRECT(Equipo!$E$4&amp;"!B10:B1000"),$B88,INDIRECT(Equipo!$E$4&amp;"!"&amp;ADDRESS(10,COLUMN(I$9)+10)&amp;":"&amp;ADDRESS(1000,COLUMN(I$9)+10))),
SUMIF(INDIRECT(Equipo!$F$4&amp;"!B10:B1000"),$B88,INDIRECT(Equipo!$F$4&amp;"!"&amp;ADDRESS(10,COLUMN(I$9)+10)&amp;":"&amp;ADDRESS(1000,COLUMN(I$9)+10))),
SUMIF(INDIRECT(Equipo!$G$4&amp;"!B10:B1000"),$B88,INDIRECT(Equipo!$G$4&amp;"!"&amp;ADDRESS(10,COLUMN(I$9)+10)&amp;":"&amp;ADDRESS(1000,COLUMN(I$9)+10)))
))</f>
        <v>-</v>
      </c>
      <c r="J88" s="19" t="str">
        <f t="array" ref="J88">IF(ISBLANK(Tareas!$B84),"-",
SUM(
SUMIF(INDIRECT(Equipo!$C$4&amp;"!B10:B1000"),$B88,INDIRECT(Equipo!$C$4&amp;"!"&amp;ADDRESS(10,COLUMN(J$9)+10)&amp;":"&amp;ADDRESS(1000,COLUMN(J$9)+10))),
SUMIF(INDIRECT(Equipo!$D$4&amp;"!B10:B1000"),$B88,INDIRECT(Equipo!$D$4&amp;"!"&amp;ADDRESS(10,COLUMN(J$9)+10)&amp;":"&amp;ADDRESS(1000,COLUMN(J$9)+10))),
SUMIF(INDIRECT(Equipo!$E$4&amp;"!B10:B1000"),$B88,INDIRECT(Equipo!$E$4&amp;"!"&amp;ADDRESS(10,COLUMN(J$9)+10)&amp;":"&amp;ADDRESS(1000,COLUMN(J$9)+10))),
SUMIF(INDIRECT(Equipo!$F$4&amp;"!B10:B1000"),$B88,INDIRECT(Equipo!$F$4&amp;"!"&amp;ADDRESS(10,COLUMN(J$9)+10)&amp;":"&amp;ADDRESS(1000,COLUMN(J$9)+10))),
SUMIF(INDIRECT(Equipo!$G$4&amp;"!B10:B1000"),$B88,INDIRECT(Equipo!$G$4&amp;"!"&amp;ADDRESS(10,COLUMN(J$9)+10)&amp;":"&amp;ADDRESS(1000,COLUMN(J$9)+10)))
))</f>
        <v>-</v>
      </c>
      <c r="K88" s="19" t="str">
        <f t="array" ref="K88">IF(ISBLANK(Tareas!$B84),"-",
SUM(
SUMIF(INDIRECT(Equipo!$C$4&amp;"!B10:B1000"),$B88,INDIRECT(Equipo!$C$4&amp;"!"&amp;ADDRESS(10,COLUMN(K$9)+10)&amp;":"&amp;ADDRESS(1000,COLUMN(K$9)+10))),
SUMIF(INDIRECT(Equipo!$D$4&amp;"!B10:B1000"),$B88,INDIRECT(Equipo!$D$4&amp;"!"&amp;ADDRESS(10,COLUMN(K$9)+10)&amp;":"&amp;ADDRESS(1000,COLUMN(K$9)+10))),
SUMIF(INDIRECT(Equipo!$E$4&amp;"!B10:B1000"),$B88,INDIRECT(Equipo!$E$4&amp;"!"&amp;ADDRESS(10,COLUMN(K$9)+10)&amp;":"&amp;ADDRESS(1000,COLUMN(K$9)+10))),
SUMIF(INDIRECT(Equipo!$F$4&amp;"!B10:B1000"),$B88,INDIRECT(Equipo!$F$4&amp;"!"&amp;ADDRESS(10,COLUMN(K$9)+10)&amp;":"&amp;ADDRESS(1000,COLUMN(K$9)+10))),
SUMIF(INDIRECT(Equipo!$G$4&amp;"!B10:B1000"),$B88,INDIRECT(Equipo!$G$4&amp;"!"&amp;ADDRESS(10,COLUMN(K$9)+10)&amp;":"&amp;ADDRESS(1000,COLUMN(K$9)+10)))
))</f>
        <v>-</v>
      </c>
    </row>
    <row r="89" ht="15.75" customHeight="1">
      <c r="C89" s="19" t="str">
        <f>IF(ISBLANK(Tareas!$B85),"-",SUM(D89:K89))</f>
        <v>-</v>
      </c>
      <c r="D89" s="19" t="str">
        <f t="array" ref="D89">IF(ISBLANK(Tareas!$B85),"-",
SUM(
SUMIF(INDIRECT(Equipo!$C$4&amp;"!B10:B1000"),$B89,INDIRECT(Equipo!$C$4&amp;"!"&amp;ADDRESS(10,COLUMN(D$9)+10)&amp;":"&amp;ADDRESS(1000,COLUMN(D$9)+10))),
SUMIF(INDIRECT(Equipo!$D$4&amp;"!B10:B1000"),$B89,INDIRECT(Equipo!$D$4&amp;"!"&amp;ADDRESS(10,COLUMN(D$9)+10)&amp;":"&amp;ADDRESS(1000,COLUMN(D$9)+10))),
SUMIF(INDIRECT(Equipo!$E$4&amp;"!B10:B1000"),$B89,INDIRECT(Equipo!$E$4&amp;"!"&amp;ADDRESS(10,COLUMN(D$9)+10)&amp;":"&amp;ADDRESS(1000,COLUMN(D$9)+10))),
SUMIF(INDIRECT(Equipo!$F$4&amp;"!B10:B1000"),$B89,INDIRECT(Equipo!$F$4&amp;"!"&amp;ADDRESS(10,COLUMN(D$9)+10)&amp;":"&amp;ADDRESS(1000,COLUMN(D$9)+10))),
SUMIF(INDIRECT(Equipo!$G$4&amp;"!B10:B1000"),$B89,INDIRECT(Equipo!$G$4&amp;"!"&amp;ADDRESS(10,COLUMN(D$9)+10)&amp;":"&amp;ADDRESS(1000,COLUMN(D$9)+10)))
))</f>
        <v>-</v>
      </c>
      <c r="E89" s="19" t="str">
        <f t="array" ref="E89">IF(ISBLANK(Tareas!$B85),"-",
SUM(
SUMIF(INDIRECT(Equipo!$C$4&amp;"!B10:B1000"),$B89,INDIRECT(Equipo!$C$4&amp;"!"&amp;ADDRESS(10,COLUMN(E$9)+10)&amp;":"&amp;ADDRESS(1000,COLUMN(E$9)+10))),
SUMIF(INDIRECT(Equipo!$D$4&amp;"!B10:B1000"),$B89,INDIRECT(Equipo!$D$4&amp;"!"&amp;ADDRESS(10,COLUMN(E$9)+10)&amp;":"&amp;ADDRESS(1000,COLUMN(E$9)+10))),
SUMIF(INDIRECT(Equipo!$E$4&amp;"!B10:B1000"),$B89,INDIRECT(Equipo!$E$4&amp;"!"&amp;ADDRESS(10,COLUMN(E$9)+10)&amp;":"&amp;ADDRESS(1000,COLUMN(E$9)+10))),
SUMIF(INDIRECT(Equipo!$F$4&amp;"!B10:B1000"),$B89,INDIRECT(Equipo!$F$4&amp;"!"&amp;ADDRESS(10,COLUMN(E$9)+10)&amp;":"&amp;ADDRESS(1000,COLUMN(E$9)+10))),
SUMIF(INDIRECT(Equipo!$G$4&amp;"!B10:B1000"),$B89,INDIRECT(Equipo!$G$4&amp;"!"&amp;ADDRESS(10,COLUMN(E$9)+10)&amp;":"&amp;ADDRESS(1000,COLUMN(E$9)+10)))
))</f>
        <v>-</v>
      </c>
      <c r="F89" s="19" t="str">
        <f t="array" ref="F89">IF(ISBLANK(Tareas!$B85),"-",
SUM(
SUMIF(INDIRECT(Equipo!$C$4&amp;"!B10:B1000"),$B89,INDIRECT(Equipo!$C$4&amp;"!"&amp;ADDRESS(10,COLUMN(F$9)+10)&amp;":"&amp;ADDRESS(1000,COLUMN(F$9)+10))),
SUMIF(INDIRECT(Equipo!$D$4&amp;"!B10:B1000"),$B89,INDIRECT(Equipo!$D$4&amp;"!"&amp;ADDRESS(10,COLUMN(F$9)+10)&amp;":"&amp;ADDRESS(1000,COLUMN(F$9)+10))),
SUMIF(INDIRECT(Equipo!$E$4&amp;"!B10:B1000"),$B89,INDIRECT(Equipo!$E$4&amp;"!"&amp;ADDRESS(10,COLUMN(F$9)+10)&amp;":"&amp;ADDRESS(1000,COLUMN(F$9)+10))),
SUMIF(INDIRECT(Equipo!$F$4&amp;"!B10:B1000"),$B89,INDIRECT(Equipo!$F$4&amp;"!"&amp;ADDRESS(10,COLUMN(F$9)+10)&amp;":"&amp;ADDRESS(1000,COLUMN(F$9)+10))),
SUMIF(INDIRECT(Equipo!$G$4&amp;"!B10:B1000"),$B89,INDIRECT(Equipo!$G$4&amp;"!"&amp;ADDRESS(10,COLUMN(F$9)+10)&amp;":"&amp;ADDRESS(1000,COLUMN(F$9)+10)))
))</f>
        <v>-</v>
      </c>
      <c r="G89" s="19" t="str">
        <f t="array" ref="G89">IF(ISBLANK(Tareas!$B85),"-",
SUM(
SUMIF(INDIRECT(Equipo!$C$4&amp;"!B10:B1000"),$B89,INDIRECT(Equipo!$C$4&amp;"!"&amp;ADDRESS(10,COLUMN(G$9)+10)&amp;":"&amp;ADDRESS(1000,COLUMN(G$9)+10))),
SUMIF(INDIRECT(Equipo!$D$4&amp;"!B10:B1000"),$B89,INDIRECT(Equipo!$D$4&amp;"!"&amp;ADDRESS(10,COLUMN(G$9)+10)&amp;":"&amp;ADDRESS(1000,COLUMN(G$9)+10))),
SUMIF(INDIRECT(Equipo!$E$4&amp;"!B10:B1000"),$B89,INDIRECT(Equipo!$E$4&amp;"!"&amp;ADDRESS(10,COLUMN(G$9)+10)&amp;":"&amp;ADDRESS(1000,COLUMN(G$9)+10))),
SUMIF(INDIRECT(Equipo!$F$4&amp;"!B10:B1000"),$B89,INDIRECT(Equipo!$F$4&amp;"!"&amp;ADDRESS(10,COLUMN(G$9)+10)&amp;":"&amp;ADDRESS(1000,COLUMN(G$9)+10))),
SUMIF(INDIRECT(Equipo!$G$4&amp;"!B10:B1000"),$B89,INDIRECT(Equipo!$G$4&amp;"!"&amp;ADDRESS(10,COLUMN(G$9)+10)&amp;":"&amp;ADDRESS(1000,COLUMN(G$9)+10)))
))</f>
        <v>-</v>
      </c>
      <c r="H89" s="19" t="str">
        <f t="array" ref="H89">IF(ISBLANK(Tareas!$B85),"-",
SUM(
SUMIF(INDIRECT(Equipo!$C$4&amp;"!B10:B1000"),$B89,INDIRECT(Equipo!$C$4&amp;"!"&amp;ADDRESS(10,COLUMN(H$9)+10)&amp;":"&amp;ADDRESS(1000,COLUMN(H$9)+10))),
SUMIF(INDIRECT(Equipo!$D$4&amp;"!B10:B1000"),$B89,INDIRECT(Equipo!$D$4&amp;"!"&amp;ADDRESS(10,COLUMN(H$9)+10)&amp;":"&amp;ADDRESS(1000,COLUMN(H$9)+10))),
SUMIF(INDIRECT(Equipo!$E$4&amp;"!B10:B1000"),$B89,INDIRECT(Equipo!$E$4&amp;"!"&amp;ADDRESS(10,COLUMN(H$9)+10)&amp;":"&amp;ADDRESS(1000,COLUMN(H$9)+10))),
SUMIF(INDIRECT(Equipo!$F$4&amp;"!B10:B1000"),$B89,INDIRECT(Equipo!$F$4&amp;"!"&amp;ADDRESS(10,COLUMN(H$9)+10)&amp;":"&amp;ADDRESS(1000,COLUMN(H$9)+10))),
SUMIF(INDIRECT(Equipo!$G$4&amp;"!B10:B1000"),$B89,INDIRECT(Equipo!$G$4&amp;"!"&amp;ADDRESS(10,COLUMN(H$9)+10)&amp;":"&amp;ADDRESS(1000,COLUMN(H$9)+10)))
))</f>
        <v>-</v>
      </c>
      <c r="I89" s="19" t="str">
        <f t="array" ref="I89">IF(ISBLANK(Tareas!$B85),"-",
SUM(
SUMIF(INDIRECT(Equipo!$C$4&amp;"!B10:B1000"),$B89,INDIRECT(Equipo!$C$4&amp;"!"&amp;ADDRESS(10,COLUMN(I$9)+10)&amp;":"&amp;ADDRESS(1000,COLUMN(I$9)+10))),
SUMIF(INDIRECT(Equipo!$D$4&amp;"!B10:B1000"),$B89,INDIRECT(Equipo!$D$4&amp;"!"&amp;ADDRESS(10,COLUMN(I$9)+10)&amp;":"&amp;ADDRESS(1000,COLUMN(I$9)+10))),
SUMIF(INDIRECT(Equipo!$E$4&amp;"!B10:B1000"),$B89,INDIRECT(Equipo!$E$4&amp;"!"&amp;ADDRESS(10,COLUMN(I$9)+10)&amp;":"&amp;ADDRESS(1000,COLUMN(I$9)+10))),
SUMIF(INDIRECT(Equipo!$F$4&amp;"!B10:B1000"),$B89,INDIRECT(Equipo!$F$4&amp;"!"&amp;ADDRESS(10,COLUMN(I$9)+10)&amp;":"&amp;ADDRESS(1000,COLUMN(I$9)+10))),
SUMIF(INDIRECT(Equipo!$G$4&amp;"!B10:B1000"),$B89,INDIRECT(Equipo!$G$4&amp;"!"&amp;ADDRESS(10,COLUMN(I$9)+10)&amp;":"&amp;ADDRESS(1000,COLUMN(I$9)+10)))
))</f>
        <v>-</v>
      </c>
      <c r="J89" s="19" t="str">
        <f t="array" ref="J89">IF(ISBLANK(Tareas!$B85),"-",
SUM(
SUMIF(INDIRECT(Equipo!$C$4&amp;"!B10:B1000"),$B89,INDIRECT(Equipo!$C$4&amp;"!"&amp;ADDRESS(10,COLUMN(J$9)+10)&amp;":"&amp;ADDRESS(1000,COLUMN(J$9)+10))),
SUMIF(INDIRECT(Equipo!$D$4&amp;"!B10:B1000"),$B89,INDIRECT(Equipo!$D$4&amp;"!"&amp;ADDRESS(10,COLUMN(J$9)+10)&amp;":"&amp;ADDRESS(1000,COLUMN(J$9)+10))),
SUMIF(INDIRECT(Equipo!$E$4&amp;"!B10:B1000"),$B89,INDIRECT(Equipo!$E$4&amp;"!"&amp;ADDRESS(10,COLUMN(J$9)+10)&amp;":"&amp;ADDRESS(1000,COLUMN(J$9)+10))),
SUMIF(INDIRECT(Equipo!$F$4&amp;"!B10:B1000"),$B89,INDIRECT(Equipo!$F$4&amp;"!"&amp;ADDRESS(10,COLUMN(J$9)+10)&amp;":"&amp;ADDRESS(1000,COLUMN(J$9)+10))),
SUMIF(INDIRECT(Equipo!$G$4&amp;"!B10:B1000"),$B89,INDIRECT(Equipo!$G$4&amp;"!"&amp;ADDRESS(10,COLUMN(J$9)+10)&amp;":"&amp;ADDRESS(1000,COLUMN(J$9)+10)))
))</f>
        <v>-</v>
      </c>
      <c r="K89" s="19" t="str">
        <f t="array" ref="K89">IF(ISBLANK(Tareas!$B85),"-",
SUM(
SUMIF(INDIRECT(Equipo!$C$4&amp;"!B10:B1000"),$B89,INDIRECT(Equipo!$C$4&amp;"!"&amp;ADDRESS(10,COLUMN(K$9)+10)&amp;":"&amp;ADDRESS(1000,COLUMN(K$9)+10))),
SUMIF(INDIRECT(Equipo!$D$4&amp;"!B10:B1000"),$B89,INDIRECT(Equipo!$D$4&amp;"!"&amp;ADDRESS(10,COLUMN(K$9)+10)&amp;":"&amp;ADDRESS(1000,COLUMN(K$9)+10))),
SUMIF(INDIRECT(Equipo!$E$4&amp;"!B10:B1000"),$B89,INDIRECT(Equipo!$E$4&amp;"!"&amp;ADDRESS(10,COLUMN(K$9)+10)&amp;":"&amp;ADDRESS(1000,COLUMN(K$9)+10))),
SUMIF(INDIRECT(Equipo!$F$4&amp;"!B10:B1000"),$B89,INDIRECT(Equipo!$F$4&amp;"!"&amp;ADDRESS(10,COLUMN(K$9)+10)&amp;":"&amp;ADDRESS(1000,COLUMN(K$9)+10))),
SUMIF(INDIRECT(Equipo!$G$4&amp;"!B10:B1000"),$B89,INDIRECT(Equipo!$G$4&amp;"!"&amp;ADDRESS(10,COLUMN(K$9)+10)&amp;":"&amp;ADDRESS(1000,COLUMN(K$9)+10)))
))</f>
        <v>-</v>
      </c>
    </row>
    <row r="90" ht="15.75" customHeight="1">
      <c r="C90" s="19" t="str">
        <f>IF(ISBLANK(Tareas!$B86),"-",SUM(D90:K90))</f>
        <v>-</v>
      </c>
      <c r="D90" s="19" t="str">
        <f t="array" ref="D90">IF(ISBLANK(Tareas!$B86),"-",
SUM(
SUMIF(INDIRECT(Equipo!$C$4&amp;"!B10:B1000"),$B90,INDIRECT(Equipo!$C$4&amp;"!"&amp;ADDRESS(10,COLUMN(D$9)+10)&amp;":"&amp;ADDRESS(1000,COLUMN(D$9)+10))),
SUMIF(INDIRECT(Equipo!$D$4&amp;"!B10:B1000"),$B90,INDIRECT(Equipo!$D$4&amp;"!"&amp;ADDRESS(10,COLUMN(D$9)+10)&amp;":"&amp;ADDRESS(1000,COLUMN(D$9)+10))),
SUMIF(INDIRECT(Equipo!$E$4&amp;"!B10:B1000"),$B90,INDIRECT(Equipo!$E$4&amp;"!"&amp;ADDRESS(10,COLUMN(D$9)+10)&amp;":"&amp;ADDRESS(1000,COLUMN(D$9)+10))),
SUMIF(INDIRECT(Equipo!$F$4&amp;"!B10:B1000"),$B90,INDIRECT(Equipo!$F$4&amp;"!"&amp;ADDRESS(10,COLUMN(D$9)+10)&amp;":"&amp;ADDRESS(1000,COLUMN(D$9)+10))),
SUMIF(INDIRECT(Equipo!$G$4&amp;"!B10:B1000"),$B90,INDIRECT(Equipo!$G$4&amp;"!"&amp;ADDRESS(10,COLUMN(D$9)+10)&amp;":"&amp;ADDRESS(1000,COLUMN(D$9)+10)))
))</f>
        <v>-</v>
      </c>
      <c r="E90" s="19" t="str">
        <f t="array" ref="E90">IF(ISBLANK(Tareas!$B86),"-",
SUM(
SUMIF(INDIRECT(Equipo!$C$4&amp;"!B10:B1000"),$B90,INDIRECT(Equipo!$C$4&amp;"!"&amp;ADDRESS(10,COLUMN(E$9)+10)&amp;":"&amp;ADDRESS(1000,COLUMN(E$9)+10))),
SUMIF(INDIRECT(Equipo!$D$4&amp;"!B10:B1000"),$B90,INDIRECT(Equipo!$D$4&amp;"!"&amp;ADDRESS(10,COLUMN(E$9)+10)&amp;":"&amp;ADDRESS(1000,COLUMN(E$9)+10))),
SUMIF(INDIRECT(Equipo!$E$4&amp;"!B10:B1000"),$B90,INDIRECT(Equipo!$E$4&amp;"!"&amp;ADDRESS(10,COLUMN(E$9)+10)&amp;":"&amp;ADDRESS(1000,COLUMN(E$9)+10))),
SUMIF(INDIRECT(Equipo!$F$4&amp;"!B10:B1000"),$B90,INDIRECT(Equipo!$F$4&amp;"!"&amp;ADDRESS(10,COLUMN(E$9)+10)&amp;":"&amp;ADDRESS(1000,COLUMN(E$9)+10))),
SUMIF(INDIRECT(Equipo!$G$4&amp;"!B10:B1000"),$B90,INDIRECT(Equipo!$G$4&amp;"!"&amp;ADDRESS(10,COLUMN(E$9)+10)&amp;":"&amp;ADDRESS(1000,COLUMN(E$9)+10)))
))</f>
        <v>-</v>
      </c>
      <c r="F90" s="19" t="str">
        <f t="array" ref="F90">IF(ISBLANK(Tareas!$B86),"-",
SUM(
SUMIF(INDIRECT(Equipo!$C$4&amp;"!B10:B1000"),$B90,INDIRECT(Equipo!$C$4&amp;"!"&amp;ADDRESS(10,COLUMN(F$9)+10)&amp;":"&amp;ADDRESS(1000,COLUMN(F$9)+10))),
SUMIF(INDIRECT(Equipo!$D$4&amp;"!B10:B1000"),$B90,INDIRECT(Equipo!$D$4&amp;"!"&amp;ADDRESS(10,COLUMN(F$9)+10)&amp;":"&amp;ADDRESS(1000,COLUMN(F$9)+10))),
SUMIF(INDIRECT(Equipo!$E$4&amp;"!B10:B1000"),$B90,INDIRECT(Equipo!$E$4&amp;"!"&amp;ADDRESS(10,COLUMN(F$9)+10)&amp;":"&amp;ADDRESS(1000,COLUMN(F$9)+10))),
SUMIF(INDIRECT(Equipo!$F$4&amp;"!B10:B1000"),$B90,INDIRECT(Equipo!$F$4&amp;"!"&amp;ADDRESS(10,COLUMN(F$9)+10)&amp;":"&amp;ADDRESS(1000,COLUMN(F$9)+10))),
SUMIF(INDIRECT(Equipo!$G$4&amp;"!B10:B1000"),$B90,INDIRECT(Equipo!$G$4&amp;"!"&amp;ADDRESS(10,COLUMN(F$9)+10)&amp;":"&amp;ADDRESS(1000,COLUMN(F$9)+10)))
))</f>
        <v>-</v>
      </c>
      <c r="G90" s="19" t="str">
        <f t="array" ref="G90">IF(ISBLANK(Tareas!$B86),"-",
SUM(
SUMIF(INDIRECT(Equipo!$C$4&amp;"!B10:B1000"),$B90,INDIRECT(Equipo!$C$4&amp;"!"&amp;ADDRESS(10,COLUMN(G$9)+10)&amp;":"&amp;ADDRESS(1000,COLUMN(G$9)+10))),
SUMIF(INDIRECT(Equipo!$D$4&amp;"!B10:B1000"),$B90,INDIRECT(Equipo!$D$4&amp;"!"&amp;ADDRESS(10,COLUMN(G$9)+10)&amp;":"&amp;ADDRESS(1000,COLUMN(G$9)+10))),
SUMIF(INDIRECT(Equipo!$E$4&amp;"!B10:B1000"),$B90,INDIRECT(Equipo!$E$4&amp;"!"&amp;ADDRESS(10,COLUMN(G$9)+10)&amp;":"&amp;ADDRESS(1000,COLUMN(G$9)+10))),
SUMIF(INDIRECT(Equipo!$F$4&amp;"!B10:B1000"),$B90,INDIRECT(Equipo!$F$4&amp;"!"&amp;ADDRESS(10,COLUMN(G$9)+10)&amp;":"&amp;ADDRESS(1000,COLUMN(G$9)+10))),
SUMIF(INDIRECT(Equipo!$G$4&amp;"!B10:B1000"),$B90,INDIRECT(Equipo!$G$4&amp;"!"&amp;ADDRESS(10,COLUMN(G$9)+10)&amp;":"&amp;ADDRESS(1000,COLUMN(G$9)+10)))
))</f>
        <v>-</v>
      </c>
      <c r="H90" s="19" t="str">
        <f t="array" ref="H90">IF(ISBLANK(Tareas!$B86),"-",
SUM(
SUMIF(INDIRECT(Equipo!$C$4&amp;"!B10:B1000"),$B90,INDIRECT(Equipo!$C$4&amp;"!"&amp;ADDRESS(10,COLUMN(H$9)+10)&amp;":"&amp;ADDRESS(1000,COLUMN(H$9)+10))),
SUMIF(INDIRECT(Equipo!$D$4&amp;"!B10:B1000"),$B90,INDIRECT(Equipo!$D$4&amp;"!"&amp;ADDRESS(10,COLUMN(H$9)+10)&amp;":"&amp;ADDRESS(1000,COLUMN(H$9)+10))),
SUMIF(INDIRECT(Equipo!$E$4&amp;"!B10:B1000"),$B90,INDIRECT(Equipo!$E$4&amp;"!"&amp;ADDRESS(10,COLUMN(H$9)+10)&amp;":"&amp;ADDRESS(1000,COLUMN(H$9)+10))),
SUMIF(INDIRECT(Equipo!$F$4&amp;"!B10:B1000"),$B90,INDIRECT(Equipo!$F$4&amp;"!"&amp;ADDRESS(10,COLUMN(H$9)+10)&amp;":"&amp;ADDRESS(1000,COLUMN(H$9)+10))),
SUMIF(INDIRECT(Equipo!$G$4&amp;"!B10:B1000"),$B90,INDIRECT(Equipo!$G$4&amp;"!"&amp;ADDRESS(10,COLUMN(H$9)+10)&amp;":"&amp;ADDRESS(1000,COLUMN(H$9)+10)))
))</f>
        <v>-</v>
      </c>
      <c r="I90" s="19" t="str">
        <f t="array" ref="I90">IF(ISBLANK(Tareas!$B86),"-",
SUM(
SUMIF(INDIRECT(Equipo!$C$4&amp;"!B10:B1000"),$B90,INDIRECT(Equipo!$C$4&amp;"!"&amp;ADDRESS(10,COLUMN(I$9)+10)&amp;":"&amp;ADDRESS(1000,COLUMN(I$9)+10))),
SUMIF(INDIRECT(Equipo!$D$4&amp;"!B10:B1000"),$B90,INDIRECT(Equipo!$D$4&amp;"!"&amp;ADDRESS(10,COLUMN(I$9)+10)&amp;":"&amp;ADDRESS(1000,COLUMN(I$9)+10))),
SUMIF(INDIRECT(Equipo!$E$4&amp;"!B10:B1000"),$B90,INDIRECT(Equipo!$E$4&amp;"!"&amp;ADDRESS(10,COLUMN(I$9)+10)&amp;":"&amp;ADDRESS(1000,COLUMN(I$9)+10))),
SUMIF(INDIRECT(Equipo!$F$4&amp;"!B10:B1000"),$B90,INDIRECT(Equipo!$F$4&amp;"!"&amp;ADDRESS(10,COLUMN(I$9)+10)&amp;":"&amp;ADDRESS(1000,COLUMN(I$9)+10))),
SUMIF(INDIRECT(Equipo!$G$4&amp;"!B10:B1000"),$B90,INDIRECT(Equipo!$G$4&amp;"!"&amp;ADDRESS(10,COLUMN(I$9)+10)&amp;":"&amp;ADDRESS(1000,COLUMN(I$9)+10)))
))</f>
        <v>-</v>
      </c>
      <c r="J90" s="19" t="str">
        <f t="array" ref="J90">IF(ISBLANK(Tareas!$B86),"-",
SUM(
SUMIF(INDIRECT(Equipo!$C$4&amp;"!B10:B1000"),$B90,INDIRECT(Equipo!$C$4&amp;"!"&amp;ADDRESS(10,COLUMN(J$9)+10)&amp;":"&amp;ADDRESS(1000,COLUMN(J$9)+10))),
SUMIF(INDIRECT(Equipo!$D$4&amp;"!B10:B1000"),$B90,INDIRECT(Equipo!$D$4&amp;"!"&amp;ADDRESS(10,COLUMN(J$9)+10)&amp;":"&amp;ADDRESS(1000,COLUMN(J$9)+10))),
SUMIF(INDIRECT(Equipo!$E$4&amp;"!B10:B1000"),$B90,INDIRECT(Equipo!$E$4&amp;"!"&amp;ADDRESS(10,COLUMN(J$9)+10)&amp;":"&amp;ADDRESS(1000,COLUMN(J$9)+10))),
SUMIF(INDIRECT(Equipo!$F$4&amp;"!B10:B1000"),$B90,INDIRECT(Equipo!$F$4&amp;"!"&amp;ADDRESS(10,COLUMN(J$9)+10)&amp;":"&amp;ADDRESS(1000,COLUMN(J$9)+10))),
SUMIF(INDIRECT(Equipo!$G$4&amp;"!B10:B1000"),$B90,INDIRECT(Equipo!$G$4&amp;"!"&amp;ADDRESS(10,COLUMN(J$9)+10)&amp;":"&amp;ADDRESS(1000,COLUMN(J$9)+10)))
))</f>
        <v>-</v>
      </c>
      <c r="K90" s="19" t="str">
        <f t="array" ref="K90">IF(ISBLANK(Tareas!$B86),"-",
SUM(
SUMIF(INDIRECT(Equipo!$C$4&amp;"!B10:B1000"),$B90,INDIRECT(Equipo!$C$4&amp;"!"&amp;ADDRESS(10,COLUMN(K$9)+10)&amp;":"&amp;ADDRESS(1000,COLUMN(K$9)+10))),
SUMIF(INDIRECT(Equipo!$D$4&amp;"!B10:B1000"),$B90,INDIRECT(Equipo!$D$4&amp;"!"&amp;ADDRESS(10,COLUMN(K$9)+10)&amp;":"&amp;ADDRESS(1000,COLUMN(K$9)+10))),
SUMIF(INDIRECT(Equipo!$E$4&amp;"!B10:B1000"),$B90,INDIRECT(Equipo!$E$4&amp;"!"&amp;ADDRESS(10,COLUMN(K$9)+10)&amp;":"&amp;ADDRESS(1000,COLUMN(K$9)+10))),
SUMIF(INDIRECT(Equipo!$F$4&amp;"!B10:B1000"),$B90,INDIRECT(Equipo!$F$4&amp;"!"&amp;ADDRESS(10,COLUMN(K$9)+10)&amp;":"&amp;ADDRESS(1000,COLUMN(K$9)+10))),
SUMIF(INDIRECT(Equipo!$G$4&amp;"!B10:B1000"),$B90,INDIRECT(Equipo!$G$4&amp;"!"&amp;ADDRESS(10,COLUMN(K$9)+10)&amp;":"&amp;ADDRESS(1000,COLUMN(K$9)+10)))
))</f>
        <v>-</v>
      </c>
    </row>
    <row r="91" ht="15.75" customHeight="1">
      <c r="C91" s="19" t="str">
        <f>IF(ISBLANK(Tareas!$B87),"-",SUM(D91:K91))</f>
        <v>-</v>
      </c>
      <c r="D91" s="19" t="str">
        <f t="array" ref="D91">IF(ISBLANK(Tareas!$B87),"-",
SUM(
SUMIF(INDIRECT(Equipo!$C$4&amp;"!B10:B1000"),$B91,INDIRECT(Equipo!$C$4&amp;"!"&amp;ADDRESS(10,COLUMN(D$9)+10)&amp;":"&amp;ADDRESS(1000,COLUMN(D$9)+10))),
SUMIF(INDIRECT(Equipo!$D$4&amp;"!B10:B1000"),$B91,INDIRECT(Equipo!$D$4&amp;"!"&amp;ADDRESS(10,COLUMN(D$9)+10)&amp;":"&amp;ADDRESS(1000,COLUMN(D$9)+10))),
SUMIF(INDIRECT(Equipo!$E$4&amp;"!B10:B1000"),$B91,INDIRECT(Equipo!$E$4&amp;"!"&amp;ADDRESS(10,COLUMN(D$9)+10)&amp;":"&amp;ADDRESS(1000,COLUMN(D$9)+10))),
SUMIF(INDIRECT(Equipo!$F$4&amp;"!B10:B1000"),$B91,INDIRECT(Equipo!$F$4&amp;"!"&amp;ADDRESS(10,COLUMN(D$9)+10)&amp;":"&amp;ADDRESS(1000,COLUMN(D$9)+10))),
SUMIF(INDIRECT(Equipo!$G$4&amp;"!B10:B1000"),$B91,INDIRECT(Equipo!$G$4&amp;"!"&amp;ADDRESS(10,COLUMN(D$9)+10)&amp;":"&amp;ADDRESS(1000,COLUMN(D$9)+10)))
))</f>
        <v>-</v>
      </c>
      <c r="E91" s="19" t="str">
        <f t="array" ref="E91">IF(ISBLANK(Tareas!$B87),"-",
SUM(
SUMIF(INDIRECT(Equipo!$C$4&amp;"!B10:B1000"),$B91,INDIRECT(Equipo!$C$4&amp;"!"&amp;ADDRESS(10,COLUMN(E$9)+10)&amp;":"&amp;ADDRESS(1000,COLUMN(E$9)+10))),
SUMIF(INDIRECT(Equipo!$D$4&amp;"!B10:B1000"),$B91,INDIRECT(Equipo!$D$4&amp;"!"&amp;ADDRESS(10,COLUMN(E$9)+10)&amp;":"&amp;ADDRESS(1000,COLUMN(E$9)+10))),
SUMIF(INDIRECT(Equipo!$E$4&amp;"!B10:B1000"),$B91,INDIRECT(Equipo!$E$4&amp;"!"&amp;ADDRESS(10,COLUMN(E$9)+10)&amp;":"&amp;ADDRESS(1000,COLUMN(E$9)+10))),
SUMIF(INDIRECT(Equipo!$F$4&amp;"!B10:B1000"),$B91,INDIRECT(Equipo!$F$4&amp;"!"&amp;ADDRESS(10,COLUMN(E$9)+10)&amp;":"&amp;ADDRESS(1000,COLUMN(E$9)+10))),
SUMIF(INDIRECT(Equipo!$G$4&amp;"!B10:B1000"),$B91,INDIRECT(Equipo!$G$4&amp;"!"&amp;ADDRESS(10,COLUMN(E$9)+10)&amp;":"&amp;ADDRESS(1000,COLUMN(E$9)+10)))
))</f>
        <v>-</v>
      </c>
      <c r="F91" s="19" t="str">
        <f t="array" ref="F91">IF(ISBLANK(Tareas!$B87),"-",
SUM(
SUMIF(INDIRECT(Equipo!$C$4&amp;"!B10:B1000"),$B91,INDIRECT(Equipo!$C$4&amp;"!"&amp;ADDRESS(10,COLUMN(F$9)+10)&amp;":"&amp;ADDRESS(1000,COLUMN(F$9)+10))),
SUMIF(INDIRECT(Equipo!$D$4&amp;"!B10:B1000"),$B91,INDIRECT(Equipo!$D$4&amp;"!"&amp;ADDRESS(10,COLUMN(F$9)+10)&amp;":"&amp;ADDRESS(1000,COLUMN(F$9)+10))),
SUMIF(INDIRECT(Equipo!$E$4&amp;"!B10:B1000"),$B91,INDIRECT(Equipo!$E$4&amp;"!"&amp;ADDRESS(10,COLUMN(F$9)+10)&amp;":"&amp;ADDRESS(1000,COLUMN(F$9)+10))),
SUMIF(INDIRECT(Equipo!$F$4&amp;"!B10:B1000"),$B91,INDIRECT(Equipo!$F$4&amp;"!"&amp;ADDRESS(10,COLUMN(F$9)+10)&amp;":"&amp;ADDRESS(1000,COLUMN(F$9)+10))),
SUMIF(INDIRECT(Equipo!$G$4&amp;"!B10:B1000"),$B91,INDIRECT(Equipo!$G$4&amp;"!"&amp;ADDRESS(10,COLUMN(F$9)+10)&amp;":"&amp;ADDRESS(1000,COLUMN(F$9)+10)))
))</f>
        <v>-</v>
      </c>
      <c r="G91" s="19" t="str">
        <f t="array" ref="G91">IF(ISBLANK(Tareas!$B87),"-",
SUM(
SUMIF(INDIRECT(Equipo!$C$4&amp;"!B10:B1000"),$B91,INDIRECT(Equipo!$C$4&amp;"!"&amp;ADDRESS(10,COLUMN(G$9)+10)&amp;":"&amp;ADDRESS(1000,COLUMN(G$9)+10))),
SUMIF(INDIRECT(Equipo!$D$4&amp;"!B10:B1000"),$B91,INDIRECT(Equipo!$D$4&amp;"!"&amp;ADDRESS(10,COLUMN(G$9)+10)&amp;":"&amp;ADDRESS(1000,COLUMN(G$9)+10))),
SUMIF(INDIRECT(Equipo!$E$4&amp;"!B10:B1000"),$B91,INDIRECT(Equipo!$E$4&amp;"!"&amp;ADDRESS(10,COLUMN(G$9)+10)&amp;":"&amp;ADDRESS(1000,COLUMN(G$9)+10))),
SUMIF(INDIRECT(Equipo!$F$4&amp;"!B10:B1000"),$B91,INDIRECT(Equipo!$F$4&amp;"!"&amp;ADDRESS(10,COLUMN(G$9)+10)&amp;":"&amp;ADDRESS(1000,COLUMN(G$9)+10))),
SUMIF(INDIRECT(Equipo!$G$4&amp;"!B10:B1000"),$B91,INDIRECT(Equipo!$G$4&amp;"!"&amp;ADDRESS(10,COLUMN(G$9)+10)&amp;":"&amp;ADDRESS(1000,COLUMN(G$9)+10)))
))</f>
        <v>-</v>
      </c>
      <c r="H91" s="19" t="str">
        <f t="array" ref="H91">IF(ISBLANK(Tareas!$B87),"-",
SUM(
SUMIF(INDIRECT(Equipo!$C$4&amp;"!B10:B1000"),$B91,INDIRECT(Equipo!$C$4&amp;"!"&amp;ADDRESS(10,COLUMN(H$9)+10)&amp;":"&amp;ADDRESS(1000,COLUMN(H$9)+10))),
SUMIF(INDIRECT(Equipo!$D$4&amp;"!B10:B1000"),$B91,INDIRECT(Equipo!$D$4&amp;"!"&amp;ADDRESS(10,COLUMN(H$9)+10)&amp;":"&amp;ADDRESS(1000,COLUMN(H$9)+10))),
SUMIF(INDIRECT(Equipo!$E$4&amp;"!B10:B1000"),$B91,INDIRECT(Equipo!$E$4&amp;"!"&amp;ADDRESS(10,COLUMN(H$9)+10)&amp;":"&amp;ADDRESS(1000,COLUMN(H$9)+10))),
SUMIF(INDIRECT(Equipo!$F$4&amp;"!B10:B1000"),$B91,INDIRECT(Equipo!$F$4&amp;"!"&amp;ADDRESS(10,COLUMN(H$9)+10)&amp;":"&amp;ADDRESS(1000,COLUMN(H$9)+10))),
SUMIF(INDIRECT(Equipo!$G$4&amp;"!B10:B1000"),$B91,INDIRECT(Equipo!$G$4&amp;"!"&amp;ADDRESS(10,COLUMN(H$9)+10)&amp;":"&amp;ADDRESS(1000,COLUMN(H$9)+10)))
))</f>
        <v>-</v>
      </c>
      <c r="I91" s="19" t="str">
        <f t="array" ref="I91">IF(ISBLANK(Tareas!$B87),"-",
SUM(
SUMIF(INDIRECT(Equipo!$C$4&amp;"!B10:B1000"),$B91,INDIRECT(Equipo!$C$4&amp;"!"&amp;ADDRESS(10,COLUMN(I$9)+10)&amp;":"&amp;ADDRESS(1000,COLUMN(I$9)+10))),
SUMIF(INDIRECT(Equipo!$D$4&amp;"!B10:B1000"),$B91,INDIRECT(Equipo!$D$4&amp;"!"&amp;ADDRESS(10,COLUMN(I$9)+10)&amp;":"&amp;ADDRESS(1000,COLUMN(I$9)+10))),
SUMIF(INDIRECT(Equipo!$E$4&amp;"!B10:B1000"),$B91,INDIRECT(Equipo!$E$4&amp;"!"&amp;ADDRESS(10,COLUMN(I$9)+10)&amp;":"&amp;ADDRESS(1000,COLUMN(I$9)+10))),
SUMIF(INDIRECT(Equipo!$F$4&amp;"!B10:B1000"),$B91,INDIRECT(Equipo!$F$4&amp;"!"&amp;ADDRESS(10,COLUMN(I$9)+10)&amp;":"&amp;ADDRESS(1000,COLUMN(I$9)+10))),
SUMIF(INDIRECT(Equipo!$G$4&amp;"!B10:B1000"),$B91,INDIRECT(Equipo!$G$4&amp;"!"&amp;ADDRESS(10,COLUMN(I$9)+10)&amp;":"&amp;ADDRESS(1000,COLUMN(I$9)+10)))
))</f>
        <v>-</v>
      </c>
      <c r="J91" s="19" t="str">
        <f t="array" ref="J91">IF(ISBLANK(Tareas!$B87),"-",
SUM(
SUMIF(INDIRECT(Equipo!$C$4&amp;"!B10:B1000"),$B91,INDIRECT(Equipo!$C$4&amp;"!"&amp;ADDRESS(10,COLUMN(J$9)+10)&amp;":"&amp;ADDRESS(1000,COLUMN(J$9)+10))),
SUMIF(INDIRECT(Equipo!$D$4&amp;"!B10:B1000"),$B91,INDIRECT(Equipo!$D$4&amp;"!"&amp;ADDRESS(10,COLUMN(J$9)+10)&amp;":"&amp;ADDRESS(1000,COLUMN(J$9)+10))),
SUMIF(INDIRECT(Equipo!$E$4&amp;"!B10:B1000"),$B91,INDIRECT(Equipo!$E$4&amp;"!"&amp;ADDRESS(10,COLUMN(J$9)+10)&amp;":"&amp;ADDRESS(1000,COLUMN(J$9)+10))),
SUMIF(INDIRECT(Equipo!$F$4&amp;"!B10:B1000"),$B91,INDIRECT(Equipo!$F$4&amp;"!"&amp;ADDRESS(10,COLUMN(J$9)+10)&amp;":"&amp;ADDRESS(1000,COLUMN(J$9)+10))),
SUMIF(INDIRECT(Equipo!$G$4&amp;"!B10:B1000"),$B91,INDIRECT(Equipo!$G$4&amp;"!"&amp;ADDRESS(10,COLUMN(J$9)+10)&amp;":"&amp;ADDRESS(1000,COLUMN(J$9)+10)))
))</f>
        <v>-</v>
      </c>
      <c r="K91" s="19" t="str">
        <f t="array" ref="K91">IF(ISBLANK(Tareas!$B87),"-",
SUM(
SUMIF(INDIRECT(Equipo!$C$4&amp;"!B10:B1000"),$B91,INDIRECT(Equipo!$C$4&amp;"!"&amp;ADDRESS(10,COLUMN(K$9)+10)&amp;":"&amp;ADDRESS(1000,COLUMN(K$9)+10))),
SUMIF(INDIRECT(Equipo!$D$4&amp;"!B10:B1000"),$B91,INDIRECT(Equipo!$D$4&amp;"!"&amp;ADDRESS(10,COLUMN(K$9)+10)&amp;":"&amp;ADDRESS(1000,COLUMN(K$9)+10))),
SUMIF(INDIRECT(Equipo!$E$4&amp;"!B10:B1000"),$B91,INDIRECT(Equipo!$E$4&amp;"!"&amp;ADDRESS(10,COLUMN(K$9)+10)&amp;":"&amp;ADDRESS(1000,COLUMN(K$9)+10))),
SUMIF(INDIRECT(Equipo!$F$4&amp;"!B10:B1000"),$B91,INDIRECT(Equipo!$F$4&amp;"!"&amp;ADDRESS(10,COLUMN(K$9)+10)&amp;":"&amp;ADDRESS(1000,COLUMN(K$9)+10))),
SUMIF(INDIRECT(Equipo!$G$4&amp;"!B10:B1000"),$B91,INDIRECT(Equipo!$G$4&amp;"!"&amp;ADDRESS(10,COLUMN(K$9)+10)&amp;":"&amp;ADDRESS(1000,COLUMN(K$9)+10)))
))</f>
        <v>-</v>
      </c>
    </row>
    <row r="92" ht="15.75" customHeight="1">
      <c r="C92" s="19" t="str">
        <f>IF(ISBLANK(Tareas!$B88),"-",SUM(D92:K92))</f>
        <v>-</v>
      </c>
      <c r="D92" s="19" t="str">
        <f t="array" ref="D92">IF(ISBLANK(Tareas!$B88),"-",
SUM(
SUMIF(INDIRECT(Equipo!$C$4&amp;"!B10:B1000"),$B92,INDIRECT(Equipo!$C$4&amp;"!"&amp;ADDRESS(10,COLUMN(D$9)+10)&amp;":"&amp;ADDRESS(1000,COLUMN(D$9)+10))),
SUMIF(INDIRECT(Equipo!$D$4&amp;"!B10:B1000"),$B92,INDIRECT(Equipo!$D$4&amp;"!"&amp;ADDRESS(10,COLUMN(D$9)+10)&amp;":"&amp;ADDRESS(1000,COLUMN(D$9)+10))),
SUMIF(INDIRECT(Equipo!$E$4&amp;"!B10:B1000"),$B92,INDIRECT(Equipo!$E$4&amp;"!"&amp;ADDRESS(10,COLUMN(D$9)+10)&amp;":"&amp;ADDRESS(1000,COLUMN(D$9)+10))),
SUMIF(INDIRECT(Equipo!$F$4&amp;"!B10:B1000"),$B92,INDIRECT(Equipo!$F$4&amp;"!"&amp;ADDRESS(10,COLUMN(D$9)+10)&amp;":"&amp;ADDRESS(1000,COLUMN(D$9)+10))),
SUMIF(INDIRECT(Equipo!$G$4&amp;"!B10:B1000"),$B92,INDIRECT(Equipo!$G$4&amp;"!"&amp;ADDRESS(10,COLUMN(D$9)+10)&amp;":"&amp;ADDRESS(1000,COLUMN(D$9)+10)))
))</f>
        <v>-</v>
      </c>
      <c r="E92" s="19" t="str">
        <f t="array" ref="E92">IF(ISBLANK(Tareas!$B88),"-",
SUM(
SUMIF(INDIRECT(Equipo!$C$4&amp;"!B10:B1000"),$B92,INDIRECT(Equipo!$C$4&amp;"!"&amp;ADDRESS(10,COLUMN(E$9)+10)&amp;":"&amp;ADDRESS(1000,COLUMN(E$9)+10))),
SUMIF(INDIRECT(Equipo!$D$4&amp;"!B10:B1000"),$B92,INDIRECT(Equipo!$D$4&amp;"!"&amp;ADDRESS(10,COLUMN(E$9)+10)&amp;":"&amp;ADDRESS(1000,COLUMN(E$9)+10))),
SUMIF(INDIRECT(Equipo!$E$4&amp;"!B10:B1000"),$B92,INDIRECT(Equipo!$E$4&amp;"!"&amp;ADDRESS(10,COLUMN(E$9)+10)&amp;":"&amp;ADDRESS(1000,COLUMN(E$9)+10))),
SUMIF(INDIRECT(Equipo!$F$4&amp;"!B10:B1000"),$B92,INDIRECT(Equipo!$F$4&amp;"!"&amp;ADDRESS(10,COLUMN(E$9)+10)&amp;":"&amp;ADDRESS(1000,COLUMN(E$9)+10))),
SUMIF(INDIRECT(Equipo!$G$4&amp;"!B10:B1000"),$B92,INDIRECT(Equipo!$G$4&amp;"!"&amp;ADDRESS(10,COLUMN(E$9)+10)&amp;":"&amp;ADDRESS(1000,COLUMN(E$9)+10)))
))</f>
        <v>-</v>
      </c>
      <c r="F92" s="19" t="str">
        <f t="array" ref="F92">IF(ISBLANK(Tareas!$B88),"-",
SUM(
SUMIF(INDIRECT(Equipo!$C$4&amp;"!B10:B1000"),$B92,INDIRECT(Equipo!$C$4&amp;"!"&amp;ADDRESS(10,COLUMN(F$9)+10)&amp;":"&amp;ADDRESS(1000,COLUMN(F$9)+10))),
SUMIF(INDIRECT(Equipo!$D$4&amp;"!B10:B1000"),$B92,INDIRECT(Equipo!$D$4&amp;"!"&amp;ADDRESS(10,COLUMN(F$9)+10)&amp;":"&amp;ADDRESS(1000,COLUMN(F$9)+10))),
SUMIF(INDIRECT(Equipo!$E$4&amp;"!B10:B1000"),$B92,INDIRECT(Equipo!$E$4&amp;"!"&amp;ADDRESS(10,COLUMN(F$9)+10)&amp;":"&amp;ADDRESS(1000,COLUMN(F$9)+10))),
SUMIF(INDIRECT(Equipo!$F$4&amp;"!B10:B1000"),$B92,INDIRECT(Equipo!$F$4&amp;"!"&amp;ADDRESS(10,COLUMN(F$9)+10)&amp;":"&amp;ADDRESS(1000,COLUMN(F$9)+10))),
SUMIF(INDIRECT(Equipo!$G$4&amp;"!B10:B1000"),$B92,INDIRECT(Equipo!$G$4&amp;"!"&amp;ADDRESS(10,COLUMN(F$9)+10)&amp;":"&amp;ADDRESS(1000,COLUMN(F$9)+10)))
))</f>
        <v>-</v>
      </c>
      <c r="G92" s="19" t="str">
        <f t="array" ref="G92">IF(ISBLANK(Tareas!$B88),"-",
SUM(
SUMIF(INDIRECT(Equipo!$C$4&amp;"!B10:B1000"),$B92,INDIRECT(Equipo!$C$4&amp;"!"&amp;ADDRESS(10,COLUMN(G$9)+10)&amp;":"&amp;ADDRESS(1000,COLUMN(G$9)+10))),
SUMIF(INDIRECT(Equipo!$D$4&amp;"!B10:B1000"),$B92,INDIRECT(Equipo!$D$4&amp;"!"&amp;ADDRESS(10,COLUMN(G$9)+10)&amp;":"&amp;ADDRESS(1000,COLUMN(G$9)+10))),
SUMIF(INDIRECT(Equipo!$E$4&amp;"!B10:B1000"),$B92,INDIRECT(Equipo!$E$4&amp;"!"&amp;ADDRESS(10,COLUMN(G$9)+10)&amp;":"&amp;ADDRESS(1000,COLUMN(G$9)+10))),
SUMIF(INDIRECT(Equipo!$F$4&amp;"!B10:B1000"),$B92,INDIRECT(Equipo!$F$4&amp;"!"&amp;ADDRESS(10,COLUMN(G$9)+10)&amp;":"&amp;ADDRESS(1000,COLUMN(G$9)+10))),
SUMIF(INDIRECT(Equipo!$G$4&amp;"!B10:B1000"),$B92,INDIRECT(Equipo!$G$4&amp;"!"&amp;ADDRESS(10,COLUMN(G$9)+10)&amp;":"&amp;ADDRESS(1000,COLUMN(G$9)+10)))
))</f>
        <v>-</v>
      </c>
      <c r="H92" s="19" t="str">
        <f t="array" ref="H92">IF(ISBLANK(Tareas!$B88),"-",
SUM(
SUMIF(INDIRECT(Equipo!$C$4&amp;"!B10:B1000"),$B92,INDIRECT(Equipo!$C$4&amp;"!"&amp;ADDRESS(10,COLUMN(H$9)+10)&amp;":"&amp;ADDRESS(1000,COLUMN(H$9)+10))),
SUMIF(INDIRECT(Equipo!$D$4&amp;"!B10:B1000"),$B92,INDIRECT(Equipo!$D$4&amp;"!"&amp;ADDRESS(10,COLUMN(H$9)+10)&amp;":"&amp;ADDRESS(1000,COLUMN(H$9)+10))),
SUMIF(INDIRECT(Equipo!$E$4&amp;"!B10:B1000"),$B92,INDIRECT(Equipo!$E$4&amp;"!"&amp;ADDRESS(10,COLUMN(H$9)+10)&amp;":"&amp;ADDRESS(1000,COLUMN(H$9)+10))),
SUMIF(INDIRECT(Equipo!$F$4&amp;"!B10:B1000"),$B92,INDIRECT(Equipo!$F$4&amp;"!"&amp;ADDRESS(10,COLUMN(H$9)+10)&amp;":"&amp;ADDRESS(1000,COLUMN(H$9)+10))),
SUMIF(INDIRECT(Equipo!$G$4&amp;"!B10:B1000"),$B92,INDIRECT(Equipo!$G$4&amp;"!"&amp;ADDRESS(10,COLUMN(H$9)+10)&amp;":"&amp;ADDRESS(1000,COLUMN(H$9)+10)))
))</f>
        <v>-</v>
      </c>
      <c r="I92" s="19" t="str">
        <f t="array" ref="I92">IF(ISBLANK(Tareas!$B88),"-",
SUM(
SUMIF(INDIRECT(Equipo!$C$4&amp;"!B10:B1000"),$B92,INDIRECT(Equipo!$C$4&amp;"!"&amp;ADDRESS(10,COLUMN(I$9)+10)&amp;":"&amp;ADDRESS(1000,COLUMN(I$9)+10))),
SUMIF(INDIRECT(Equipo!$D$4&amp;"!B10:B1000"),$B92,INDIRECT(Equipo!$D$4&amp;"!"&amp;ADDRESS(10,COLUMN(I$9)+10)&amp;":"&amp;ADDRESS(1000,COLUMN(I$9)+10))),
SUMIF(INDIRECT(Equipo!$E$4&amp;"!B10:B1000"),$B92,INDIRECT(Equipo!$E$4&amp;"!"&amp;ADDRESS(10,COLUMN(I$9)+10)&amp;":"&amp;ADDRESS(1000,COLUMN(I$9)+10))),
SUMIF(INDIRECT(Equipo!$F$4&amp;"!B10:B1000"),$B92,INDIRECT(Equipo!$F$4&amp;"!"&amp;ADDRESS(10,COLUMN(I$9)+10)&amp;":"&amp;ADDRESS(1000,COLUMN(I$9)+10))),
SUMIF(INDIRECT(Equipo!$G$4&amp;"!B10:B1000"),$B92,INDIRECT(Equipo!$G$4&amp;"!"&amp;ADDRESS(10,COLUMN(I$9)+10)&amp;":"&amp;ADDRESS(1000,COLUMN(I$9)+10)))
))</f>
        <v>-</v>
      </c>
      <c r="J92" s="19" t="str">
        <f t="array" ref="J92">IF(ISBLANK(Tareas!$B88),"-",
SUM(
SUMIF(INDIRECT(Equipo!$C$4&amp;"!B10:B1000"),$B92,INDIRECT(Equipo!$C$4&amp;"!"&amp;ADDRESS(10,COLUMN(J$9)+10)&amp;":"&amp;ADDRESS(1000,COLUMN(J$9)+10))),
SUMIF(INDIRECT(Equipo!$D$4&amp;"!B10:B1000"),$B92,INDIRECT(Equipo!$D$4&amp;"!"&amp;ADDRESS(10,COLUMN(J$9)+10)&amp;":"&amp;ADDRESS(1000,COLUMN(J$9)+10))),
SUMIF(INDIRECT(Equipo!$E$4&amp;"!B10:B1000"),$B92,INDIRECT(Equipo!$E$4&amp;"!"&amp;ADDRESS(10,COLUMN(J$9)+10)&amp;":"&amp;ADDRESS(1000,COLUMN(J$9)+10))),
SUMIF(INDIRECT(Equipo!$F$4&amp;"!B10:B1000"),$B92,INDIRECT(Equipo!$F$4&amp;"!"&amp;ADDRESS(10,COLUMN(J$9)+10)&amp;":"&amp;ADDRESS(1000,COLUMN(J$9)+10))),
SUMIF(INDIRECT(Equipo!$G$4&amp;"!B10:B1000"),$B92,INDIRECT(Equipo!$G$4&amp;"!"&amp;ADDRESS(10,COLUMN(J$9)+10)&amp;":"&amp;ADDRESS(1000,COLUMN(J$9)+10)))
))</f>
        <v>-</v>
      </c>
      <c r="K92" s="19" t="str">
        <f t="array" ref="K92">IF(ISBLANK(Tareas!$B88),"-",
SUM(
SUMIF(INDIRECT(Equipo!$C$4&amp;"!B10:B1000"),$B92,INDIRECT(Equipo!$C$4&amp;"!"&amp;ADDRESS(10,COLUMN(K$9)+10)&amp;":"&amp;ADDRESS(1000,COLUMN(K$9)+10))),
SUMIF(INDIRECT(Equipo!$D$4&amp;"!B10:B1000"),$B92,INDIRECT(Equipo!$D$4&amp;"!"&amp;ADDRESS(10,COLUMN(K$9)+10)&amp;":"&amp;ADDRESS(1000,COLUMN(K$9)+10))),
SUMIF(INDIRECT(Equipo!$E$4&amp;"!B10:B1000"),$B92,INDIRECT(Equipo!$E$4&amp;"!"&amp;ADDRESS(10,COLUMN(K$9)+10)&amp;":"&amp;ADDRESS(1000,COLUMN(K$9)+10))),
SUMIF(INDIRECT(Equipo!$F$4&amp;"!B10:B1000"),$B92,INDIRECT(Equipo!$F$4&amp;"!"&amp;ADDRESS(10,COLUMN(K$9)+10)&amp;":"&amp;ADDRESS(1000,COLUMN(K$9)+10))),
SUMIF(INDIRECT(Equipo!$G$4&amp;"!B10:B1000"),$B92,INDIRECT(Equipo!$G$4&amp;"!"&amp;ADDRESS(10,COLUMN(K$9)+10)&amp;":"&amp;ADDRESS(1000,COLUMN(K$9)+10)))
))</f>
        <v>-</v>
      </c>
    </row>
    <row r="93" ht="15.75" customHeight="1">
      <c r="C93" s="19" t="str">
        <f>IF(ISBLANK(Tareas!$B89),"-",SUM(D93:K93))</f>
        <v>-</v>
      </c>
      <c r="D93" s="19" t="str">
        <f t="array" ref="D93">IF(ISBLANK(Tareas!$B89),"-",
SUM(
SUMIF(INDIRECT(Equipo!$C$4&amp;"!B10:B1000"),$B93,INDIRECT(Equipo!$C$4&amp;"!"&amp;ADDRESS(10,COLUMN(D$9)+10)&amp;":"&amp;ADDRESS(1000,COLUMN(D$9)+10))),
SUMIF(INDIRECT(Equipo!$D$4&amp;"!B10:B1000"),$B93,INDIRECT(Equipo!$D$4&amp;"!"&amp;ADDRESS(10,COLUMN(D$9)+10)&amp;":"&amp;ADDRESS(1000,COLUMN(D$9)+10))),
SUMIF(INDIRECT(Equipo!$E$4&amp;"!B10:B1000"),$B93,INDIRECT(Equipo!$E$4&amp;"!"&amp;ADDRESS(10,COLUMN(D$9)+10)&amp;":"&amp;ADDRESS(1000,COLUMN(D$9)+10))),
SUMIF(INDIRECT(Equipo!$F$4&amp;"!B10:B1000"),$B93,INDIRECT(Equipo!$F$4&amp;"!"&amp;ADDRESS(10,COLUMN(D$9)+10)&amp;":"&amp;ADDRESS(1000,COLUMN(D$9)+10))),
SUMIF(INDIRECT(Equipo!$G$4&amp;"!B10:B1000"),$B93,INDIRECT(Equipo!$G$4&amp;"!"&amp;ADDRESS(10,COLUMN(D$9)+10)&amp;":"&amp;ADDRESS(1000,COLUMN(D$9)+10)))
))</f>
        <v>-</v>
      </c>
      <c r="E93" s="19" t="str">
        <f t="array" ref="E93">IF(ISBLANK(Tareas!$B89),"-",
SUM(
SUMIF(INDIRECT(Equipo!$C$4&amp;"!B10:B1000"),$B93,INDIRECT(Equipo!$C$4&amp;"!"&amp;ADDRESS(10,COLUMN(E$9)+10)&amp;":"&amp;ADDRESS(1000,COLUMN(E$9)+10))),
SUMIF(INDIRECT(Equipo!$D$4&amp;"!B10:B1000"),$B93,INDIRECT(Equipo!$D$4&amp;"!"&amp;ADDRESS(10,COLUMN(E$9)+10)&amp;":"&amp;ADDRESS(1000,COLUMN(E$9)+10))),
SUMIF(INDIRECT(Equipo!$E$4&amp;"!B10:B1000"),$B93,INDIRECT(Equipo!$E$4&amp;"!"&amp;ADDRESS(10,COLUMN(E$9)+10)&amp;":"&amp;ADDRESS(1000,COLUMN(E$9)+10))),
SUMIF(INDIRECT(Equipo!$F$4&amp;"!B10:B1000"),$B93,INDIRECT(Equipo!$F$4&amp;"!"&amp;ADDRESS(10,COLUMN(E$9)+10)&amp;":"&amp;ADDRESS(1000,COLUMN(E$9)+10))),
SUMIF(INDIRECT(Equipo!$G$4&amp;"!B10:B1000"),$B93,INDIRECT(Equipo!$G$4&amp;"!"&amp;ADDRESS(10,COLUMN(E$9)+10)&amp;":"&amp;ADDRESS(1000,COLUMN(E$9)+10)))
))</f>
        <v>-</v>
      </c>
      <c r="F93" s="19" t="str">
        <f t="array" ref="F93">IF(ISBLANK(Tareas!$B89),"-",
SUM(
SUMIF(INDIRECT(Equipo!$C$4&amp;"!B10:B1000"),$B93,INDIRECT(Equipo!$C$4&amp;"!"&amp;ADDRESS(10,COLUMN(F$9)+10)&amp;":"&amp;ADDRESS(1000,COLUMN(F$9)+10))),
SUMIF(INDIRECT(Equipo!$D$4&amp;"!B10:B1000"),$B93,INDIRECT(Equipo!$D$4&amp;"!"&amp;ADDRESS(10,COLUMN(F$9)+10)&amp;":"&amp;ADDRESS(1000,COLUMN(F$9)+10))),
SUMIF(INDIRECT(Equipo!$E$4&amp;"!B10:B1000"),$B93,INDIRECT(Equipo!$E$4&amp;"!"&amp;ADDRESS(10,COLUMN(F$9)+10)&amp;":"&amp;ADDRESS(1000,COLUMN(F$9)+10))),
SUMIF(INDIRECT(Equipo!$F$4&amp;"!B10:B1000"),$B93,INDIRECT(Equipo!$F$4&amp;"!"&amp;ADDRESS(10,COLUMN(F$9)+10)&amp;":"&amp;ADDRESS(1000,COLUMN(F$9)+10))),
SUMIF(INDIRECT(Equipo!$G$4&amp;"!B10:B1000"),$B93,INDIRECT(Equipo!$G$4&amp;"!"&amp;ADDRESS(10,COLUMN(F$9)+10)&amp;":"&amp;ADDRESS(1000,COLUMN(F$9)+10)))
))</f>
        <v>-</v>
      </c>
      <c r="G93" s="19" t="str">
        <f t="array" ref="G93">IF(ISBLANK(Tareas!$B89),"-",
SUM(
SUMIF(INDIRECT(Equipo!$C$4&amp;"!B10:B1000"),$B93,INDIRECT(Equipo!$C$4&amp;"!"&amp;ADDRESS(10,COLUMN(G$9)+10)&amp;":"&amp;ADDRESS(1000,COLUMN(G$9)+10))),
SUMIF(INDIRECT(Equipo!$D$4&amp;"!B10:B1000"),$B93,INDIRECT(Equipo!$D$4&amp;"!"&amp;ADDRESS(10,COLUMN(G$9)+10)&amp;":"&amp;ADDRESS(1000,COLUMN(G$9)+10))),
SUMIF(INDIRECT(Equipo!$E$4&amp;"!B10:B1000"),$B93,INDIRECT(Equipo!$E$4&amp;"!"&amp;ADDRESS(10,COLUMN(G$9)+10)&amp;":"&amp;ADDRESS(1000,COLUMN(G$9)+10))),
SUMIF(INDIRECT(Equipo!$F$4&amp;"!B10:B1000"),$B93,INDIRECT(Equipo!$F$4&amp;"!"&amp;ADDRESS(10,COLUMN(G$9)+10)&amp;":"&amp;ADDRESS(1000,COLUMN(G$9)+10))),
SUMIF(INDIRECT(Equipo!$G$4&amp;"!B10:B1000"),$B93,INDIRECT(Equipo!$G$4&amp;"!"&amp;ADDRESS(10,COLUMN(G$9)+10)&amp;":"&amp;ADDRESS(1000,COLUMN(G$9)+10)))
))</f>
        <v>-</v>
      </c>
      <c r="H93" s="19" t="str">
        <f t="array" ref="H93">IF(ISBLANK(Tareas!$B89),"-",
SUM(
SUMIF(INDIRECT(Equipo!$C$4&amp;"!B10:B1000"),$B93,INDIRECT(Equipo!$C$4&amp;"!"&amp;ADDRESS(10,COLUMN(H$9)+10)&amp;":"&amp;ADDRESS(1000,COLUMN(H$9)+10))),
SUMIF(INDIRECT(Equipo!$D$4&amp;"!B10:B1000"),$B93,INDIRECT(Equipo!$D$4&amp;"!"&amp;ADDRESS(10,COLUMN(H$9)+10)&amp;":"&amp;ADDRESS(1000,COLUMN(H$9)+10))),
SUMIF(INDIRECT(Equipo!$E$4&amp;"!B10:B1000"),$B93,INDIRECT(Equipo!$E$4&amp;"!"&amp;ADDRESS(10,COLUMN(H$9)+10)&amp;":"&amp;ADDRESS(1000,COLUMN(H$9)+10))),
SUMIF(INDIRECT(Equipo!$F$4&amp;"!B10:B1000"),$B93,INDIRECT(Equipo!$F$4&amp;"!"&amp;ADDRESS(10,COLUMN(H$9)+10)&amp;":"&amp;ADDRESS(1000,COLUMN(H$9)+10))),
SUMIF(INDIRECT(Equipo!$G$4&amp;"!B10:B1000"),$B93,INDIRECT(Equipo!$G$4&amp;"!"&amp;ADDRESS(10,COLUMN(H$9)+10)&amp;":"&amp;ADDRESS(1000,COLUMN(H$9)+10)))
))</f>
        <v>-</v>
      </c>
      <c r="I93" s="19" t="str">
        <f t="array" ref="I93">IF(ISBLANK(Tareas!$B89),"-",
SUM(
SUMIF(INDIRECT(Equipo!$C$4&amp;"!B10:B1000"),$B93,INDIRECT(Equipo!$C$4&amp;"!"&amp;ADDRESS(10,COLUMN(I$9)+10)&amp;":"&amp;ADDRESS(1000,COLUMN(I$9)+10))),
SUMIF(INDIRECT(Equipo!$D$4&amp;"!B10:B1000"),$B93,INDIRECT(Equipo!$D$4&amp;"!"&amp;ADDRESS(10,COLUMN(I$9)+10)&amp;":"&amp;ADDRESS(1000,COLUMN(I$9)+10))),
SUMIF(INDIRECT(Equipo!$E$4&amp;"!B10:B1000"),$B93,INDIRECT(Equipo!$E$4&amp;"!"&amp;ADDRESS(10,COLUMN(I$9)+10)&amp;":"&amp;ADDRESS(1000,COLUMN(I$9)+10))),
SUMIF(INDIRECT(Equipo!$F$4&amp;"!B10:B1000"),$B93,INDIRECT(Equipo!$F$4&amp;"!"&amp;ADDRESS(10,COLUMN(I$9)+10)&amp;":"&amp;ADDRESS(1000,COLUMN(I$9)+10))),
SUMIF(INDIRECT(Equipo!$G$4&amp;"!B10:B1000"),$B93,INDIRECT(Equipo!$G$4&amp;"!"&amp;ADDRESS(10,COLUMN(I$9)+10)&amp;":"&amp;ADDRESS(1000,COLUMN(I$9)+10)))
))</f>
        <v>-</v>
      </c>
      <c r="J93" s="19" t="str">
        <f t="array" ref="J93">IF(ISBLANK(Tareas!$B89),"-",
SUM(
SUMIF(INDIRECT(Equipo!$C$4&amp;"!B10:B1000"),$B93,INDIRECT(Equipo!$C$4&amp;"!"&amp;ADDRESS(10,COLUMN(J$9)+10)&amp;":"&amp;ADDRESS(1000,COLUMN(J$9)+10))),
SUMIF(INDIRECT(Equipo!$D$4&amp;"!B10:B1000"),$B93,INDIRECT(Equipo!$D$4&amp;"!"&amp;ADDRESS(10,COLUMN(J$9)+10)&amp;":"&amp;ADDRESS(1000,COLUMN(J$9)+10))),
SUMIF(INDIRECT(Equipo!$E$4&amp;"!B10:B1000"),$B93,INDIRECT(Equipo!$E$4&amp;"!"&amp;ADDRESS(10,COLUMN(J$9)+10)&amp;":"&amp;ADDRESS(1000,COLUMN(J$9)+10))),
SUMIF(INDIRECT(Equipo!$F$4&amp;"!B10:B1000"),$B93,INDIRECT(Equipo!$F$4&amp;"!"&amp;ADDRESS(10,COLUMN(J$9)+10)&amp;":"&amp;ADDRESS(1000,COLUMN(J$9)+10))),
SUMIF(INDIRECT(Equipo!$G$4&amp;"!B10:B1000"),$B93,INDIRECT(Equipo!$G$4&amp;"!"&amp;ADDRESS(10,COLUMN(J$9)+10)&amp;":"&amp;ADDRESS(1000,COLUMN(J$9)+10)))
))</f>
        <v>-</v>
      </c>
      <c r="K93" s="19" t="str">
        <f t="array" ref="K93">IF(ISBLANK(Tareas!$B89),"-",
SUM(
SUMIF(INDIRECT(Equipo!$C$4&amp;"!B10:B1000"),$B93,INDIRECT(Equipo!$C$4&amp;"!"&amp;ADDRESS(10,COLUMN(K$9)+10)&amp;":"&amp;ADDRESS(1000,COLUMN(K$9)+10))),
SUMIF(INDIRECT(Equipo!$D$4&amp;"!B10:B1000"),$B93,INDIRECT(Equipo!$D$4&amp;"!"&amp;ADDRESS(10,COLUMN(K$9)+10)&amp;":"&amp;ADDRESS(1000,COLUMN(K$9)+10))),
SUMIF(INDIRECT(Equipo!$E$4&amp;"!B10:B1000"),$B93,INDIRECT(Equipo!$E$4&amp;"!"&amp;ADDRESS(10,COLUMN(K$9)+10)&amp;":"&amp;ADDRESS(1000,COLUMN(K$9)+10))),
SUMIF(INDIRECT(Equipo!$F$4&amp;"!B10:B1000"),$B93,INDIRECT(Equipo!$F$4&amp;"!"&amp;ADDRESS(10,COLUMN(K$9)+10)&amp;":"&amp;ADDRESS(1000,COLUMN(K$9)+10))),
SUMIF(INDIRECT(Equipo!$G$4&amp;"!B10:B1000"),$B93,INDIRECT(Equipo!$G$4&amp;"!"&amp;ADDRESS(10,COLUMN(K$9)+10)&amp;":"&amp;ADDRESS(1000,COLUMN(K$9)+10)))
))</f>
        <v>-</v>
      </c>
    </row>
    <row r="94" ht="15.75" customHeight="1">
      <c r="C94" s="19" t="str">
        <f>IF(ISBLANK(Tareas!$B90),"-",SUM(D94:K94))</f>
        <v>-</v>
      </c>
      <c r="D94" s="19" t="str">
        <f t="array" ref="D94">IF(ISBLANK(Tareas!$B90),"-",
SUM(
SUMIF(INDIRECT(Equipo!$C$4&amp;"!B10:B1000"),$B94,INDIRECT(Equipo!$C$4&amp;"!"&amp;ADDRESS(10,COLUMN(D$9)+10)&amp;":"&amp;ADDRESS(1000,COLUMN(D$9)+10))),
SUMIF(INDIRECT(Equipo!$D$4&amp;"!B10:B1000"),$B94,INDIRECT(Equipo!$D$4&amp;"!"&amp;ADDRESS(10,COLUMN(D$9)+10)&amp;":"&amp;ADDRESS(1000,COLUMN(D$9)+10))),
SUMIF(INDIRECT(Equipo!$E$4&amp;"!B10:B1000"),$B94,INDIRECT(Equipo!$E$4&amp;"!"&amp;ADDRESS(10,COLUMN(D$9)+10)&amp;":"&amp;ADDRESS(1000,COLUMN(D$9)+10))),
SUMIF(INDIRECT(Equipo!$F$4&amp;"!B10:B1000"),$B94,INDIRECT(Equipo!$F$4&amp;"!"&amp;ADDRESS(10,COLUMN(D$9)+10)&amp;":"&amp;ADDRESS(1000,COLUMN(D$9)+10))),
SUMIF(INDIRECT(Equipo!$G$4&amp;"!B10:B1000"),$B94,INDIRECT(Equipo!$G$4&amp;"!"&amp;ADDRESS(10,COLUMN(D$9)+10)&amp;":"&amp;ADDRESS(1000,COLUMN(D$9)+10)))
))</f>
        <v>-</v>
      </c>
      <c r="E94" s="19" t="str">
        <f t="array" ref="E94">IF(ISBLANK(Tareas!$B90),"-",
SUM(
SUMIF(INDIRECT(Equipo!$C$4&amp;"!B10:B1000"),$B94,INDIRECT(Equipo!$C$4&amp;"!"&amp;ADDRESS(10,COLUMN(E$9)+10)&amp;":"&amp;ADDRESS(1000,COLUMN(E$9)+10))),
SUMIF(INDIRECT(Equipo!$D$4&amp;"!B10:B1000"),$B94,INDIRECT(Equipo!$D$4&amp;"!"&amp;ADDRESS(10,COLUMN(E$9)+10)&amp;":"&amp;ADDRESS(1000,COLUMN(E$9)+10))),
SUMIF(INDIRECT(Equipo!$E$4&amp;"!B10:B1000"),$B94,INDIRECT(Equipo!$E$4&amp;"!"&amp;ADDRESS(10,COLUMN(E$9)+10)&amp;":"&amp;ADDRESS(1000,COLUMN(E$9)+10))),
SUMIF(INDIRECT(Equipo!$F$4&amp;"!B10:B1000"),$B94,INDIRECT(Equipo!$F$4&amp;"!"&amp;ADDRESS(10,COLUMN(E$9)+10)&amp;":"&amp;ADDRESS(1000,COLUMN(E$9)+10))),
SUMIF(INDIRECT(Equipo!$G$4&amp;"!B10:B1000"),$B94,INDIRECT(Equipo!$G$4&amp;"!"&amp;ADDRESS(10,COLUMN(E$9)+10)&amp;":"&amp;ADDRESS(1000,COLUMN(E$9)+10)))
))</f>
        <v>-</v>
      </c>
      <c r="F94" s="19" t="str">
        <f t="array" ref="F94">IF(ISBLANK(Tareas!$B90),"-",
SUM(
SUMIF(INDIRECT(Equipo!$C$4&amp;"!B10:B1000"),$B94,INDIRECT(Equipo!$C$4&amp;"!"&amp;ADDRESS(10,COLUMN(F$9)+10)&amp;":"&amp;ADDRESS(1000,COLUMN(F$9)+10))),
SUMIF(INDIRECT(Equipo!$D$4&amp;"!B10:B1000"),$B94,INDIRECT(Equipo!$D$4&amp;"!"&amp;ADDRESS(10,COLUMN(F$9)+10)&amp;":"&amp;ADDRESS(1000,COLUMN(F$9)+10))),
SUMIF(INDIRECT(Equipo!$E$4&amp;"!B10:B1000"),$B94,INDIRECT(Equipo!$E$4&amp;"!"&amp;ADDRESS(10,COLUMN(F$9)+10)&amp;":"&amp;ADDRESS(1000,COLUMN(F$9)+10))),
SUMIF(INDIRECT(Equipo!$F$4&amp;"!B10:B1000"),$B94,INDIRECT(Equipo!$F$4&amp;"!"&amp;ADDRESS(10,COLUMN(F$9)+10)&amp;":"&amp;ADDRESS(1000,COLUMN(F$9)+10))),
SUMIF(INDIRECT(Equipo!$G$4&amp;"!B10:B1000"),$B94,INDIRECT(Equipo!$G$4&amp;"!"&amp;ADDRESS(10,COLUMN(F$9)+10)&amp;":"&amp;ADDRESS(1000,COLUMN(F$9)+10)))
))</f>
        <v>-</v>
      </c>
      <c r="G94" s="19" t="str">
        <f t="array" ref="G94">IF(ISBLANK(Tareas!$B90),"-",
SUM(
SUMIF(INDIRECT(Equipo!$C$4&amp;"!B10:B1000"),$B94,INDIRECT(Equipo!$C$4&amp;"!"&amp;ADDRESS(10,COLUMN(G$9)+10)&amp;":"&amp;ADDRESS(1000,COLUMN(G$9)+10))),
SUMIF(INDIRECT(Equipo!$D$4&amp;"!B10:B1000"),$B94,INDIRECT(Equipo!$D$4&amp;"!"&amp;ADDRESS(10,COLUMN(G$9)+10)&amp;":"&amp;ADDRESS(1000,COLUMN(G$9)+10))),
SUMIF(INDIRECT(Equipo!$E$4&amp;"!B10:B1000"),$B94,INDIRECT(Equipo!$E$4&amp;"!"&amp;ADDRESS(10,COLUMN(G$9)+10)&amp;":"&amp;ADDRESS(1000,COLUMN(G$9)+10))),
SUMIF(INDIRECT(Equipo!$F$4&amp;"!B10:B1000"),$B94,INDIRECT(Equipo!$F$4&amp;"!"&amp;ADDRESS(10,COLUMN(G$9)+10)&amp;":"&amp;ADDRESS(1000,COLUMN(G$9)+10))),
SUMIF(INDIRECT(Equipo!$G$4&amp;"!B10:B1000"),$B94,INDIRECT(Equipo!$G$4&amp;"!"&amp;ADDRESS(10,COLUMN(G$9)+10)&amp;":"&amp;ADDRESS(1000,COLUMN(G$9)+10)))
))</f>
        <v>-</v>
      </c>
      <c r="H94" s="19" t="str">
        <f t="array" ref="H94">IF(ISBLANK(Tareas!$B90),"-",
SUM(
SUMIF(INDIRECT(Equipo!$C$4&amp;"!B10:B1000"),$B94,INDIRECT(Equipo!$C$4&amp;"!"&amp;ADDRESS(10,COLUMN(H$9)+10)&amp;":"&amp;ADDRESS(1000,COLUMN(H$9)+10))),
SUMIF(INDIRECT(Equipo!$D$4&amp;"!B10:B1000"),$B94,INDIRECT(Equipo!$D$4&amp;"!"&amp;ADDRESS(10,COLUMN(H$9)+10)&amp;":"&amp;ADDRESS(1000,COLUMN(H$9)+10))),
SUMIF(INDIRECT(Equipo!$E$4&amp;"!B10:B1000"),$B94,INDIRECT(Equipo!$E$4&amp;"!"&amp;ADDRESS(10,COLUMN(H$9)+10)&amp;":"&amp;ADDRESS(1000,COLUMN(H$9)+10))),
SUMIF(INDIRECT(Equipo!$F$4&amp;"!B10:B1000"),$B94,INDIRECT(Equipo!$F$4&amp;"!"&amp;ADDRESS(10,COLUMN(H$9)+10)&amp;":"&amp;ADDRESS(1000,COLUMN(H$9)+10))),
SUMIF(INDIRECT(Equipo!$G$4&amp;"!B10:B1000"),$B94,INDIRECT(Equipo!$G$4&amp;"!"&amp;ADDRESS(10,COLUMN(H$9)+10)&amp;":"&amp;ADDRESS(1000,COLUMN(H$9)+10)))
))</f>
        <v>-</v>
      </c>
      <c r="I94" s="19" t="str">
        <f t="array" ref="I94">IF(ISBLANK(Tareas!$B90),"-",
SUM(
SUMIF(INDIRECT(Equipo!$C$4&amp;"!B10:B1000"),$B94,INDIRECT(Equipo!$C$4&amp;"!"&amp;ADDRESS(10,COLUMN(I$9)+10)&amp;":"&amp;ADDRESS(1000,COLUMN(I$9)+10))),
SUMIF(INDIRECT(Equipo!$D$4&amp;"!B10:B1000"),$B94,INDIRECT(Equipo!$D$4&amp;"!"&amp;ADDRESS(10,COLUMN(I$9)+10)&amp;":"&amp;ADDRESS(1000,COLUMN(I$9)+10))),
SUMIF(INDIRECT(Equipo!$E$4&amp;"!B10:B1000"),$B94,INDIRECT(Equipo!$E$4&amp;"!"&amp;ADDRESS(10,COLUMN(I$9)+10)&amp;":"&amp;ADDRESS(1000,COLUMN(I$9)+10))),
SUMIF(INDIRECT(Equipo!$F$4&amp;"!B10:B1000"),$B94,INDIRECT(Equipo!$F$4&amp;"!"&amp;ADDRESS(10,COLUMN(I$9)+10)&amp;":"&amp;ADDRESS(1000,COLUMN(I$9)+10))),
SUMIF(INDIRECT(Equipo!$G$4&amp;"!B10:B1000"),$B94,INDIRECT(Equipo!$G$4&amp;"!"&amp;ADDRESS(10,COLUMN(I$9)+10)&amp;":"&amp;ADDRESS(1000,COLUMN(I$9)+10)))
))</f>
        <v>-</v>
      </c>
      <c r="J94" s="19" t="str">
        <f t="array" ref="J94">IF(ISBLANK(Tareas!$B90),"-",
SUM(
SUMIF(INDIRECT(Equipo!$C$4&amp;"!B10:B1000"),$B94,INDIRECT(Equipo!$C$4&amp;"!"&amp;ADDRESS(10,COLUMN(J$9)+10)&amp;":"&amp;ADDRESS(1000,COLUMN(J$9)+10))),
SUMIF(INDIRECT(Equipo!$D$4&amp;"!B10:B1000"),$B94,INDIRECT(Equipo!$D$4&amp;"!"&amp;ADDRESS(10,COLUMN(J$9)+10)&amp;":"&amp;ADDRESS(1000,COLUMN(J$9)+10))),
SUMIF(INDIRECT(Equipo!$E$4&amp;"!B10:B1000"),$B94,INDIRECT(Equipo!$E$4&amp;"!"&amp;ADDRESS(10,COLUMN(J$9)+10)&amp;":"&amp;ADDRESS(1000,COLUMN(J$9)+10))),
SUMIF(INDIRECT(Equipo!$F$4&amp;"!B10:B1000"),$B94,INDIRECT(Equipo!$F$4&amp;"!"&amp;ADDRESS(10,COLUMN(J$9)+10)&amp;":"&amp;ADDRESS(1000,COLUMN(J$9)+10))),
SUMIF(INDIRECT(Equipo!$G$4&amp;"!B10:B1000"),$B94,INDIRECT(Equipo!$G$4&amp;"!"&amp;ADDRESS(10,COLUMN(J$9)+10)&amp;":"&amp;ADDRESS(1000,COLUMN(J$9)+10)))
))</f>
        <v>-</v>
      </c>
      <c r="K94" s="19" t="str">
        <f t="array" ref="K94">IF(ISBLANK(Tareas!$B90),"-",
SUM(
SUMIF(INDIRECT(Equipo!$C$4&amp;"!B10:B1000"),$B94,INDIRECT(Equipo!$C$4&amp;"!"&amp;ADDRESS(10,COLUMN(K$9)+10)&amp;":"&amp;ADDRESS(1000,COLUMN(K$9)+10))),
SUMIF(INDIRECT(Equipo!$D$4&amp;"!B10:B1000"),$B94,INDIRECT(Equipo!$D$4&amp;"!"&amp;ADDRESS(10,COLUMN(K$9)+10)&amp;":"&amp;ADDRESS(1000,COLUMN(K$9)+10))),
SUMIF(INDIRECT(Equipo!$E$4&amp;"!B10:B1000"),$B94,INDIRECT(Equipo!$E$4&amp;"!"&amp;ADDRESS(10,COLUMN(K$9)+10)&amp;":"&amp;ADDRESS(1000,COLUMN(K$9)+10))),
SUMIF(INDIRECT(Equipo!$F$4&amp;"!B10:B1000"),$B94,INDIRECT(Equipo!$F$4&amp;"!"&amp;ADDRESS(10,COLUMN(K$9)+10)&amp;":"&amp;ADDRESS(1000,COLUMN(K$9)+10))),
SUMIF(INDIRECT(Equipo!$G$4&amp;"!B10:B1000"),$B94,INDIRECT(Equipo!$G$4&amp;"!"&amp;ADDRESS(10,COLUMN(K$9)+10)&amp;":"&amp;ADDRESS(1000,COLUMN(K$9)+10)))
))</f>
        <v>-</v>
      </c>
    </row>
    <row r="95" ht="15.75" customHeight="1">
      <c r="C95" s="19" t="str">
        <f>IF(ISBLANK(Tareas!$B91),"-",SUM(D95:K95))</f>
        <v>-</v>
      </c>
      <c r="D95" s="19" t="str">
        <f t="array" ref="D95">IF(ISBLANK(Tareas!$B91),"-",
SUM(
SUMIF(INDIRECT(Equipo!$C$4&amp;"!B10:B1000"),$B95,INDIRECT(Equipo!$C$4&amp;"!"&amp;ADDRESS(10,COLUMN(D$9)+10)&amp;":"&amp;ADDRESS(1000,COLUMN(D$9)+10))),
SUMIF(INDIRECT(Equipo!$D$4&amp;"!B10:B1000"),$B95,INDIRECT(Equipo!$D$4&amp;"!"&amp;ADDRESS(10,COLUMN(D$9)+10)&amp;":"&amp;ADDRESS(1000,COLUMN(D$9)+10))),
SUMIF(INDIRECT(Equipo!$E$4&amp;"!B10:B1000"),$B95,INDIRECT(Equipo!$E$4&amp;"!"&amp;ADDRESS(10,COLUMN(D$9)+10)&amp;":"&amp;ADDRESS(1000,COLUMN(D$9)+10))),
SUMIF(INDIRECT(Equipo!$F$4&amp;"!B10:B1000"),$B95,INDIRECT(Equipo!$F$4&amp;"!"&amp;ADDRESS(10,COLUMN(D$9)+10)&amp;":"&amp;ADDRESS(1000,COLUMN(D$9)+10))),
SUMIF(INDIRECT(Equipo!$G$4&amp;"!B10:B1000"),$B95,INDIRECT(Equipo!$G$4&amp;"!"&amp;ADDRESS(10,COLUMN(D$9)+10)&amp;":"&amp;ADDRESS(1000,COLUMN(D$9)+10)))
))</f>
        <v>-</v>
      </c>
      <c r="E95" s="19" t="str">
        <f t="array" ref="E95">IF(ISBLANK(Tareas!$B91),"-",
SUM(
SUMIF(INDIRECT(Equipo!$C$4&amp;"!B10:B1000"),$B95,INDIRECT(Equipo!$C$4&amp;"!"&amp;ADDRESS(10,COLUMN(E$9)+10)&amp;":"&amp;ADDRESS(1000,COLUMN(E$9)+10))),
SUMIF(INDIRECT(Equipo!$D$4&amp;"!B10:B1000"),$B95,INDIRECT(Equipo!$D$4&amp;"!"&amp;ADDRESS(10,COLUMN(E$9)+10)&amp;":"&amp;ADDRESS(1000,COLUMN(E$9)+10))),
SUMIF(INDIRECT(Equipo!$E$4&amp;"!B10:B1000"),$B95,INDIRECT(Equipo!$E$4&amp;"!"&amp;ADDRESS(10,COLUMN(E$9)+10)&amp;":"&amp;ADDRESS(1000,COLUMN(E$9)+10))),
SUMIF(INDIRECT(Equipo!$F$4&amp;"!B10:B1000"),$B95,INDIRECT(Equipo!$F$4&amp;"!"&amp;ADDRESS(10,COLUMN(E$9)+10)&amp;":"&amp;ADDRESS(1000,COLUMN(E$9)+10))),
SUMIF(INDIRECT(Equipo!$G$4&amp;"!B10:B1000"),$B95,INDIRECT(Equipo!$G$4&amp;"!"&amp;ADDRESS(10,COLUMN(E$9)+10)&amp;":"&amp;ADDRESS(1000,COLUMN(E$9)+10)))
))</f>
        <v>-</v>
      </c>
      <c r="F95" s="19" t="str">
        <f t="array" ref="F95">IF(ISBLANK(Tareas!$B91),"-",
SUM(
SUMIF(INDIRECT(Equipo!$C$4&amp;"!B10:B1000"),$B95,INDIRECT(Equipo!$C$4&amp;"!"&amp;ADDRESS(10,COLUMN(F$9)+10)&amp;":"&amp;ADDRESS(1000,COLUMN(F$9)+10))),
SUMIF(INDIRECT(Equipo!$D$4&amp;"!B10:B1000"),$B95,INDIRECT(Equipo!$D$4&amp;"!"&amp;ADDRESS(10,COLUMN(F$9)+10)&amp;":"&amp;ADDRESS(1000,COLUMN(F$9)+10))),
SUMIF(INDIRECT(Equipo!$E$4&amp;"!B10:B1000"),$B95,INDIRECT(Equipo!$E$4&amp;"!"&amp;ADDRESS(10,COLUMN(F$9)+10)&amp;":"&amp;ADDRESS(1000,COLUMN(F$9)+10))),
SUMIF(INDIRECT(Equipo!$F$4&amp;"!B10:B1000"),$B95,INDIRECT(Equipo!$F$4&amp;"!"&amp;ADDRESS(10,COLUMN(F$9)+10)&amp;":"&amp;ADDRESS(1000,COLUMN(F$9)+10))),
SUMIF(INDIRECT(Equipo!$G$4&amp;"!B10:B1000"),$B95,INDIRECT(Equipo!$G$4&amp;"!"&amp;ADDRESS(10,COLUMN(F$9)+10)&amp;":"&amp;ADDRESS(1000,COLUMN(F$9)+10)))
))</f>
        <v>-</v>
      </c>
      <c r="G95" s="19" t="str">
        <f t="array" ref="G95">IF(ISBLANK(Tareas!$B91),"-",
SUM(
SUMIF(INDIRECT(Equipo!$C$4&amp;"!B10:B1000"),$B95,INDIRECT(Equipo!$C$4&amp;"!"&amp;ADDRESS(10,COLUMN(G$9)+10)&amp;":"&amp;ADDRESS(1000,COLUMN(G$9)+10))),
SUMIF(INDIRECT(Equipo!$D$4&amp;"!B10:B1000"),$B95,INDIRECT(Equipo!$D$4&amp;"!"&amp;ADDRESS(10,COLUMN(G$9)+10)&amp;":"&amp;ADDRESS(1000,COLUMN(G$9)+10))),
SUMIF(INDIRECT(Equipo!$E$4&amp;"!B10:B1000"),$B95,INDIRECT(Equipo!$E$4&amp;"!"&amp;ADDRESS(10,COLUMN(G$9)+10)&amp;":"&amp;ADDRESS(1000,COLUMN(G$9)+10))),
SUMIF(INDIRECT(Equipo!$F$4&amp;"!B10:B1000"),$B95,INDIRECT(Equipo!$F$4&amp;"!"&amp;ADDRESS(10,COLUMN(G$9)+10)&amp;":"&amp;ADDRESS(1000,COLUMN(G$9)+10))),
SUMIF(INDIRECT(Equipo!$G$4&amp;"!B10:B1000"),$B95,INDIRECT(Equipo!$G$4&amp;"!"&amp;ADDRESS(10,COLUMN(G$9)+10)&amp;":"&amp;ADDRESS(1000,COLUMN(G$9)+10)))
))</f>
        <v>-</v>
      </c>
      <c r="H95" s="19" t="str">
        <f t="array" ref="H95">IF(ISBLANK(Tareas!$B91),"-",
SUM(
SUMIF(INDIRECT(Equipo!$C$4&amp;"!B10:B1000"),$B95,INDIRECT(Equipo!$C$4&amp;"!"&amp;ADDRESS(10,COLUMN(H$9)+10)&amp;":"&amp;ADDRESS(1000,COLUMN(H$9)+10))),
SUMIF(INDIRECT(Equipo!$D$4&amp;"!B10:B1000"),$B95,INDIRECT(Equipo!$D$4&amp;"!"&amp;ADDRESS(10,COLUMN(H$9)+10)&amp;":"&amp;ADDRESS(1000,COLUMN(H$9)+10))),
SUMIF(INDIRECT(Equipo!$E$4&amp;"!B10:B1000"),$B95,INDIRECT(Equipo!$E$4&amp;"!"&amp;ADDRESS(10,COLUMN(H$9)+10)&amp;":"&amp;ADDRESS(1000,COLUMN(H$9)+10))),
SUMIF(INDIRECT(Equipo!$F$4&amp;"!B10:B1000"),$B95,INDIRECT(Equipo!$F$4&amp;"!"&amp;ADDRESS(10,COLUMN(H$9)+10)&amp;":"&amp;ADDRESS(1000,COLUMN(H$9)+10))),
SUMIF(INDIRECT(Equipo!$G$4&amp;"!B10:B1000"),$B95,INDIRECT(Equipo!$G$4&amp;"!"&amp;ADDRESS(10,COLUMN(H$9)+10)&amp;":"&amp;ADDRESS(1000,COLUMN(H$9)+10)))
))</f>
        <v>-</v>
      </c>
      <c r="I95" s="19" t="str">
        <f t="array" ref="I95">IF(ISBLANK(Tareas!$B91),"-",
SUM(
SUMIF(INDIRECT(Equipo!$C$4&amp;"!B10:B1000"),$B95,INDIRECT(Equipo!$C$4&amp;"!"&amp;ADDRESS(10,COLUMN(I$9)+10)&amp;":"&amp;ADDRESS(1000,COLUMN(I$9)+10))),
SUMIF(INDIRECT(Equipo!$D$4&amp;"!B10:B1000"),$B95,INDIRECT(Equipo!$D$4&amp;"!"&amp;ADDRESS(10,COLUMN(I$9)+10)&amp;":"&amp;ADDRESS(1000,COLUMN(I$9)+10))),
SUMIF(INDIRECT(Equipo!$E$4&amp;"!B10:B1000"),$B95,INDIRECT(Equipo!$E$4&amp;"!"&amp;ADDRESS(10,COLUMN(I$9)+10)&amp;":"&amp;ADDRESS(1000,COLUMN(I$9)+10))),
SUMIF(INDIRECT(Equipo!$F$4&amp;"!B10:B1000"),$B95,INDIRECT(Equipo!$F$4&amp;"!"&amp;ADDRESS(10,COLUMN(I$9)+10)&amp;":"&amp;ADDRESS(1000,COLUMN(I$9)+10))),
SUMIF(INDIRECT(Equipo!$G$4&amp;"!B10:B1000"),$B95,INDIRECT(Equipo!$G$4&amp;"!"&amp;ADDRESS(10,COLUMN(I$9)+10)&amp;":"&amp;ADDRESS(1000,COLUMN(I$9)+10)))
))</f>
        <v>-</v>
      </c>
      <c r="J95" s="19" t="str">
        <f t="array" ref="J95">IF(ISBLANK(Tareas!$B91),"-",
SUM(
SUMIF(INDIRECT(Equipo!$C$4&amp;"!B10:B1000"),$B95,INDIRECT(Equipo!$C$4&amp;"!"&amp;ADDRESS(10,COLUMN(J$9)+10)&amp;":"&amp;ADDRESS(1000,COLUMN(J$9)+10))),
SUMIF(INDIRECT(Equipo!$D$4&amp;"!B10:B1000"),$B95,INDIRECT(Equipo!$D$4&amp;"!"&amp;ADDRESS(10,COLUMN(J$9)+10)&amp;":"&amp;ADDRESS(1000,COLUMN(J$9)+10))),
SUMIF(INDIRECT(Equipo!$E$4&amp;"!B10:B1000"),$B95,INDIRECT(Equipo!$E$4&amp;"!"&amp;ADDRESS(10,COLUMN(J$9)+10)&amp;":"&amp;ADDRESS(1000,COLUMN(J$9)+10))),
SUMIF(INDIRECT(Equipo!$F$4&amp;"!B10:B1000"),$B95,INDIRECT(Equipo!$F$4&amp;"!"&amp;ADDRESS(10,COLUMN(J$9)+10)&amp;":"&amp;ADDRESS(1000,COLUMN(J$9)+10))),
SUMIF(INDIRECT(Equipo!$G$4&amp;"!B10:B1000"),$B95,INDIRECT(Equipo!$G$4&amp;"!"&amp;ADDRESS(10,COLUMN(J$9)+10)&amp;":"&amp;ADDRESS(1000,COLUMN(J$9)+10)))
))</f>
        <v>-</v>
      </c>
      <c r="K95" s="19" t="str">
        <f t="array" ref="K95">IF(ISBLANK(Tareas!$B91),"-",
SUM(
SUMIF(INDIRECT(Equipo!$C$4&amp;"!B10:B1000"),$B95,INDIRECT(Equipo!$C$4&amp;"!"&amp;ADDRESS(10,COLUMN(K$9)+10)&amp;":"&amp;ADDRESS(1000,COLUMN(K$9)+10))),
SUMIF(INDIRECT(Equipo!$D$4&amp;"!B10:B1000"),$B95,INDIRECT(Equipo!$D$4&amp;"!"&amp;ADDRESS(10,COLUMN(K$9)+10)&amp;":"&amp;ADDRESS(1000,COLUMN(K$9)+10))),
SUMIF(INDIRECT(Equipo!$E$4&amp;"!B10:B1000"),$B95,INDIRECT(Equipo!$E$4&amp;"!"&amp;ADDRESS(10,COLUMN(K$9)+10)&amp;":"&amp;ADDRESS(1000,COLUMN(K$9)+10))),
SUMIF(INDIRECT(Equipo!$F$4&amp;"!B10:B1000"),$B95,INDIRECT(Equipo!$F$4&amp;"!"&amp;ADDRESS(10,COLUMN(K$9)+10)&amp;":"&amp;ADDRESS(1000,COLUMN(K$9)+10))),
SUMIF(INDIRECT(Equipo!$G$4&amp;"!B10:B1000"),$B95,INDIRECT(Equipo!$G$4&amp;"!"&amp;ADDRESS(10,COLUMN(K$9)+10)&amp;":"&amp;ADDRESS(1000,COLUMN(K$9)+10)))
))</f>
        <v>-</v>
      </c>
    </row>
    <row r="96" ht="15.75" customHeight="1">
      <c r="C96" s="19" t="str">
        <f>IF(ISBLANK(Tareas!$B92),"-",SUM(D96:K96))</f>
        <v>-</v>
      </c>
      <c r="D96" s="19" t="str">
        <f t="array" ref="D96">IF(ISBLANK(Tareas!$B92),"-",
SUM(
SUMIF(INDIRECT(Equipo!$C$4&amp;"!B10:B1000"),$B96,INDIRECT(Equipo!$C$4&amp;"!"&amp;ADDRESS(10,COLUMN(D$9)+10)&amp;":"&amp;ADDRESS(1000,COLUMN(D$9)+10))),
SUMIF(INDIRECT(Equipo!$D$4&amp;"!B10:B1000"),$B96,INDIRECT(Equipo!$D$4&amp;"!"&amp;ADDRESS(10,COLUMN(D$9)+10)&amp;":"&amp;ADDRESS(1000,COLUMN(D$9)+10))),
SUMIF(INDIRECT(Equipo!$E$4&amp;"!B10:B1000"),$B96,INDIRECT(Equipo!$E$4&amp;"!"&amp;ADDRESS(10,COLUMN(D$9)+10)&amp;":"&amp;ADDRESS(1000,COLUMN(D$9)+10))),
SUMIF(INDIRECT(Equipo!$F$4&amp;"!B10:B1000"),$B96,INDIRECT(Equipo!$F$4&amp;"!"&amp;ADDRESS(10,COLUMN(D$9)+10)&amp;":"&amp;ADDRESS(1000,COLUMN(D$9)+10))),
SUMIF(INDIRECT(Equipo!$G$4&amp;"!B10:B1000"),$B96,INDIRECT(Equipo!$G$4&amp;"!"&amp;ADDRESS(10,COLUMN(D$9)+10)&amp;":"&amp;ADDRESS(1000,COLUMN(D$9)+10)))
))</f>
        <v>-</v>
      </c>
      <c r="E96" s="19" t="str">
        <f t="array" ref="E96">IF(ISBLANK(Tareas!$B92),"-",
SUM(
SUMIF(INDIRECT(Equipo!$C$4&amp;"!B10:B1000"),$B96,INDIRECT(Equipo!$C$4&amp;"!"&amp;ADDRESS(10,COLUMN(E$9)+10)&amp;":"&amp;ADDRESS(1000,COLUMN(E$9)+10))),
SUMIF(INDIRECT(Equipo!$D$4&amp;"!B10:B1000"),$B96,INDIRECT(Equipo!$D$4&amp;"!"&amp;ADDRESS(10,COLUMN(E$9)+10)&amp;":"&amp;ADDRESS(1000,COLUMN(E$9)+10))),
SUMIF(INDIRECT(Equipo!$E$4&amp;"!B10:B1000"),$B96,INDIRECT(Equipo!$E$4&amp;"!"&amp;ADDRESS(10,COLUMN(E$9)+10)&amp;":"&amp;ADDRESS(1000,COLUMN(E$9)+10))),
SUMIF(INDIRECT(Equipo!$F$4&amp;"!B10:B1000"),$B96,INDIRECT(Equipo!$F$4&amp;"!"&amp;ADDRESS(10,COLUMN(E$9)+10)&amp;":"&amp;ADDRESS(1000,COLUMN(E$9)+10))),
SUMIF(INDIRECT(Equipo!$G$4&amp;"!B10:B1000"),$B96,INDIRECT(Equipo!$G$4&amp;"!"&amp;ADDRESS(10,COLUMN(E$9)+10)&amp;":"&amp;ADDRESS(1000,COLUMN(E$9)+10)))
))</f>
        <v>-</v>
      </c>
      <c r="F96" s="19" t="str">
        <f t="array" ref="F96">IF(ISBLANK(Tareas!$B92),"-",
SUM(
SUMIF(INDIRECT(Equipo!$C$4&amp;"!B10:B1000"),$B96,INDIRECT(Equipo!$C$4&amp;"!"&amp;ADDRESS(10,COLUMN(F$9)+10)&amp;":"&amp;ADDRESS(1000,COLUMN(F$9)+10))),
SUMIF(INDIRECT(Equipo!$D$4&amp;"!B10:B1000"),$B96,INDIRECT(Equipo!$D$4&amp;"!"&amp;ADDRESS(10,COLUMN(F$9)+10)&amp;":"&amp;ADDRESS(1000,COLUMN(F$9)+10))),
SUMIF(INDIRECT(Equipo!$E$4&amp;"!B10:B1000"),$B96,INDIRECT(Equipo!$E$4&amp;"!"&amp;ADDRESS(10,COLUMN(F$9)+10)&amp;":"&amp;ADDRESS(1000,COLUMN(F$9)+10))),
SUMIF(INDIRECT(Equipo!$F$4&amp;"!B10:B1000"),$B96,INDIRECT(Equipo!$F$4&amp;"!"&amp;ADDRESS(10,COLUMN(F$9)+10)&amp;":"&amp;ADDRESS(1000,COLUMN(F$9)+10))),
SUMIF(INDIRECT(Equipo!$G$4&amp;"!B10:B1000"),$B96,INDIRECT(Equipo!$G$4&amp;"!"&amp;ADDRESS(10,COLUMN(F$9)+10)&amp;":"&amp;ADDRESS(1000,COLUMN(F$9)+10)))
))</f>
        <v>-</v>
      </c>
      <c r="G96" s="19" t="str">
        <f t="array" ref="G96">IF(ISBLANK(Tareas!$B92),"-",
SUM(
SUMIF(INDIRECT(Equipo!$C$4&amp;"!B10:B1000"),$B96,INDIRECT(Equipo!$C$4&amp;"!"&amp;ADDRESS(10,COLUMN(G$9)+10)&amp;":"&amp;ADDRESS(1000,COLUMN(G$9)+10))),
SUMIF(INDIRECT(Equipo!$D$4&amp;"!B10:B1000"),$B96,INDIRECT(Equipo!$D$4&amp;"!"&amp;ADDRESS(10,COLUMN(G$9)+10)&amp;":"&amp;ADDRESS(1000,COLUMN(G$9)+10))),
SUMIF(INDIRECT(Equipo!$E$4&amp;"!B10:B1000"),$B96,INDIRECT(Equipo!$E$4&amp;"!"&amp;ADDRESS(10,COLUMN(G$9)+10)&amp;":"&amp;ADDRESS(1000,COLUMN(G$9)+10))),
SUMIF(INDIRECT(Equipo!$F$4&amp;"!B10:B1000"),$B96,INDIRECT(Equipo!$F$4&amp;"!"&amp;ADDRESS(10,COLUMN(G$9)+10)&amp;":"&amp;ADDRESS(1000,COLUMN(G$9)+10))),
SUMIF(INDIRECT(Equipo!$G$4&amp;"!B10:B1000"),$B96,INDIRECT(Equipo!$G$4&amp;"!"&amp;ADDRESS(10,COLUMN(G$9)+10)&amp;":"&amp;ADDRESS(1000,COLUMN(G$9)+10)))
))</f>
        <v>-</v>
      </c>
      <c r="H96" s="19" t="str">
        <f t="array" ref="H96">IF(ISBLANK(Tareas!$B92),"-",
SUM(
SUMIF(INDIRECT(Equipo!$C$4&amp;"!B10:B1000"),$B96,INDIRECT(Equipo!$C$4&amp;"!"&amp;ADDRESS(10,COLUMN(H$9)+10)&amp;":"&amp;ADDRESS(1000,COLUMN(H$9)+10))),
SUMIF(INDIRECT(Equipo!$D$4&amp;"!B10:B1000"),$B96,INDIRECT(Equipo!$D$4&amp;"!"&amp;ADDRESS(10,COLUMN(H$9)+10)&amp;":"&amp;ADDRESS(1000,COLUMN(H$9)+10))),
SUMIF(INDIRECT(Equipo!$E$4&amp;"!B10:B1000"),$B96,INDIRECT(Equipo!$E$4&amp;"!"&amp;ADDRESS(10,COLUMN(H$9)+10)&amp;":"&amp;ADDRESS(1000,COLUMN(H$9)+10))),
SUMIF(INDIRECT(Equipo!$F$4&amp;"!B10:B1000"),$B96,INDIRECT(Equipo!$F$4&amp;"!"&amp;ADDRESS(10,COLUMN(H$9)+10)&amp;":"&amp;ADDRESS(1000,COLUMN(H$9)+10))),
SUMIF(INDIRECT(Equipo!$G$4&amp;"!B10:B1000"),$B96,INDIRECT(Equipo!$G$4&amp;"!"&amp;ADDRESS(10,COLUMN(H$9)+10)&amp;":"&amp;ADDRESS(1000,COLUMN(H$9)+10)))
))</f>
        <v>-</v>
      </c>
      <c r="I96" s="19" t="str">
        <f t="array" ref="I96">IF(ISBLANK(Tareas!$B92),"-",
SUM(
SUMIF(INDIRECT(Equipo!$C$4&amp;"!B10:B1000"),$B96,INDIRECT(Equipo!$C$4&amp;"!"&amp;ADDRESS(10,COLUMN(I$9)+10)&amp;":"&amp;ADDRESS(1000,COLUMN(I$9)+10))),
SUMIF(INDIRECT(Equipo!$D$4&amp;"!B10:B1000"),$B96,INDIRECT(Equipo!$D$4&amp;"!"&amp;ADDRESS(10,COLUMN(I$9)+10)&amp;":"&amp;ADDRESS(1000,COLUMN(I$9)+10))),
SUMIF(INDIRECT(Equipo!$E$4&amp;"!B10:B1000"),$B96,INDIRECT(Equipo!$E$4&amp;"!"&amp;ADDRESS(10,COLUMN(I$9)+10)&amp;":"&amp;ADDRESS(1000,COLUMN(I$9)+10))),
SUMIF(INDIRECT(Equipo!$F$4&amp;"!B10:B1000"),$B96,INDIRECT(Equipo!$F$4&amp;"!"&amp;ADDRESS(10,COLUMN(I$9)+10)&amp;":"&amp;ADDRESS(1000,COLUMN(I$9)+10))),
SUMIF(INDIRECT(Equipo!$G$4&amp;"!B10:B1000"),$B96,INDIRECT(Equipo!$G$4&amp;"!"&amp;ADDRESS(10,COLUMN(I$9)+10)&amp;":"&amp;ADDRESS(1000,COLUMN(I$9)+10)))
))</f>
        <v>-</v>
      </c>
      <c r="J96" s="19" t="str">
        <f t="array" ref="J96">IF(ISBLANK(Tareas!$B92),"-",
SUM(
SUMIF(INDIRECT(Equipo!$C$4&amp;"!B10:B1000"),$B96,INDIRECT(Equipo!$C$4&amp;"!"&amp;ADDRESS(10,COLUMN(J$9)+10)&amp;":"&amp;ADDRESS(1000,COLUMN(J$9)+10))),
SUMIF(INDIRECT(Equipo!$D$4&amp;"!B10:B1000"),$B96,INDIRECT(Equipo!$D$4&amp;"!"&amp;ADDRESS(10,COLUMN(J$9)+10)&amp;":"&amp;ADDRESS(1000,COLUMN(J$9)+10))),
SUMIF(INDIRECT(Equipo!$E$4&amp;"!B10:B1000"),$B96,INDIRECT(Equipo!$E$4&amp;"!"&amp;ADDRESS(10,COLUMN(J$9)+10)&amp;":"&amp;ADDRESS(1000,COLUMN(J$9)+10))),
SUMIF(INDIRECT(Equipo!$F$4&amp;"!B10:B1000"),$B96,INDIRECT(Equipo!$F$4&amp;"!"&amp;ADDRESS(10,COLUMN(J$9)+10)&amp;":"&amp;ADDRESS(1000,COLUMN(J$9)+10))),
SUMIF(INDIRECT(Equipo!$G$4&amp;"!B10:B1000"),$B96,INDIRECT(Equipo!$G$4&amp;"!"&amp;ADDRESS(10,COLUMN(J$9)+10)&amp;":"&amp;ADDRESS(1000,COLUMN(J$9)+10)))
))</f>
        <v>-</v>
      </c>
      <c r="K96" s="19" t="str">
        <f t="array" ref="K96">IF(ISBLANK(Tareas!$B92),"-",
SUM(
SUMIF(INDIRECT(Equipo!$C$4&amp;"!B10:B1000"),$B96,INDIRECT(Equipo!$C$4&amp;"!"&amp;ADDRESS(10,COLUMN(K$9)+10)&amp;":"&amp;ADDRESS(1000,COLUMN(K$9)+10))),
SUMIF(INDIRECT(Equipo!$D$4&amp;"!B10:B1000"),$B96,INDIRECT(Equipo!$D$4&amp;"!"&amp;ADDRESS(10,COLUMN(K$9)+10)&amp;":"&amp;ADDRESS(1000,COLUMN(K$9)+10))),
SUMIF(INDIRECT(Equipo!$E$4&amp;"!B10:B1000"),$B96,INDIRECT(Equipo!$E$4&amp;"!"&amp;ADDRESS(10,COLUMN(K$9)+10)&amp;":"&amp;ADDRESS(1000,COLUMN(K$9)+10))),
SUMIF(INDIRECT(Equipo!$F$4&amp;"!B10:B1000"),$B96,INDIRECT(Equipo!$F$4&amp;"!"&amp;ADDRESS(10,COLUMN(K$9)+10)&amp;":"&amp;ADDRESS(1000,COLUMN(K$9)+10))),
SUMIF(INDIRECT(Equipo!$G$4&amp;"!B10:B1000"),$B96,INDIRECT(Equipo!$G$4&amp;"!"&amp;ADDRESS(10,COLUMN(K$9)+10)&amp;":"&amp;ADDRESS(1000,COLUMN(K$9)+10)))
))</f>
        <v>-</v>
      </c>
    </row>
    <row r="97" ht="15.75" customHeight="1">
      <c r="C97" s="19" t="str">
        <f>IF(ISBLANK(Tareas!$B93),"-",SUM(D97:K97))</f>
        <v>-</v>
      </c>
      <c r="D97" s="19" t="str">
        <f t="array" ref="D97">IF(ISBLANK(Tareas!$B93),"-",
SUM(
SUMIF(INDIRECT(Equipo!$C$4&amp;"!B10:B1000"),$B97,INDIRECT(Equipo!$C$4&amp;"!"&amp;ADDRESS(10,COLUMN(D$9)+10)&amp;":"&amp;ADDRESS(1000,COLUMN(D$9)+10))),
SUMIF(INDIRECT(Equipo!$D$4&amp;"!B10:B1000"),$B97,INDIRECT(Equipo!$D$4&amp;"!"&amp;ADDRESS(10,COLUMN(D$9)+10)&amp;":"&amp;ADDRESS(1000,COLUMN(D$9)+10))),
SUMIF(INDIRECT(Equipo!$E$4&amp;"!B10:B1000"),$B97,INDIRECT(Equipo!$E$4&amp;"!"&amp;ADDRESS(10,COLUMN(D$9)+10)&amp;":"&amp;ADDRESS(1000,COLUMN(D$9)+10))),
SUMIF(INDIRECT(Equipo!$F$4&amp;"!B10:B1000"),$B97,INDIRECT(Equipo!$F$4&amp;"!"&amp;ADDRESS(10,COLUMN(D$9)+10)&amp;":"&amp;ADDRESS(1000,COLUMN(D$9)+10))),
SUMIF(INDIRECT(Equipo!$G$4&amp;"!B10:B1000"),$B97,INDIRECT(Equipo!$G$4&amp;"!"&amp;ADDRESS(10,COLUMN(D$9)+10)&amp;":"&amp;ADDRESS(1000,COLUMN(D$9)+10)))
))</f>
        <v>-</v>
      </c>
      <c r="E97" s="19" t="str">
        <f t="array" ref="E97">IF(ISBLANK(Tareas!$B93),"-",
SUM(
SUMIF(INDIRECT(Equipo!$C$4&amp;"!B10:B1000"),$B97,INDIRECT(Equipo!$C$4&amp;"!"&amp;ADDRESS(10,COLUMN(E$9)+10)&amp;":"&amp;ADDRESS(1000,COLUMN(E$9)+10))),
SUMIF(INDIRECT(Equipo!$D$4&amp;"!B10:B1000"),$B97,INDIRECT(Equipo!$D$4&amp;"!"&amp;ADDRESS(10,COLUMN(E$9)+10)&amp;":"&amp;ADDRESS(1000,COLUMN(E$9)+10))),
SUMIF(INDIRECT(Equipo!$E$4&amp;"!B10:B1000"),$B97,INDIRECT(Equipo!$E$4&amp;"!"&amp;ADDRESS(10,COLUMN(E$9)+10)&amp;":"&amp;ADDRESS(1000,COLUMN(E$9)+10))),
SUMIF(INDIRECT(Equipo!$F$4&amp;"!B10:B1000"),$B97,INDIRECT(Equipo!$F$4&amp;"!"&amp;ADDRESS(10,COLUMN(E$9)+10)&amp;":"&amp;ADDRESS(1000,COLUMN(E$9)+10))),
SUMIF(INDIRECT(Equipo!$G$4&amp;"!B10:B1000"),$B97,INDIRECT(Equipo!$G$4&amp;"!"&amp;ADDRESS(10,COLUMN(E$9)+10)&amp;":"&amp;ADDRESS(1000,COLUMN(E$9)+10)))
))</f>
        <v>-</v>
      </c>
      <c r="F97" s="19" t="str">
        <f t="array" ref="F97">IF(ISBLANK(Tareas!$B93),"-",
SUM(
SUMIF(INDIRECT(Equipo!$C$4&amp;"!B10:B1000"),$B97,INDIRECT(Equipo!$C$4&amp;"!"&amp;ADDRESS(10,COLUMN(F$9)+10)&amp;":"&amp;ADDRESS(1000,COLUMN(F$9)+10))),
SUMIF(INDIRECT(Equipo!$D$4&amp;"!B10:B1000"),$B97,INDIRECT(Equipo!$D$4&amp;"!"&amp;ADDRESS(10,COLUMN(F$9)+10)&amp;":"&amp;ADDRESS(1000,COLUMN(F$9)+10))),
SUMIF(INDIRECT(Equipo!$E$4&amp;"!B10:B1000"),$B97,INDIRECT(Equipo!$E$4&amp;"!"&amp;ADDRESS(10,COLUMN(F$9)+10)&amp;":"&amp;ADDRESS(1000,COLUMN(F$9)+10))),
SUMIF(INDIRECT(Equipo!$F$4&amp;"!B10:B1000"),$B97,INDIRECT(Equipo!$F$4&amp;"!"&amp;ADDRESS(10,COLUMN(F$9)+10)&amp;":"&amp;ADDRESS(1000,COLUMN(F$9)+10))),
SUMIF(INDIRECT(Equipo!$G$4&amp;"!B10:B1000"),$B97,INDIRECT(Equipo!$G$4&amp;"!"&amp;ADDRESS(10,COLUMN(F$9)+10)&amp;":"&amp;ADDRESS(1000,COLUMN(F$9)+10)))
))</f>
        <v>-</v>
      </c>
      <c r="G97" s="19" t="str">
        <f t="array" ref="G97">IF(ISBLANK(Tareas!$B93),"-",
SUM(
SUMIF(INDIRECT(Equipo!$C$4&amp;"!B10:B1000"),$B97,INDIRECT(Equipo!$C$4&amp;"!"&amp;ADDRESS(10,COLUMN(G$9)+10)&amp;":"&amp;ADDRESS(1000,COLUMN(G$9)+10))),
SUMIF(INDIRECT(Equipo!$D$4&amp;"!B10:B1000"),$B97,INDIRECT(Equipo!$D$4&amp;"!"&amp;ADDRESS(10,COLUMN(G$9)+10)&amp;":"&amp;ADDRESS(1000,COLUMN(G$9)+10))),
SUMIF(INDIRECT(Equipo!$E$4&amp;"!B10:B1000"),$B97,INDIRECT(Equipo!$E$4&amp;"!"&amp;ADDRESS(10,COLUMN(G$9)+10)&amp;":"&amp;ADDRESS(1000,COLUMN(G$9)+10))),
SUMIF(INDIRECT(Equipo!$F$4&amp;"!B10:B1000"),$B97,INDIRECT(Equipo!$F$4&amp;"!"&amp;ADDRESS(10,COLUMN(G$9)+10)&amp;":"&amp;ADDRESS(1000,COLUMN(G$9)+10))),
SUMIF(INDIRECT(Equipo!$G$4&amp;"!B10:B1000"),$B97,INDIRECT(Equipo!$G$4&amp;"!"&amp;ADDRESS(10,COLUMN(G$9)+10)&amp;":"&amp;ADDRESS(1000,COLUMN(G$9)+10)))
))</f>
        <v>-</v>
      </c>
      <c r="H97" s="19" t="str">
        <f t="array" ref="H97">IF(ISBLANK(Tareas!$B93),"-",
SUM(
SUMIF(INDIRECT(Equipo!$C$4&amp;"!B10:B1000"),$B97,INDIRECT(Equipo!$C$4&amp;"!"&amp;ADDRESS(10,COLUMN(H$9)+10)&amp;":"&amp;ADDRESS(1000,COLUMN(H$9)+10))),
SUMIF(INDIRECT(Equipo!$D$4&amp;"!B10:B1000"),$B97,INDIRECT(Equipo!$D$4&amp;"!"&amp;ADDRESS(10,COLUMN(H$9)+10)&amp;":"&amp;ADDRESS(1000,COLUMN(H$9)+10))),
SUMIF(INDIRECT(Equipo!$E$4&amp;"!B10:B1000"),$B97,INDIRECT(Equipo!$E$4&amp;"!"&amp;ADDRESS(10,COLUMN(H$9)+10)&amp;":"&amp;ADDRESS(1000,COLUMN(H$9)+10))),
SUMIF(INDIRECT(Equipo!$F$4&amp;"!B10:B1000"),$B97,INDIRECT(Equipo!$F$4&amp;"!"&amp;ADDRESS(10,COLUMN(H$9)+10)&amp;":"&amp;ADDRESS(1000,COLUMN(H$9)+10))),
SUMIF(INDIRECT(Equipo!$G$4&amp;"!B10:B1000"),$B97,INDIRECT(Equipo!$G$4&amp;"!"&amp;ADDRESS(10,COLUMN(H$9)+10)&amp;":"&amp;ADDRESS(1000,COLUMN(H$9)+10)))
))</f>
        <v>-</v>
      </c>
      <c r="I97" s="19" t="str">
        <f t="array" ref="I97">IF(ISBLANK(Tareas!$B93),"-",
SUM(
SUMIF(INDIRECT(Equipo!$C$4&amp;"!B10:B1000"),$B97,INDIRECT(Equipo!$C$4&amp;"!"&amp;ADDRESS(10,COLUMN(I$9)+10)&amp;":"&amp;ADDRESS(1000,COLUMN(I$9)+10))),
SUMIF(INDIRECT(Equipo!$D$4&amp;"!B10:B1000"),$B97,INDIRECT(Equipo!$D$4&amp;"!"&amp;ADDRESS(10,COLUMN(I$9)+10)&amp;":"&amp;ADDRESS(1000,COLUMN(I$9)+10))),
SUMIF(INDIRECT(Equipo!$E$4&amp;"!B10:B1000"),$B97,INDIRECT(Equipo!$E$4&amp;"!"&amp;ADDRESS(10,COLUMN(I$9)+10)&amp;":"&amp;ADDRESS(1000,COLUMN(I$9)+10))),
SUMIF(INDIRECT(Equipo!$F$4&amp;"!B10:B1000"),$B97,INDIRECT(Equipo!$F$4&amp;"!"&amp;ADDRESS(10,COLUMN(I$9)+10)&amp;":"&amp;ADDRESS(1000,COLUMN(I$9)+10))),
SUMIF(INDIRECT(Equipo!$G$4&amp;"!B10:B1000"),$B97,INDIRECT(Equipo!$G$4&amp;"!"&amp;ADDRESS(10,COLUMN(I$9)+10)&amp;":"&amp;ADDRESS(1000,COLUMN(I$9)+10)))
))</f>
        <v>-</v>
      </c>
      <c r="J97" s="19" t="str">
        <f t="array" ref="J97">IF(ISBLANK(Tareas!$B93),"-",
SUM(
SUMIF(INDIRECT(Equipo!$C$4&amp;"!B10:B1000"),$B97,INDIRECT(Equipo!$C$4&amp;"!"&amp;ADDRESS(10,COLUMN(J$9)+10)&amp;":"&amp;ADDRESS(1000,COLUMN(J$9)+10))),
SUMIF(INDIRECT(Equipo!$D$4&amp;"!B10:B1000"),$B97,INDIRECT(Equipo!$D$4&amp;"!"&amp;ADDRESS(10,COLUMN(J$9)+10)&amp;":"&amp;ADDRESS(1000,COLUMN(J$9)+10))),
SUMIF(INDIRECT(Equipo!$E$4&amp;"!B10:B1000"),$B97,INDIRECT(Equipo!$E$4&amp;"!"&amp;ADDRESS(10,COLUMN(J$9)+10)&amp;":"&amp;ADDRESS(1000,COLUMN(J$9)+10))),
SUMIF(INDIRECT(Equipo!$F$4&amp;"!B10:B1000"),$B97,INDIRECT(Equipo!$F$4&amp;"!"&amp;ADDRESS(10,COLUMN(J$9)+10)&amp;":"&amp;ADDRESS(1000,COLUMN(J$9)+10))),
SUMIF(INDIRECT(Equipo!$G$4&amp;"!B10:B1000"),$B97,INDIRECT(Equipo!$G$4&amp;"!"&amp;ADDRESS(10,COLUMN(J$9)+10)&amp;":"&amp;ADDRESS(1000,COLUMN(J$9)+10)))
))</f>
        <v>-</v>
      </c>
      <c r="K97" s="19" t="str">
        <f t="array" ref="K97">IF(ISBLANK(Tareas!$B93),"-",
SUM(
SUMIF(INDIRECT(Equipo!$C$4&amp;"!B10:B1000"),$B97,INDIRECT(Equipo!$C$4&amp;"!"&amp;ADDRESS(10,COLUMN(K$9)+10)&amp;":"&amp;ADDRESS(1000,COLUMN(K$9)+10))),
SUMIF(INDIRECT(Equipo!$D$4&amp;"!B10:B1000"),$B97,INDIRECT(Equipo!$D$4&amp;"!"&amp;ADDRESS(10,COLUMN(K$9)+10)&amp;":"&amp;ADDRESS(1000,COLUMN(K$9)+10))),
SUMIF(INDIRECT(Equipo!$E$4&amp;"!B10:B1000"),$B97,INDIRECT(Equipo!$E$4&amp;"!"&amp;ADDRESS(10,COLUMN(K$9)+10)&amp;":"&amp;ADDRESS(1000,COLUMN(K$9)+10))),
SUMIF(INDIRECT(Equipo!$F$4&amp;"!B10:B1000"),$B97,INDIRECT(Equipo!$F$4&amp;"!"&amp;ADDRESS(10,COLUMN(K$9)+10)&amp;":"&amp;ADDRESS(1000,COLUMN(K$9)+10))),
SUMIF(INDIRECT(Equipo!$G$4&amp;"!B10:B1000"),$B97,INDIRECT(Equipo!$G$4&amp;"!"&amp;ADDRESS(10,COLUMN(K$9)+10)&amp;":"&amp;ADDRESS(1000,COLUMN(K$9)+10)))
))</f>
        <v>-</v>
      </c>
    </row>
    <row r="98" ht="15.75" customHeight="1">
      <c r="C98" s="19" t="str">
        <f>IF(ISBLANK(Tareas!$B94),"-",SUM(D98:K98))</f>
        <v>-</v>
      </c>
      <c r="D98" s="19" t="str">
        <f t="array" ref="D98">IF(ISBLANK(Tareas!$B94),"-",
SUM(
SUMIF(INDIRECT(Equipo!$C$4&amp;"!B10:B1000"),$B98,INDIRECT(Equipo!$C$4&amp;"!"&amp;ADDRESS(10,COLUMN(D$9)+10)&amp;":"&amp;ADDRESS(1000,COLUMN(D$9)+10))),
SUMIF(INDIRECT(Equipo!$D$4&amp;"!B10:B1000"),$B98,INDIRECT(Equipo!$D$4&amp;"!"&amp;ADDRESS(10,COLUMN(D$9)+10)&amp;":"&amp;ADDRESS(1000,COLUMN(D$9)+10))),
SUMIF(INDIRECT(Equipo!$E$4&amp;"!B10:B1000"),$B98,INDIRECT(Equipo!$E$4&amp;"!"&amp;ADDRESS(10,COLUMN(D$9)+10)&amp;":"&amp;ADDRESS(1000,COLUMN(D$9)+10))),
SUMIF(INDIRECT(Equipo!$F$4&amp;"!B10:B1000"),$B98,INDIRECT(Equipo!$F$4&amp;"!"&amp;ADDRESS(10,COLUMN(D$9)+10)&amp;":"&amp;ADDRESS(1000,COLUMN(D$9)+10))),
SUMIF(INDIRECT(Equipo!$G$4&amp;"!B10:B1000"),$B98,INDIRECT(Equipo!$G$4&amp;"!"&amp;ADDRESS(10,COLUMN(D$9)+10)&amp;":"&amp;ADDRESS(1000,COLUMN(D$9)+10)))
))</f>
        <v>-</v>
      </c>
      <c r="E98" s="19" t="str">
        <f t="array" ref="E98">IF(ISBLANK(Tareas!$B94),"-",
SUM(
SUMIF(INDIRECT(Equipo!$C$4&amp;"!B10:B1000"),$B98,INDIRECT(Equipo!$C$4&amp;"!"&amp;ADDRESS(10,COLUMN(E$9)+10)&amp;":"&amp;ADDRESS(1000,COLUMN(E$9)+10))),
SUMIF(INDIRECT(Equipo!$D$4&amp;"!B10:B1000"),$B98,INDIRECT(Equipo!$D$4&amp;"!"&amp;ADDRESS(10,COLUMN(E$9)+10)&amp;":"&amp;ADDRESS(1000,COLUMN(E$9)+10))),
SUMIF(INDIRECT(Equipo!$E$4&amp;"!B10:B1000"),$B98,INDIRECT(Equipo!$E$4&amp;"!"&amp;ADDRESS(10,COLUMN(E$9)+10)&amp;":"&amp;ADDRESS(1000,COLUMN(E$9)+10))),
SUMIF(INDIRECT(Equipo!$F$4&amp;"!B10:B1000"),$B98,INDIRECT(Equipo!$F$4&amp;"!"&amp;ADDRESS(10,COLUMN(E$9)+10)&amp;":"&amp;ADDRESS(1000,COLUMN(E$9)+10))),
SUMIF(INDIRECT(Equipo!$G$4&amp;"!B10:B1000"),$B98,INDIRECT(Equipo!$G$4&amp;"!"&amp;ADDRESS(10,COLUMN(E$9)+10)&amp;":"&amp;ADDRESS(1000,COLUMN(E$9)+10)))
))</f>
        <v>-</v>
      </c>
      <c r="F98" s="19" t="str">
        <f t="array" ref="F98">IF(ISBLANK(Tareas!$B94),"-",
SUM(
SUMIF(INDIRECT(Equipo!$C$4&amp;"!B10:B1000"),$B98,INDIRECT(Equipo!$C$4&amp;"!"&amp;ADDRESS(10,COLUMN(F$9)+10)&amp;":"&amp;ADDRESS(1000,COLUMN(F$9)+10))),
SUMIF(INDIRECT(Equipo!$D$4&amp;"!B10:B1000"),$B98,INDIRECT(Equipo!$D$4&amp;"!"&amp;ADDRESS(10,COLUMN(F$9)+10)&amp;":"&amp;ADDRESS(1000,COLUMN(F$9)+10))),
SUMIF(INDIRECT(Equipo!$E$4&amp;"!B10:B1000"),$B98,INDIRECT(Equipo!$E$4&amp;"!"&amp;ADDRESS(10,COLUMN(F$9)+10)&amp;":"&amp;ADDRESS(1000,COLUMN(F$9)+10))),
SUMIF(INDIRECT(Equipo!$F$4&amp;"!B10:B1000"),$B98,INDIRECT(Equipo!$F$4&amp;"!"&amp;ADDRESS(10,COLUMN(F$9)+10)&amp;":"&amp;ADDRESS(1000,COLUMN(F$9)+10))),
SUMIF(INDIRECT(Equipo!$G$4&amp;"!B10:B1000"),$B98,INDIRECT(Equipo!$G$4&amp;"!"&amp;ADDRESS(10,COLUMN(F$9)+10)&amp;":"&amp;ADDRESS(1000,COLUMN(F$9)+10)))
))</f>
        <v>-</v>
      </c>
      <c r="G98" s="19" t="str">
        <f t="array" ref="G98">IF(ISBLANK(Tareas!$B94),"-",
SUM(
SUMIF(INDIRECT(Equipo!$C$4&amp;"!B10:B1000"),$B98,INDIRECT(Equipo!$C$4&amp;"!"&amp;ADDRESS(10,COLUMN(G$9)+10)&amp;":"&amp;ADDRESS(1000,COLUMN(G$9)+10))),
SUMIF(INDIRECT(Equipo!$D$4&amp;"!B10:B1000"),$B98,INDIRECT(Equipo!$D$4&amp;"!"&amp;ADDRESS(10,COLUMN(G$9)+10)&amp;":"&amp;ADDRESS(1000,COLUMN(G$9)+10))),
SUMIF(INDIRECT(Equipo!$E$4&amp;"!B10:B1000"),$B98,INDIRECT(Equipo!$E$4&amp;"!"&amp;ADDRESS(10,COLUMN(G$9)+10)&amp;":"&amp;ADDRESS(1000,COLUMN(G$9)+10))),
SUMIF(INDIRECT(Equipo!$F$4&amp;"!B10:B1000"),$B98,INDIRECT(Equipo!$F$4&amp;"!"&amp;ADDRESS(10,COLUMN(G$9)+10)&amp;":"&amp;ADDRESS(1000,COLUMN(G$9)+10))),
SUMIF(INDIRECT(Equipo!$G$4&amp;"!B10:B1000"),$B98,INDIRECT(Equipo!$G$4&amp;"!"&amp;ADDRESS(10,COLUMN(G$9)+10)&amp;":"&amp;ADDRESS(1000,COLUMN(G$9)+10)))
))</f>
        <v>-</v>
      </c>
      <c r="H98" s="19" t="str">
        <f t="array" ref="H98">IF(ISBLANK(Tareas!$B94),"-",
SUM(
SUMIF(INDIRECT(Equipo!$C$4&amp;"!B10:B1000"),$B98,INDIRECT(Equipo!$C$4&amp;"!"&amp;ADDRESS(10,COLUMN(H$9)+10)&amp;":"&amp;ADDRESS(1000,COLUMN(H$9)+10))),
SUMIF(INDIRECT(Equipo!$D$4&amp;"!B10:B1000"),$B98,INDIRECT(Equipo!$D$4&amp;"!"&amp;ADDRESS(10,COLUMN(H$9)+10)&amp;":"&amp;ADDRESS(1000,COLUMN(H$9)+10))),
SUMIF(INDIRECT(Equipo!$E$4&amp;"!B10:B1000"),$B98,INDIRECT(Equipo!$E$4&amp;"!"&amp;ADDRESS(10,COLUMN(H$9)+10)&amp;":"&amp;ADDRESS(1000,COLUMN(H$9)+10))),
SUMIF(INDIRECT(Equipo!$F$4&amp;"!B10:B1000"),$B98,INDIRECT(Equipo!$F$4&amp;"!"&amp;ADDRESS(10,COLUMN(H$9)+10)&amp;":"&amp;ADDRESS(1000,COLUMN(H$9)+10))),
SUMIF(INDIRECT(Equipo!$G$4&amp;"!B10:B1000"),$B98,INDIRECT(Equipo!$G$4&amp;"!"&amp;ADDRESS(10,COLUMN(H$9)+10)&amp;":"&amp;ADDRESS(1000,COLUMN(H$9)+10)))
))</f>
        <v>-</v>
      </c>
      <c r="I98" s="19" t="str">
        <f t="array" ref="I98">IF(ISBLANK(Tareas!$B94),"-",
SUM(
SUMIF(INDIRECT(Equipo!$C$4&amp;"!B10:B1000"),$B98,INDIRECT(Equipo!$C$4&amp;"!"&amp;ADDRESS(10,COLUMN(I$9)+10)&amp;":"&amp;ADDRESS(1000,COLUMN(I$9)+10))),
SUMIF(INDIRECT(Equipo!$D$4&amp;"!B10:B1000"),$B98,INDIRECT(Equipo!$D$4&amp;"!"&amp;ADDRESS(10,COLUMN(I$9)+10)&amp;":"&amp;ADDRESS(1000,COLUMN(I$9)+10))),
SUMIF(INDIRECT(Equipo!$E$4&amp;"!B10:B1000"),$B98,INDIRECT(Equipo!$E$4&amp;"!"&amp;ADDRESS(10,COLUMN(I$9)+10)&amp;":"&amp;ADDRESS(1000,COLUMN(I$9)+10))),
SUMIF(INDIRECT(Equipo!$F$4&amp;"!B10:B1000"),$B98,INDIRECT(Equipo!$F$4&amp;"!"&amp;ADDRESS(10,COLUMN(I$9)+10)&amp;":"&amp;ADDRESS(1000,COLUMN(I$9)+10))),
SUMIF(INDIRECT(Equipo!$G$4&amp;"!B10:B1000"),$B98,INDIRECT(Equipo!$G$4&amp;"!"&amp;ADDRESS(10,COLUMN(I$9)+10)&amp;":"&amp;ADDRESS(1000,COLUMN(I$9)+10)))
))</f>
        <v>-</v>
      </c>
      <c r="J98" s="19" t="str">
        <f t="array" ref="J98">IF(ISBLANK(Tareas!$B94),"-",
SUM(
SUMIF(INDIRECT(Equipo!$C$4&amp;"!B10:B1000"),$B98,INDIRECT(Equipo!$C$4&amp;"!"&amp;ADDRESS(10,COLUMN(J$9)+10)&amp;":"&amp;ADDRESS(1000,COLUMN(J$9)+10))),
SUMIF(INDIRECT(Equipo!$D$4&amp;"!B10:B1000"),$B98,INDIRECT(Equipo!$D$4&amp;"!"&amp;ADDRESS(10,COLUMN(J$9)+10)&amp;":"&amp;ADDRESS(1000,COLUMN(J$9)+10))),
SUMIF(INDIRECT(Equipo!$E$4&amp;"!B10:B1000"),$B98,INDIRECT(Equipo!$E$4&amp;"!"&amp;ADDRESS(10,COLUMN(J$9)+10)&amp;":"&amp;ADDRESS(1000,COLUMN(J$9)+10))),
SUMIF(INDIRECT(Equipo!$F$4&amp;"!B10:B1000"),$B98,INDIRECT(Equipo!$F$4&amp;"!"&amp;ADDRESS(10,COLUMN(J$9)+10)&amp;":"&amp;ADDRESS(1000,COLUMN(J$9)+10))),
SUMIF(INDIRECT(Equipo!$G$4&amp;"!B10:B1000"),$B98,INDIRECT(Equipo!$G$4&amp;"!"&amp;ADDRESS(10,COLUMN(J$9)+10)&amp;":"&amp;ADDRESS(1000,COLUMN(J$9)+10)))
))</f>
        <v>-</v>
      </c>
      <c r="K98" s="19" t="str">
        <f t="array" ref="K98">IF(ISBLANK(Tareas!$B94),"-",
SUM(
SUMIF(INDIRECT(Equipo!$C$4&amp;"!B10:B1000"),$B98,INDIRECT(Equipo!$C$4&amp;"!"&amp;ADDRESS(10,COLUMN(K$9)+10)&amp;":"&amp;ADDRESS(1000,COLUMN(K$9)+10))),
SUMIF(INDIRECT(Equipo!$D$4&amp;"!B10:B1000"),$B98,INDIRECT(Equipo!$D$4&amp;"!"&amp;ADDRESS(10,COLUMN(K$9)+10)&amp;":"&amp;ADDRESS(1000,COLUMN(K$9)+10))),
SUMIF(INDIRECT(Equipo!$E$4&amp;"!B10:B1000"),$B98,INDIRECT(Equipo!$E$4&amp;"!"&amp;ADDRESS(10,COLUMN(K$9)+10)&amp;":"&amp;ADDRESS(1000,COLUMN(K$9)+10))),
SUMIF(INDIRECT(Equipo!$F$4&amp;"!B10:B1000"),$B98,INDIRECT(Equipo!$F$4&amp;"!"&amp;ADDRESS(10,COLUMN(K$9)+10)&amp;":"&amp;ADDRESS(1000,COLUMN(K$9)+10))),
SUMIF(INDIRECT(Equipo!$G$4&amp;"!B10:B1000"),$B98,INDIRECT(Equipo!$G$4&amp;"!"&amp;ADDRESS(10,COLUMN(K$9)+10)&amp;":"&amp;ADDRESS(1000,COLUMN(K$9)+10)))
))</f>
        <v>-</v>
      </c>
    </row>
    <row r="99" ht="15.75" customHeight="1">
      <c r="C99" s="19" t="str">
        <f>IF(ISBLANK(Tareas!$B95),"-",SUM(D99:K99))</f>
        <v>-</v>
      </c>
      <c r="D99" s="19" t="str">
        <f t="array" ref="D99">IF(ISBLANK(Tareas!$B95),"-",
SUM(
SUMIF(INDIRECT(Equipo!$C$4&amp;"!B10:B1000"),$B99,INDIRECT(Equipo!$C$4&amp;"!"&amp;ADDRESS(10,COLUMN(D$9)+10)&amp;":"&amp;ADDRESS(1000,COLUMN(D$9)+10))),
SUMIF(INDIRECT(Equipo!$D$4&amp;"!B10:B1000"),$B99,INDIRECT(Equipo!$D$4&amp;"!"&amp;ADDRESS(10,COLUMN(D$9)+10)&amp;":"&amp;ADDRESS(1000,COLUMN(D$9)+10))),
SUMIF(INDIRECT(Equipo!$E$4&amp;"!B10:B1000"),$B99,INDIRECT(Equipo!$E$4&amp;"!"&amp;ADDRESS(10,COLUMN(D$9)+10)&amp;":"&amp;ADDRESS(1000,COLUMN(D$9)+10))),
SUMIF(INDIRECT(Equipo!$F$4&amp;"!B10:B1000"),$B99,INDIRECT(Equipo!$F$4&amp;"!"&amp;ADDRESS(10,COLUMN(D$9)+10)&amp;":"&amp;ADDRESS(1000,COLUMN(D$9)+10))),
SUMIF(INDIRECT(Equipo!$G$4&amp;"!B10:B1000"),$B99,INDIRECT(Equipo!$G$4&amp;"!"&amp;ADDRESS(10,COLUMN(D$9)+10)&amp;":"&amp;ADDRESS(1000,COLUMN(D$9)+10)))
))</f>
        <v>-</v>
      </c>
      <c r="E99" s="19" t="str">
        <f t="array" ref="E99">IF(ISBLANK(Tareas!$B95),"-",
SUM(
SUMIF(INDIRECT(Equipo!$C$4&amp;"!B10:B1000"),$B99,INDIRECT(Equipo!$C$4&amp;"!"&amp;ADDRESS(10,COLUMN(E$9)+10)&amp;":"&amp;ADDRESS(1000,COLUMN(E$9)+10))),
SUMIF(INDIRECT(Equipo!$D$4&amp;"!B10:B1000"),$B99,INDIRECT(Equipo!$D$4&amp;"!"&amp;ADDRESS(10,COLUMN(E$9)+10)&amp;":"&amp;ADDRESS(1000,COLUMN(E$9)+10))),
SUMIF(INDIRECT(Equipo!$E$4&amp;"!B10:B1000"),$B99,INDIRECT(Equipo!$E$4&amp;"!"&amp;ADDRESS(10,COLUMN(E$9)+10)&amp;":"&amp;ADDRESS(1000,COLUMN(E$9)+10))),
SUMIF(INDIRECT(Equipo!$F$4&amp;"!B10:B1000"),$B99,INDIRECT(Equipo!$F$4&amp;"!"&amp;ADDRESS(10,COLUMN(E$9)+10)&amp;":"&amp;ADDRESS(1000,COLUMN(E$9)+10))),
SUMIF(INDIRECT(Equipo!$G$4&amp;"!B10:B1000"),$B99,INDIRECT(Equipo!$G$4&amp;"!"&amp;ADDRESS(10,COLUMN(E$9)+10)&amp;":"&amp;ADDRESS(1000,COLUMN(E$9)+10)))
))</f>
        <v>-</v>
      </c>
      <c r="F99" s="19" t="str">
        <f t="array" ref="F99">IF(ISBLANK(Tareas!$B95),"-",
SUM(
SUMIF(INDIRECT(Equipo!$C$4&amp;"!B10:B1000"),$B99,INDIRECT(Equipo!$C$4&amp;"!"&amp;ADDRESS(10,COLUMN(F$9)+10)&amp;":"&amp;ADDRESS(1000,COLUMN(F$9)+10))),
SUMIF(INDIRECT(Equipo!$D$4&amp;"!B10:B1000"),$B99,INDIRECT(Equipo!$D$4&amp;"!"&amp;ADDRESS(10,COLUMN(F$9)+10)&amp;":"&amp;ADDRESS(1000,COLUMN(F$9)+10))),
SUMIF(INDIRECT(Equipo!$E$4&amp;"!B10:B1000"),$B99,INDIRECT(Equipo!$E$4&amp;"!"&amp;ADDRESS(10,COLUMN(F$9)+10)&amp;":"&amp;ADDRESS(1000,COLUMN(F$9)+10))),
SUMIF(INDIRECT(Equipo!$F$4&amp;"!B10:B1000"),$B99,INDIRECT(Equipo!$F$4&amp;"!"&amp;ADDRESS(10,COLUMN(F$9)+10)&amp;":"&amp;ADDRESS(1000,COLUMN(F$9)+10))),
SUMIF(INDIRECT(Equipo!$G$4&amp;"!B10:B1000"),$B99,INDIRECT(Equipo!$G$4&amp;"!"&amp;ADDRESS(10,COLUMN(F$9)+10)&amp;":"&amp;ADDRESS(1000,COLUMN(F$9)+10)))
))</f>
        <v>-</v>
      </c>
      <c r="G99" s="19" t="str">
        <f t="array" ref="G99">IF(ISBLANK(Tareas!$B95),"-",
SUM(
SUMIF(INDIRECT(Equipo!$C$4&amp;"!B10:B1000"),$B99,INDIRECT(Equipo!$C$4&amp;"!"&amp;ADDRESS(10,COLUMN(G$9)+10)&amp;":"&amp;ADDRESS(1000,COLUMN(G$9)+10))),
SUMIF(INDIRECT(Equipo!$D$4&amp;"!B10:B1000"),$B99,INDIRECT(Equipo!$D$4&amp;"!"&amp;ADDRESS(10,COLUMN(G$9)+10)&amp;":"&amp;ADDRESS(1000,COLUMN(G$9)+10))),
SUMIF(INDIRECT(Equipo!$E$4&amp;"!B10:B1000"),$B99,INDIRECT(Equipo!$E$4&amp;"!"&amp;ADDRESS(10,COLUMN(G$9)+10)&amp;":"&amp;ADDRESS(1000,COLUMN(G$9)+10))),
SUMIF(INDIRECT(Equipo!$F$4&amp;"!B10:B1000"),$B99,INDIRECT(Equipo!$F$4&amp;"!"&amp;ADDRESS(10,COLUMN(G$9)+10)&amp;":"&amp;ADDRESS(1000,COLUMN(G$9)+10))),
SUMIF(INDIRECT(Equipo!$G$4&amp;"!B10:B1000"),$B99,INDIRECT(Equipo!$G$4&amp;"!"&amp;ADDRESS(10,COLUMN(G$9)+10)&amp;":"&amp;ADDRESS(1000,COLUMN(G$9)+10)))
))</f>
        <v>-</v>
      </c>
      <c r="H99" s="19" t="str">
        <f t="array" ref="H99">IF(ISBLANK(Tareas!$B95),"-",
SUM(
SUMIF(INDIRECT(Equipo!$C$4&amp;"!B10:B1000"),$B99,INDIRECT(Equipo!$C$4&amp;"!"&amp;ADDRESS(10,COLUMN(H$9)+10)&amp;":"&amp;ADDRESS(1000,COLUMN(H$9)+10))),
SUMIF(INDIRECT(Equipo!$D$4&amp;"!B10:B1000"),$B99,INDIRECT(Equipo!$D$4&amp;"!"&amp;ADDRESS(10,COLUMN(H$9)+10)&amp;":"&amp;ADDRESS(1000,COLUMN(H$9)+10))),
SUMIF(INDIRECT(Equipo!$E$4&amp;"!B10:B1000"),$B99,INDIRECT(Equipo!$E$4&amp;"!"&amp;ADDRESS(10,COLUMN(H$9)+10)&amp;":"&amp;ADDRESS(1000,COLUMN(H$9)+10))),
SUMIF(INDIRECT(Equipo!$F$4&amp;"!B10:B1000"),$B99,INDIRECT(Equipo!$F$4&amp;"!"&amp;ADDRESS(10,COLUMN(H$9)+10)&amp;":"&amp;ADDRESS(1000,COLUMN(H$9)+10))),
SUMIF(INDIRECT(Equipo!$G$4&amp;"!B10:B1000"),$B99,INDIRECT(Equipo!$G$4&amp;"!"&amp;ADDRESS(10,COLUMN(H$9)+10)&amp;":"&amp;ADDRESS(1000,COLUMN(H$9)+10)))
))</f>
        <v>-</v>
      </c>
      <c r="I99" s="19" t="str">
        <f t="array" ref="I99">IF(ISBLANK(Tareas!$B95),"-",
SUM(
SUMIF(INDIRECT(Equipo!$C$4&amp;"!B10:B1000"),$B99,INDIRECT(Equipo!$C$4&amp;"!"&amp;ADDRESS(10,COLUMN(I$9)+10)&amp;":"&amp;ADDRESS(1000,COLUMN(I$9)+10))),
SUMIF(INDIRECT(Equipo!$D$4&amp;"!B10:B1000"),$B99,INDIRECT(Equipo!$D$4&amp;"!"&amp;ADDRESS(10,COLUMN(I$9)+10)&amp;":"&amp;ADDRESS(1000,COLUMN(I$9)+10))),
SUMIF(INDIRECT(Equipo!$E$4&amp;"!B10:B1000"),$B99,INDIRECT(Equipo!$E$4&amp;"!"&amp;ADDRESS(10,COLUMN(I$9)+10)&amp;":"&amp;ADDRESS(1000,COLUMN(I$9)+10))),
SUMIF(INDIRECT(Equipo!$F$4&amp;"!B10:B1000"),$B99,INDIRECT(Equipo!$F$4&amp;"!"&amp;ADDRESS(10,COLUMN(I$9)+10)&amp;":"&amp;ADDRESS(1000,COLUMN(I$9)+10))),
SUMIF(INDIRECT(Equipo!$G$4&amp;"!B10:B1000"),$B99,INDIRECT(Equipo!$G$4&amp;"!"&amp;ADDRESS(10,COLUMN(I$9)+10)&amp;":"&amp;ADDRESS(1000,COLUMN(I$9)+10)))
))</f>
        <v>-</v>
      </c>
      <c r="J99" s="19" t="str">
        <f t="array" ref="J99">IF(ISBLANK(Tareas!$B95),"-",
SUM(
SUMIF(INDIRECT(Equipo!$C$4&amp;"!B10:B1000"),$B99,INDIRECT(Equipo!$C$4&amp;"!"&amp;ADDRESS(10,COLUMN(J$9)+10)&amp;":"&amp;ADDRESS(1000,COLUMN(J$9)+10))),
SUMIF(INDIRECT(Equipo!$D$4&amp;"!B10:B1000"),$B99,INDIRECT(Equipo!$D$4&amp;"!"&amp;ADDRESS(10,COLUMN(J$9)+10)&amp;":"&amp;ADDRESS(1000,COLUMN(J$9)+10))),
SUMIF(INDIRECT(Equipo!$E$4&amp;"!B10:B1000"),$B99,INDIRECT(Equipo!$E$4&amp;"!"&amp;ADDRESS(10,COLUMN(J$9)+10)&amp;":"&amp;ADDRESS(1000,COLUMN(J$9)+10))),
SUMIF(INDIRECT(Equipo!$F$4&amp;"!B10:B1000"),$B99,INDIRECT(Equipo!$F$4&amp;"!"&amp;ADDRESS(10,COLUMN(J$9)+10)&amp;":"&amp;ADDRESS(1000,COLUMN(J$9)+10))),
SUMIF(INDIRECT(Equipo!$G$4&amp;"!B10:B1000"),$B99,INDIRECT(Equipo!$G$4&amp;"!"&amp;ADDRESS(10,COLUMN(J$9)+10)&amp;":"&amp;ADDRESS(1000,COLUMN(J$9)+10)))
))</f>
        <v>-</v>
      </c>
      <c r="K99" s="19" t="str">
        <f t="array" ref="K99">IF(ISBLANK(Tareas!$B95),"-",
SUM(
SUMIF(INDIRECT(Equipo!$C$4&amp;"!B10:B1000"),$B99,INDIRECT(Equipo!$C$4&amp;"!"&amp;ADDRESS(10,COLUMN(K$9)+10)&amp;":"&amp;ADDRESS(1000,COLUMN(K$9)+10))),
SUMIF(INDIRECT(Equipo!$D$4&amp;"!B10:B1000"),$B99,INDIRECT(Equipo!$D$4&amp;"!"&amp;ADDRESS(10,COLUMN(K$9)+10)&amp;":"&amp;ADDRESS(1000,COLUMN(K$9)+10))),
SUMIF(INDIRECT(Equipo!$E$4&amp;"!B10:B1000"),$B99,INDIRECT(Equipo!$E$4&amp;"!"&amp;ADDRESS(10,COLUMN(K$9)+10)&amp;":"&amp;ADDRESS(1000,COLUMN(K$9)+10))),
SUMIF(INDIRECT(Equipo!$F$4&amp;"!B10:B1000"),$B99,INDIRECT(Equipo!$F$4&amp;"!"&amp;ADDRESS(10,COLUMN(K$9)+10)&amp;":"&amp;ADDRESS(1000,COLUMN(K$9)+10))),
SUMIF(INDIRECT(Equipo!$G$4&amp;"!B10:B1000"),$B99,INDIRECT(Equipo!$G$4&amp;"!"&amp;ADDRESS(10,COLUMN(K$9)+10)&amp;":"&amp;ADDRESS(1000,COLUMN(K$9)+10)))
))</f>
        <v>-</v>
      </c>
    </row>
    <row r="100" ht="15.75" customHeight="1">
      <c r="C100" s="19" t="str">
        <f>IF(ISBLANK(Tareas!$B96),"-",SUM(D100:K100))</f>
        <v>-</v>
      </c>
      <c r="D100" s="19" t="str">
        <f t="array" ref="D100">IF(ISBLANK(Tareas!$B96),"-",
SUM(
SUMIF(INDIRECT(Equipo!$C$4&amp;"!B10:B1000"),$B100,INDIRECT(Equipo!$C$4&amp;"!"&amp;ADDRESS(10,COLUMN(D$9)+10)&amp;":"&amp;ADDRESS(1000,COLUMN(D$9)+10))),
SUMIF(INDIRECT(Equipo!$D$4&amp;"!B10:B1000"),$B100,INDIRECT(Equipo!$D$4&amp;"!"&amp;ADDRESS(10,COLUMN(D$9)+10)&amp;":"&amp;ADDRESS(1000,COLUMN(D$9)+10))),
SUMIF(INDIRECT(Equipo!$E$4&amp;"!B10:B1000"),$B100,INDIRECT(Equipo!$E$4&amp;"!"&amp;ADDRESS(10,COLUMN(D$9)+10)&amp;":"&amp;ADDRESS(1000,COLUMN(D$9)+10))),
SUMIF(INDIRECT(Equipo!$F$4&amp;"!B10:B1000"),$B100,INDIRECT(Equipo!$F$4&amp;"!"&amp;ADDRESS(10,COLUMN(D$9)+10)&amp;":"&amp;ADDRESS(1000,COLUMN(D$9)+10))),
SUMIF(INDIRECT(Equipo!$G$4&amp;"!B10:B1000"),$B100,INDIRECT(Equipo!$G$4&amp;"!"&amp;ADDRESS(10,COLUMN(D$9)+10)&amp;":"&amp;ADDRESS(1000,COLUMN(D$9)+10)))
))</f>
        <v>-</v>
      </c>
      <c r="E100" s="19" t="str">
        <f t="array" ref="E100">IF(ISBLANK(Tareas!$B96),"-",
SUM(
SUMIF(INDIRECT(Equipo!$C$4&amp;"!B10:B1000"),$B100,INDIRECT(Equipo!$C$4&amp;"!"&amp;ADDRESS(10,COLUMN(E$9)+10)&amp;":"&amp;ADDRESS(1000,COLUMN(E$9)+10))),
SUMIF(INDIRECT(Equipo!$D$4&amp;"!B10:B1000"),$B100,INDIRECT(Equipo!$D$4&amp;"!"&amp;ADDRESS(10,COLUMN(E$9)+10)&amp;":"&amp;ADDRESS(1000,COLUMN(E$9)+10))),
SUMIF(INDIRECT(Equipo!$E$4&amp;"!B10:B1000"),$B100,INDIRECT(Equipo!$E$4&amp;"!"&amp;ADDRESS(10,COLUMN(E$9)+10)&amp;":"&amp;ADDRESS(1000,COLUMN(E$9)+10))),
SUMIF(INDIRECT(Equipo!$F$4&amp;"!B10:B1000"),$B100,INDIRECT(Equipo!$F$4&amp;"!"&amp;ADDRESS(10,COLUMN(E$9)+10)&amp;":"&amp;ADDRESS(1000,COLUMN(E$9)+10))),
SUMIF(INDIRECT(Equipo!$G$4&amp;"!B10:B1000"),$B100,INDIRECT(Equipo!$G$4&amp;"!"&amp;ADDRESS(10,COLUMN(E$9)+10)&amp;":"&amp;ADDRESS(1000,COLUMN(E$9)+10)))
))</f>
        <v>-</v>
      </c>
      <c r="F100" s="19" t="str">
        <f t="array" ref="F100">IF(ISBLANK(Tareas!$B96),"-",
SUM(
SUMIF(INDIRECT(Equipo!$C$4&amp;"!B10:B1000"),$B100,INDIRECT(Equipo!$C$4&amp;"!"&amp;ADDRESS(10,COLUMN(F$9)+10)&amp;":"&amp;ADDRESS(1000,COLUMN(F$9)+10))),
SUMIF(INDIRECT(Equipo!$D$4&amp;"!B10:B1000"),$B100,INDIRECT(Equipo!$D$4&amp;"!"&amp;ADDRESS(10,COLUMN(F$9)+10)&amp;":"&amp;ADDRESS(1000,COLUMN(F$9)+10))),
SUMIF(INDIRECT(Equipo!$E$4&amp;"!B10:B1000"),$B100,INDIRECT(Equipo!$E$4&amp;"!"&amp;ADDRESS(10,COLUMN(F$9)+10)&amp;":"&amp;ADDRESS(1000,COLUMN(F$9)+10))),
SUMIF(INDIRECT(Equipo!$F$4&amp;"!B10:B1000"),$B100,INDIRECT(Equipo!$F$4&amp;"!"&amp;ADDRESS(10,COLUMN(F$9)+10)&amp;":"&amp;ADDRESS(1000,COLUMN(F$9)+10))),
SUMIF(INDIRECT(Equipo!$G$4&amp;"!B10:B1000"),$B100,INDIRECT(Equipo!$G$4&amp;"!"&amp;ADDRESS(10,COLUMN(F$9)+10)&amp;":"&amp;ADDRESS(1000,COLUMN(F$9)+10)))
))</f>
        <v>-</v>
      </c>
      <c r="G100" s="19" t="str">
        <f t="array" ref="G100">IF(ISBLANK(Tareas!$B96),"-",
SUM(
SUMIF(INDIRECT(Equipo!$C$4&amp;"!B10:B1000"),$B100,INDIRECT(Equipo!$C$4&amp;"!"&amp;ADDRESS(10,COLUMN(G$9)+10)&amp;":"&amp;ADDRESS(1000,COLUMN(G$9)+10))),
SUMIF(INDIRECT(Equipo!$D$4&amp;"!B10:B1000"),$B100,INDIRECT(Equipo!$D$4&amp;"!"&amp;ADDRESS(10,COLUMN(G$9)+10)&amp;":"&amp;ADDRESS(1000,COLUMN(G$9)+10))),
SUMIF(INDIRECT(Equipo!$E$4&amp;"!B10:B1000"),$B100,INDIRECT(Equipo!$E$4&amp;"!"&amp;ADDRESS(10,COLUMN(G$9)+10)&amp;":"&amp;ADDRESS(1000,COLUMN(G$9)+10))),
SUMIF(INDIRECT(Equipo!$F$4&amp;"!B10:B1000"),$B100,INDIRECT(Equipo!$F$4&amp;"!"&amp;ADDRESS(10,COLUMN(G$9)+10)&amp;":"&amp;ADDRESS(1000,COLUMN(G$9)+10))),
SUMIF(INDIRECT(Equipo!$G$4&amp;"!B10:B1000"),$B100,INDIRECT(Equipo!$G$4&amp;"!"&amp;ADDRESS(10,COLUMN(G$9)+10)&amp;":"&amp;ADDRESS(1000,COLUMN(G$9)+10)))
))</f>
        <v>-</v>
      </c>
      <c r="H100" s="19" t="str">
        <f t="array" ref="H100">IF(ISBLANK(Tareas!$B96),"-",
SUM(
SUMIF(INDIRECT(Equipo!$C$4&amp;"!B10:B1000"),$B100,INDIRECT(Equipo!$C$4&amp;"!"&amp;ADDRESS(10,COLUMN(H$9)+10)&amp;":"&amp;ADDRESS(1000,COLUMN(H$9)+10))),
SUMIF(INDIRECT(Equipo!$D$4&amp;"!B10:B1000"),$B100,INDIRECT(Equipo!$D$4&amp;"!"&amp;ADDRESS(10,COLUMN(H$9)+10)&amp;":"&amp;ADDRESS(1000,COLUMN(H$9)+10))),
SUMIF(INDIRECT(Equipo!$E$4&amp;"!B10:B1000"),$B100,INDIRECT(Equipo!$E$4&amp;"!"&amp;ADDRESS(10,COLUMN(H$9)+10)&amp;":"&amp;ADDRESS(1000,COLUMN(H$9)+10))),
SUMIF(INDIRECT(Equipo!$F$4&amp;"!B10:B1000"),$B100,INDIRECT(Equipo!$F$4&amp;"!"&amp;ADDRESS(10,COLUMN(H$9)+10)&amp;":"&amp;ADDRESS(1000,COLUMN(H$9)+10))),
SUMIF(INDIRECT(Equipo!$G$4&amp;"!B10:B1000"),$B100,INDIRECT(Equipo!$G$4&amp;"!"&amp;ADDRESS(10,COLUMN(H$9)+10)&amp;":"&amp;ADDRESS(1000,COLUMN(H$9)+10)))
))</f>
        <v>-</v>
      </c>
      <c r="I100" s="19" t="str">
        <f t="array" ref="I100">IF(ISBLANK(Tareas!$B96),"-",
SUM(
SUMIF(INDIRECT(Equipo!$C$4&amp;"!B10:B1000"),$B100,INDIRECT(Equipo!$C$4&amp;"!"&amp;ADDRESS(10,COLUMN(I$9)+10)&amp;":"&amp;ADDRESS(1000,COLUMN(I$9)+10))),
SUMIF(INDIRECT(Equipo!$D$4&amp;"!B10:B1000"),$B100,INDIRECT(Equipo!$D$4&amp;"!"&amp;ADDRESS(10,COLUMN(I$9)+10)&amp;":"&amp;ADDRESS(1000,COLUMN(I$9)+10))),
SUMIF(INDIRECT(Equipo!$E$4&amp;"!B10:B1000"),$B100,INDIRECT(Equipo!$E$4&amp;"!"&amp;ADDRESS(10,COLUMN(I$9)+10)&amp;":"&amp;ADDRESS(1000,COLUMN(I$9)+10))),
SUMIF(INDIRECT(Equipo!$F$4&amp;"!B10:B1000"),$B100,INDIRECT(Equipo!$F$4&amp;"!"&amp;ADDRESS(10,COLUMN(I$9)+10)&amp;":"&amp;ADDRESS(1000,COLUMN(I$9)+10))),
SUMIF(INDIRECT(Equipo!$G$4&amp;"!B10:B1000"),$B100,INDIRECT(Equipo!$G$4&amp;"!"&amp;ADDRESS(10,COLUMN(I$9)+10)&amp;":"&amp;ADDRESS(1000,COLUMN(I$9)+10)))
))</f>
        <v>-</v>
      </c>
      <c r="J100" s="19" t="str">
        <f t="array" ref="J100">IF(ISBLANK(Tareas!$B96),"-",
SUM(
SUMIF(INDIRECT(Equipo!$C$4&amp;"!B10:B1000"),$B100,INDIRECT(Equipo!$C$4&amp;"!"&amp;ADDRESS(10,COLUMN(J$9)+10)&amp;":"&amp;ADDRESS(1000,COLUMN(J$9)+10))),
SUMIF(INDIRECT(Equipo!$D$4&amp;"!B10:B1000"),$B100,INDIRECT(Equipo!$D$4&amp;"!"&amp;ADDRESS(10,COLUMN(J$9)+10)&amp;":"&amp;ADDRESS(1000,COLUMN(J$9)+10))),
SUMIF(INDIRECT(Equipo!$E$4&amp;"!B10:B1000"),$B100,INDIRECT(Equipo!$E$4&amp;"!"&amp;ADDRESS(10,COLUMN(J$9)+10)&amp;":"&amp;ADDRESS(1000,COLUMN(J$9)+10))),
SUMIF(INDIRECT(Equipo!$F$4&amp;"!B10:B1000"),$B100,INDIRECT(Equipo!$F$4&amp;"!"&amp;ADDRESS(10,COLUMN(J$9)+10)&amp;":"&amp;ADDRESS(1000,COLUMN(J$9)+10))),
SUMIF(INDIRECT(Equipo!$G$4&amp;"!B10:B1000"),$B100,INDIRECT(Equipo!$G$4&amp;"!"&amp;ADDRESS(10,COLUMN(J$9)+10)&amp;":"&amp;ADDRESS(1000,COLUMN(J$9)+10)))
))</f>
        <v>-</v>
      </c>
      <c r="K100" s="19" t="str">
        <f t="array" ref="K100">IF(ISBLANK(Tareas!$B96),"-",
SUM(
SUMIF(INDIRECT(Equipo!$C$4&amp;"!B10:B1000"),$B100,INDIRECT(Equipo!$C$4&amp;"!"&amp;ADDRESS(10,COLUMN(K$9)+10)&amp;":"&amp;ADDRESS(1000,COLUMN(K$9)+10))),
SUMIF(INDIRECT(Equipo!$D$4&amp;"!B10:B1000"),$B100,INDIRECT(Equipo!$D$4&amp;"!"&amp;ADDRESS(10,COLUMN(K$9)+10)&amp;":"&amp;ADDRESS(1000,COLUMN(K$9)+10))),
SUMIF(INDIRECT(Equipo!$E$4&amp;"!B10:B1000"),$B100,INDIRECT(Equipo!$E$4&amp;"!"&amp;ADDRESS(10,COLUMN(K$9)+10)&amp;":"&amp;ADDRESS(1000,COLUMN(K$9)+10))),
SUMIF(INDIRECT(Equipo!$F$4&amp;"!B10:B1000"),$B100,INDIRECT(Equipo!$F$4&amp;"!"&amp;ADDRESS(10,COLUMN(K$9)+10)&amp;":"&amp;ADDRESS(1000,COLUMN(K$9)+10))),
SUMIF(INDIRECT(Equipo!$G$4&amp;"!B10:B1000"),$B100,INDIRECT(Equipo!$G$4&amp;"!"&amp;ADDRESS(10,COLUMN(K$9)+10)&amp;":"&amp;ADDRESS(1000,COLUMN(K$9)+10)))
))</f>
        <v>-</v>
      </c>
    </row>
    <row r="101" ht="15.75" customHeight="1">
      <c r="C101" s="19" t="str">
        <f>IF(ISBLANK(Tareas!$B97),"-",SUM(D101:K101))</f>
        <v>-</v>
      </c>
      <c r="D101" s="19" t="str">
        <f t="array" ref="D101">IF(ISBLANK(Tareas!$B97),"-",
SUM(
SUMIF(INDIRECT(Equipo!$C$4&amp;"!B10:B1000"),$B101,INDIRECT(Equipo!$C$4&amp;"!"&amp;ADDRESS(10,COLUMN(D$9)+10)&amp;":"&amp;ADDRESS(1000,COLUMN(D$9)+10))),
SUMIF(INDIRECT(Equipo!$D$4&amp;"!B10:B1000"),$B101,INDIRECT(Equipo!$D$4&amp;"!"&amp;ADDRESS(10,COLUMN(D$9)+10)&amp;":"&amp;ADDRESS(1000,COLUMN(D$9)+10))),
SUMIF(INDIRECT(Equipo!$E$4&amp;"!B10:B1000"),$B101,INDIRECT(Equipo!$E$4&amp;"!"&amp;ADDRESS(10,COLUMN(D$9)+10)&amp;":"&amp;ADDRESS(1000,COLUMN(D$9)+10))),
SUMIF(INDIRECT(Equipo!$F$4&amp;"!B10:B1000"),$B101,INDIRECT(Equipo!$F$4&amp;"!"&amp;ADDRESS(10,COLUMN(D$9)+10)&amp;":"&amp;ADDRESS(1000,COLUMN(D$9)+10))),
SUMIF(INDIRECT(Equipo!$G$4&amp;"!B10:B1000"),$B101,INDIRECT(Equipo!$G$4&amp;"!"&amp;ADDRESS(10,COLUMN(D$9)+10)&amp;":"&amp;ADDRESS(1000,COLUMN(D$9)+10)))
))</f>
        <v>-</v>
      </c>
      <c r="E101" s="19" t="str">
        <f t="array" ref="E101">IF(ISBLANK(Tareas!$B97),"-",
SUM(
SUMIF(INDIRECT(Equipo!$C$4&amp;"!B10:B1000"),$B101,INDIRECT(Equipo!$C$4&amp;"!"&amp;ADDRESS(10,COLUMN(E$9)+10)&amp;":"&amp;ADDRESS(1000,COLUMN(E$9)+10))),
SUMIF(INDIRECT(Equipo!$D$4&amp;"!B10:B1000"),$B101,INDIRECT(Equipo!$D$4&amp;"!"&amp;ADDRESS(10,COLUMN(E$9)+10)&amp;":"&amp;ADDRESS(1000,COLUMN(E$9)+10))),
SUMIF(INDIRECT(Equipo!$E$4&amp;"!B10:B1000"),$B101,INDIRECT(Equipo!$E$4&amp;"!"&amp;ADDRESS(10,COLUMN(E$9)+10)&amp;":"&amp;ADDRESS(1000,COLUMN(E$9)+10))),
SUMIF(INDIRECT(Equipo!$F$4&amp;"!B10:B1000"),$B101,INDIRECT(Equipo!$F$4&amp;"!"&amp;ADDRESS(10,COLUMN(E$9)+10)&amp;":"&amp;ADDRESS(1000,COLUMN(E$9)+10))),
SUMIF(INDIRECT(Equipo!$G$4&amp;"!B10:B1000"),$B101,INDIRECT(Equipo!$G$4&amp;"!"&amp;ADDRESS(10,COLUMN(E$9)+10)&amp;":"&amp;ADDRESS(1000,COLUMN(E$9)+10)))
))</f>
        <v>-</v>
      </c>
      <c r="F101" s="19" t="str">
        <f t="array" ref="F101">IF(ISBLANK(Tareas!$B97),"-",
SUM(
SUMIF(INDIRECT(Equipo!$C$4&amp;"!B10:B1000"),$B101,INDIRECT(Equipo!$C$4&amp;"!"&amp;ADDRESS(10,COLUMN(F$9)+10)&amp;":"&amp;ADDRESS(1000,COLUMN(F$9)+10))),
SUMIF(INDIRECT(Equipo!$D$4&amp;"!B10:B1000"),$B101,INDIRECT(Equipo!$D$4&amp;"!"&amp;ADDRESS(10,COLUMN(F$9)+10)&amp;":"&amp;ADDRESS(1000,COLUMN(F$9)+10))),
SUMIF(INDIRECT(Equipo!$E$4&amp;"!B10:B1000"),$B101,INDIRECT(Equipo!$E$4&amp;"!"&amp;ADDRESS(10,COLUMN(F$9)+10)&amp;":"&amp;ADDRESS(1000,COLUMN(F$9)+10))),
SUMIF(INDIRECT(Equipo!$F$4&amp;"!B10:B1000"),$B101,INDIRECT(Equipo!$F$4&amp;"!"&amp;ADDRESS(10,COLUMN(F$9)+10)&amp;":"&amp;ADDRESS(1000,COLUMN(F$9)+10))),
SUMIF(INDIRECT(Equipo!$G$4&amp;"!B10:B1000"),$B101,INDIRECT(Equipo!$G$4&amp;"!"&amp;ADDRESS(10,COLUMN(F$9)+10)&amp;":"&amp;ADDRESS(1000,COLUMN(F$9)+10)))
))</f>
        <v>-</v>
      </c>
      <c r="G101" s="19" t="str">
        <f t="array" ref="G101">IF(ISBLANK(Tareas!$B97),"-",
SUM(
SUMIF(INDIRECT(Equipo!$C$4&amp;"!B10:B1000"),$B101,INDIRECT(Equipo!$C$4&amp;"!"&amp;ADDRESS(10,COLUMN(G$9)+10)&amp;":"&amp;ADDRESS(1000,COLUMN(G$9)+10))),
SUMIF(INDIRECT(Equipo!$D$4&amp;"!B10:B1000"),$B101,INDIRECT(Equipo!$D$4&amp;"!"&amp;ADDRESS(10,COLUMN(G$9)+10)&amp;":"&amp;ADDRESS(1000,COLUMN(G$9)+10))),
SUMIF(INDIRECT(Equipo!$E$4&amp;"!B10:B1000"),$B101,INDIRECT(Equipo!$E$4&amp;"!"&amp;ADDRESS(10,COLUMN(G$9)+10)&amp;":"&amp;ADDRESS(1000,COLUMN(G$9)+10))),
SUMIF(INDIRECT(Equipo!$F$4&amp;"!B10:B1000"),$B101,INDIRECT(Equipo!$F$4&amp;"!"&amp;ADDRESS(10,COLUMN(G$9)+10)&amp;":"&amp;ADDRESS(1000,COLUMN(G$9)+10))),
SUMIF(INDIRECT(Equipo!$G$4&amp;"!B10:B1000"),$B101,INDIRECT(Equipo!$G$4&amp;"!"&amp;ADDRESS(10,COLUMN(G$9)+10)&amp;":"&amp;ADDRESS(1000,COLUMN(G$9)+10)))
))</f>
        <v>-</v>
      </c>
      <c r="H101" s="19" t="str">
        <f t="array" ref="H101">IF(ISBLANK(Tareas!$B97),"-",
SUM(
SUMIF(INDIRECT(Equipo!$C$4&amp;"!B10:B1000"),$B101,INDIRECT(Equipo!$C$4&amp;"!"&amp;ADDRESS(10,COLUMN(H$9)+10)&amp;":"&amp;ADDRESS(1000,COLUMN(H$9)+10))),
SUMIF(INDIRECT(Equipo!$D$4&amp;"!B10:B1000"),$B101,INDIRECT(Equipo!$D$4&amp;"!"&amp;ADDRESS(10,COLUMN(H$9)+10)&amp;":"&amp;ADDRESS(1000,COLUMN(H$9)+10))),
SUMIF(INDIRECT(Equipo!$E$4&amp;"!B10:B1000"),$B101,INDIRECT(Equipo!$E$4&amp;"!"&amp;ADDRESS(10,COLUMN(H$9)+10)&amp;":"&amp;ADDRESS(1000,COLUMN(H$9)+10))),
SUMIF(INDIRECT(Equipo!$F$4&amp;"!B10:B1000"),$B101,INDIRECT(Equipo!$F$4&amp;"!"&amp;ADDRESS(10,COLUMN(H$9)+10)&amp;":"&amp;ADDRESS(1000,COLUMN(H$9)+10))),
SUMIF(INDIRECT(Equipo!$G$4&amp;"!B10:B1000"),$B101,INDIRECT(Equipo!$G$4&amp;"!"&amp;ADDRESS(10,COLUMN(H$9)+10)&amp;":"&amp;ADDRESS(1000,COLUMN(H$9)+10)))
))</f>
        <v>-</v>
      </c>
      <c r="I101" s="19" t="str">
        <f t="array" ref="I101">IF(ISBLANK(Tareas!$B97),"-",
SUM(
SUMIF(INDIRECT(Equipo!$C$4&amp;"!B10:B1000"),$B101,INDIRECT(Equipo!$C$4&amp;"!"&amp;ADDRESS(10,COLUMN(I$9)+10)&amp;":"&amp;ADDRESS(1000,COLUMN(I$9)+10))),
SUMIF(INDIRECT(Equipo!$D$4&amp;"!B10:B1000"),$B101,INDIRECT(Equipo!$D$4&amp;"!"&amp;ADDRESS(10,COLUMN(I$9)+10)&amp;":"&amp;ADDRESS(1000,COLUMN(I$9)+10))),
SUMIF(INDIRECT(Equipo!$E$4&amp;"!B10:B1000"),$B101,INDIRECT(Equipo!$E$4&amp;"!"&amp;ADDRESS(10,COLUMN(I$9)+10)&amp;":"&amp;ADDRESS(1000,COLUMN(I$9)+10))),
SUMIF(INDIRECT(Equipo!$F$4&amp;"!B10:B1000"),$B101,INDIRECT(Equipo!$F$4&amp;"!"&amp;ADDRESS(10,COLUMN(I$9)+10)&amp;":"&amp;ADDRESS(1000,COLUMN(I$9)+10))),
SUMIF(INDIRECT(Equipo!$G$4&amp;"!B10:B1000"),$B101,INDIRECT(Equipo!$G$4&amp;"!"&amp;ADDRESS(10,COLUMN(I$9)+10)&amp;":"&amp;ADDRESS(1000,COLUMN(I$9)+10)))
))</f>
        <v>-</v>
      </c>
      <c r="J101" s="19" t="str">
        <f t="array" ref="J101">IF(ISBLANK(Tareas!$B97),"-",
SUM(
SUMIF(INDIRECT(Equipo!$C$4&amp;"!B10:B1000"),$B101,INDIRECT(Equipo!$C$4&amp;"!"&amp;ADDRESS(10,COLUMN(J$9)+10)&amp;":"&amp;ADDRESS(1000,COLUMN(J$9)+10))),
SUMIF(INDIRECT(Equipo!$D$4&amp;"!B10:B1000"),$B101,INDIRECT(Equipo!$D$4&amp;"!"&amp;ADDRESS(10,COLUMN(J$9)+10)&amp;":"&amp;ADDRESS(1000,COLUMN(J$9)+10))),
SUMIF(INDIRECT(Equipo!$E$4&amp;"!B10:B1000"),$B101,INDIRECT(Equipo!$E$4&amp;"!"&amp;ADDRESS(10,COLUMN(J$9)+10)&amp;":"&amp;ADDRESS(1000,COLUMN(J$9)+10))),
SUMIF(INDIRECT(Equipo!$F$4&amp;"!B10:B1000"),$B101,INDIRECT(Equipo!$F$4&amp;"!"&amp;ADDRESS(10,COLUMN(J$9)+10)&amp;":"&amp;ADDRESS(1000,COLUMN(J$9)+10))),
SUMIF(INDIRECT(Equipo!$G$4&amp;"!B10:B1000"),$B101,INDIRECT(Equipo!$G$4&amp;"!"&amp;ADDRESS(10,COLUMN(J$9)+10)&amp;":"&amp;ADDRESS(1000,COLUMN(J$9)+10)))
))</f>
        <v>-</v>
      </c>
      <c r="K101" s="19" t="str">
        <f t="array" ref="K101">IF(ISBLANK(Tareas!$B97),"-",
SUM(
SUMIF(INDIRECT(Equipo!$C$4&amp;"!B10:B1000"),$B101,INDIRECT(Equipo!$C$4&amp;"!"&amp;ADDRESS(10,COLUMN(K$9)+10)&amp;":"&amp;ADDRESS(1000,COLUMN(K$9)+10))),
SUMIF(INDIRECT(Equipo!$D$4&amp;"!B10:B1000"),$B101,INDIRECT(Equipo!$D$4&amp;"!"&amp;ADDRESS(10,COLUMN(K$9)+10)&amp;":"&amp;ADDRESS(1000,COLUMN(K$9)+10))),
SUMIF(INDIRECT(Equipo!$E$4&amp;"!B10:B1000"),$B101,INDIRECT(Equipo!$E$4&amp;"!"&amp;ADDRESS(10,COLUMN(K$9)+10)&amp;":"&amp;ADDRESS(1000,COLUMN(K$9)+10))),
SUMIF(INDIRECT(Equipo!$F$4&amp;"!B10:B1000"),$B101,INDIRECT(Equipo!$F$4&amp;"!"&amp;ADDRESS(10,COLUMN(K$9)+10)&amp;":"&amp;ADDRESS(1000,COLUMN(K$9)+10))),
SUMIF(INDIRECT(Equipo!$G$4&amp;"!B10:B1000"),$B101,INDIRECT(Equipo!$G$4&amp;"!"&amp;ADDRESS(10,COLUMN(K$9)+10)&amp;":"&amp;ADDRESS(1000,COLUMN(K$9)+10)))
))</f>
        <v>-</v>
      </c>
    </row>
    <row r="102" ht="15.75" customHeight="1">
      <c r="C102" s="19" t="str">
        <f>IF(ISBLANK(Tareas!$B98),"-",SUM(D102:K102))</f>
        <v>-</v>
      </c>
      <c r="D102" s="19" t="str">
        <f t="array" ref="D102">IF(ISBLANK(Tareas!$B98),"-",
SUM(
SUMIF(INDIRECT(Equipo!$C$4&amp;"!B10:B1000"),$B102,INDIRECT(Equipo!$C$4&amp;"!"&amp;ADDRESS(10,COLUMN(D$9)+10)&amp;":"&amp;ADDRESS(1000,COLUMN(D$9)+10))),
SUMIF(INDIRECT(Equipo!$D$4&amp;"!B10:B1000"),$B102,INDIRECT(Equipo!$D$4&amp;"!"&amp;ADDRESS(10,COLUMN(D$9)+10)&amp;":"&amp;ADDRESS(1000,COLUMN(D$9)+10))),
SUMIF(INDIRECT(Equipo!$E$4&amp;"!B10:B1000"),$B102,INDIRECT(Equipo!$E$4&amp;"!"&amp;ADDRESS(10,COLUMN(D$9)+10)&amp;":"&amp;ADDRESS(1000,COLUMN(D$9)+10))),
SUMIF(INDIRECT(Equipo!$F$4&amp;"!B10:B1000"),$B102,INDIRECT(Equipo!$F$4&amp;"!"&amp;ADDRESS(10,COLUMN(D$9)+10)&amp;":"&amp;ADDRESS(1000,COLUMN(D$9)+10))),
SUMIF(INDIRECT(Equipo!$G$4&amp;"!B10:B1000"),$B102,INDIRECT(Equipo!$G$4&amp;"!"&amp;ADDRESS(10,COLUMN(D$9)+10)&amp;":"&amp;ADDRESS(1000,COLUMN(D$9)+10)))
))</f>
        <v>-</v>
      </c>
      <c r="E102" s="19" t="str">
        <f t="array" ref="E102">IF(ISBLANK(Tareas!$B98),"-",
SUM(
SUMIF(INDIRECT(Equipo!$C$4&amp;"!B10:B1000"),$B102,INDIRECT(Equipo!$C$4&amp;"!"&amp;ADDRESS(10,COLUMN(E$9)+10)&amp;":"&amp;ADDRESS(1000,COLUMN(E$9)+10))),
SUMIF(INDIRECT(Equipo!$D$4&amp;"!B10:B1000"),$B102,INDIRECT(Equipo!$D$4&amp;"!"&amp;ADDRESS(10,COLUMN(E$9)+10)&amp;":"&amp;ADDRESS(1000,COLUMN(E$9)+10))),
SUMIF(INDIRECT(Equipo!$E$4&amp;"!B10:B1000"),$B102,INDIRECT(Equipo!$E$4&amp;"!"&amp;ADDRESS(10,COLUMN(E$9)+10)&amp;":"&amp;ADDRESS(1000,COLUMN(E$9)+10))),
SUMIF(INDIRECT(Equipo!$F$4&amp;"!B10:B1000"),$B102,INDIRECT(Equipo!$F$4&amp;"!"&amp;ADDRESS(10,COLUMN(E$9)+10)&amp;":"&amp;ADDRESS(1000,COLUMN(E$9)+10))),
SUMIF(INDIRECT(Equipo!$G$4&amp;"!B10:B1000"),$B102,INDIRECT(Equipo!$G$4&amp;"!"&amp;ADDRESS(10,COLUMN(E$9)+10)&amp;":"&amp;ADDRESS(1000,COLUMN(E$9)+10)))
))</f>
        <v>-</v>
      </c>
      <c r="F102" s="19" t="str">
        <f t="array" ref="F102">IF(ISBLANK(Tareas!$B98),"-",
SUM(
SUMIF(INDIRECT(Equipo!$C$4&amp;"!B10:B1000"),$B102,INDIRECT(Equipo!$C$4&amp;"!"&amp;ADDRESS(10,COLUMN(F$9)+10)&amp;":"&amp;ADDRESS(1000,COLUMN(F$9)+10))),
SUMIF(INDIRECT(Equipo!$D$4&amp;"!B10:B1000"),$B102,INDIRECT(Equipo!$D$4&amp;"!"&amp;ADDRESS(10,COLUMN(F$9)+10)&amp;":"&amp;ADDRESS(1000,COLUMN(F$9)+10))),
SUMIF(INDIRECT(Equipo!$E$4&amp;"!B10:B1000"),$B102,INDIRECT(Equipo!$E$4&amp;"!"&amp;ADDRESS(10,COLUMN(F$9)+10)&amp;":"&amp;ADDRESS(1000,COLUMN(F$9)+10))),
SUMIF(INDIRECT(Equipo!$F$4&amp;"!B10:B1000"),$B102,INDIRECT(Equipo!$F$4&amp;"!"&amp;ADDRESS(10,COLUMN(F$9)+10)&amp;":"&amp;ADDRESS(1000,COLUMN(F$9)+10))),
SUMIF(INDIRECT(Equipo!$G$4&amp;"!B10:B1000"),$B102,INDIRECT(Equipo!$G$4&amp;"!"&amp;ADDRESS(10,COLUMN(F$9)+10)&amp;":"&amp;ADDRESS(1000,COLUMN(F$9)+10)))
))</f>
        <v>-</v>
      </c>
      <c r="G102" s="19" t="str">
        <f t="array" ref="G102">IF(ISBLANK(Tareas!$B98),"-",
SUM(
SUMIF(INDIRECT(Equipo!$C$4&amp;"!B10:B1000"),$B102,INDIRECT(Equipo!$C$4&amp;"!"&amp;ADDRESS(10,COLUMN(G$9)+10)&amp;":"&amp;ADDRESS(1000,COLUMN(G$9)+10))),
SUMIF(INDIRECT(Equipo!$D$4&amp;"!B10:B1000"),$B102,INDIRECT(Equipo!$D$4&amp;"!"&amp;ADDRESS(10,COLUMN(G$9)+10)&amp;":"&amp;ADDRESS(1000,COLUMN(G$9)+10))),
SUMIF(INDIRECT(Equipo!$E$4&amp;"!B10:B1000"),$B102,INDIRECT(Equipo!$E$4&amp;"!"&amp;ADDRESS(10,COLUMN(G$9)+10)&amp;":"&amp;ADDRESS(1000,COLUMN(G$9)+10))),
SUMIF(INDIRECT(Equipo!$F$4&amp;"!B10:B1000"),$B102,INDIRECT(Equipo!$F$4&amp;"!"&amp;ADDRESS(10,COLUMN(G$9)+10)&amp;":"&amp;ADDRESS(1000,COLUMN(G$9)+10))),
SUMIF(INDIRECT(Equipo!$G$4&amp;"!B10:B1000"),$B102,INDIRECT(Equipo!$G$4&amp;"!"&amp;ADDRESS(10,COLUMN(G$9)+10)&amp;":"&amp;ADDRESS(1000,COLUMN(G$9)+10)))
))</f>
        <v>-</v>
      </c>
      <c r="H102" s="19" t="str">
        <f t="array" ref="H102">IF(ISBLANK(Tareas!$B98),"-",
SUM(
SUMIF(INDIRECT(Equipo!$C$4&amp;"!B10:B1000"),$B102,INDIRECT(Equipo!$C$4&amp;"!"&amp;ADDRESS(10,COLUMN(H$9)+10)&amp;":"&amp;ADDRESS(1000,COLUMN(H$9)+10))),
SUMIF(INDIRECT(Equipo!$D$4&amp;"!B10:B1000"),$B102,INDIRECT(Equipo!$D$4&amp;"!"&amp;ADDRESS(10,COLUMN(H$9)+10)&amp;":"&amp;ADDRESS(1000,COLUMN(H$9)+10))),
SUMIF(INDIRECT(Equipo!$E$4&amp;"!B10:B1000"),$B102,INDIRECT(Equipo!$E$4&amp;"!"&amp;ADDRESS(10,COLUMN(H$9)+10)&amp;":"&amp;ADDRESS(1000,COLUMN(H$9)+10))),
SUMIF(INDIRECT(Equipo!$F$4&amp;"!B10:B1000"),$B102,INDIRECT(Equipo!$F$4&amp;"!"&amp;ADDRESS(10,COLUMN(H$9)+10)&amp;":"&amp;ADDRESS(1000,COLUMN(H$9)+10))),
SUMIF(INDIRECT(Equipo!$G$4&amp;"!B10:B1000"),$B102,INDIRECT(Equipo!$G$4&amp;"!"&amp;ADDRESS(10,COLUMN(H$9)+10)&amp;":"&amp;ADDRESS(1000,COLUMN(H$9)+10)))
))</f>
        <v>-</v>
      </c>
      <c r="I102" s="19" t="str">
        <f t="array" ref="I102">IF(ISBLANK(Tareas!$B98),"-",
SUM(
SUMIF(INDIRECT(Equipo!$C$4&amp;"!B10:B1000"),$B102,INDIRECT(Equipo!$C$4&amp;"!"&amp;ADDRESS(10,COLUMN(I$9)+10)&amp;":"&amp;ADDRESS(1000,COLUMN(I$9)+10))),
SUMIF(INDIRECT(Equipo!$D$4&amp;"!B10:B1000"),$B102,INDIRECT(Equipo!$D$4&amp;"!"&amp;ADDRESS(10,COLUMN(I$9)+10)&amp;":"&amp;ADDRESS(1000,COLUMN(I$9)+10))),
SUMIF(INDIRECT(Equipo!$E$4&amp;"!B10:B1000"),$B102,INDIRECT(Equipo!$E$4&amp;"!"&amp;ADDRESS(10,COLUMN(I$9)+10)&amp;":"&amp;ADDRESS(1000,COLUMN(I$9)+10))),
SUMIF(INDIRECT(Equipo!$F$4&amp;"!B10:B1000"),$B102,INDIRECT(Equipo!$F$4&amp;"!"&amp;ADDRESS(10,COLUMN(I$9)+10)&amp;":"&amp;ADDRESS(1000,COLUMN(I$9)+10))),
SUMIF(INDIRECT(Equipo!$G$4&amp;"!B10:B1000"),$B102,INDIRECT(Equipo!$G$4&amp;"!"&amp;ADDRESS(10,COLUMN(I$9)+10)&amp;":"&amp;ADDRESS(1000,COLUMN(I$9)+10)))
))</f>
        <v>-</v>
      </c>
      <c r="J102" s="19" t="str">
        <f t="array" ref="J102">IF(ISBLANK(Tareas!$B98),"-",
SUM(
SUMIF(INDIRECT(Equipo!$C$4&amp;"!B10:B1000"),$B102,INDIRECT(Equipo!$C$4&amp;"!"&amp;ADDRESS(10,COLUMN(J$9)+10)&amp;":"&amp;ADDRESS(1000,COLUMN(J$9)+10))),
SUMIF(INDIRECT(Equipo!$D$4&amp;"!B10:B1000"),$B102,INDIRECT(Equipo!$D$4&amp;"!"&amp;ADDRESS(10,COLUMN(J$9)+10)&amp;":"&amp;ADDRESS(1000,COLUMN(J$9)+10))),
SUMIF(INDIRECT(Equipo!$E$4&amp;"!B10:B1000"),$B102,INDIRECT(Equipo!$E$4&amp;"!"&amp;ADDRESS(10,COLUMN(J$9)+10)&amp;":"&amp;ADDRESS(1000,COLUMN(J$9)+10))),
SUMIF(INDIRECT(Equipo!$F$4&amp;"!B10:B1000"),$B102,INDIRECT(Equipo!$F$4&amp;"!"&amp;ADDRESS(10,COLUMN(J$9)+10)&amp;":"&amp;ADDRESS(1000,COLUMN(J$9)+10))),
SUMIF(INDIRECT(Equipo!$G$4&amp;"!B10:B1000"),$B102,INDIRECT(Equipo!$G$4&amp;"!"&amp;ADDRESS(10,COLUMN(J$9)+10)&amp;":"&amp;ADDRESS(1000,COLUMN(J$9)+10)))
))</f>
        <v>-</v>
      </c>
      <c r="K102" s="19" t="str">
        <f t="array" ref="K102">IF(ISBLANK(Tareas!$B98),"-",
SUM(
SUMIF(INDIRECT(Equipo!$C$4&amp;"!B10:B1000"),$B102,INDIRECT(Equipo!$C$4&amp;"!"&amp;ADDRESS(10,COLUMN(K$9)+10)&amp;":"&amp;ADDRESS(1000,COLUMN(K$9)+10))),
SUMIF(INDIRECT(Equipo!$D$4&amp;"!B10:B1000"),$B102,INDIRECT(Equipo!$D$4&amp;"!"&amp;ADDRESS(10,COLUMN(K$9)+10)&amp;":"&amp;ADDRESS(1000,COLUMN(K$9)+10))),
SUMIF(INDIRECT(Equipo!$E$4&amp;"!B10:B1000"),$B102,INDIRECT(Equipo!$E$4&amp;"!"&amp;ADDRESS(10,COLUMN(K$9)+10)&amp;":"&amp;ADDRESS(1000,COLUMN(K$9)+10))),
SUMIF(INDIRECT(Equipo!$F$4&amp;"!B10:B1000"),$B102,INDIRECT(Equipo!$F$4&amp;"!"&amp;ADDRESS(10,COLUMN(K$9)+10)&amp;":"&amp;ADDRESS(1000,COLUMN(K$9)+10))),
SUMIF(INDIRECT(Equipo!$G$4&amp;"!B10:B1000"),$B102,INDIRECT(Equipo!$G$4&amp;"!"&amp;ADDRESS(10,COLUMN(K$9)+10)&amp;":"&amp;ADDRESS(1000,COLUMN(K$9)+10)))
))</f>
        <v>-</v>
      </c>
    </row>
    <row r="103" ht="15.75" customHeight="1">
      <c r="C103" s="19" t="str">
        <f>IF(ISBLANK(Tareas!$B99),"-",SUM(D103:K103))</f>
        <v>-</v>
      </c>
      <c r="D103" s="19" t="str">
        <f t="array" ref="D103">IF(ISBLANK(Tareas!$B99),"-",
SUM(
SUMIF(INDIRECT(Equipo!$C$4&amp;"!B10:B1000"),$B103,INDIRECT(Equipo!$C$4&amp;"!"&amp;ADDRESS(10,COLUMN(D$9)+10)&amp;":"&amp;ADDRESS(1000,COLUMN(D$9)+10))),
SUMIF(INDIRECT(Equipo!$D$4&amp;"!B10:B1000"),$B103,INDIRECT(Equipo!$D$4&amp;"!"&amp;ADDRESS(10,COLUMN(D$9)+10)&amp;":"&amp;ADDRESS(1000,COLUMN(D$9)+10))),
SUMIF(INDIRECT(Equipo!$E$4&amp;"!B10:B1000"),$B103,INDIRECT(Equipo!$E$4&amp;"!"&amp;ADDRESS(10,COLUMN(D$9)+10)&amp;":"&amp;ADDRESS(1000,COLUMN(D$9)+10))),
SUMIF(INDIRECT(Equipo!$F$4&amp;"!B10:B1000"),$B103,INDIRECT(Equipo!$F$4&amp;"!"&amp;ADDRESS(10,COLUMN(D$9)+10)&amp;":"&amp;ADDRESS(1000,COLUMN(D$9)+10))),
SUMIF(INDIRECT(Equipo!$G$4&amp;"!B10:B1000"),$B103,INDIRECT(Equipo!$G$4&amp;"!"&amp;ADDRESS(10,COLUMN(D$9)+10)&amp;":"&amp;ADDRESS(1000,COLUMN(D$9)+10)))
))</f>
        <v>-</v>
      </c>
      <c r="E103" s="19" t="str">
        <f t="array" ref="E103">IF(ISBLANK(Tareas!$B99),"-",
SUM(
SUMIF(INDIRECT(Equipo!$C$4&amp;"!B10:B1000"),$B103,INDIRECT(Equipo!$C$4&amp;"!"&amp;ADDRESS(10,COLUMN(E$9)+10)&amp;":"&amp;ADDRESS(1000,COLUMN(E$9)+10))),
SUMIF(INDIRECT(Equipo!$D$4&amp;"!B10:B1000"),$B103,INDIRECT(Equipo!$D$4&amp;"!"&amp;ADDRESS(10,COLUMN(E$9)+10)&amp;":"&amp;ADDRESS(1000,COLUMN(E$9)+10))),
SUMIF(INDIRECT(Equipo!$E$4&amp;"!B10:B1000"),$B103,INDIRECT(Equipo!$E$4&amp;"!"&amp;ADDRESS(10,COLUMN(E$9)+10)&amp;":"&amp;ADDRESS(1000,COLUMN(E$9)+10))),
SUMIF(INDIRECT(Equipo!$F$4&amp;"!B10:B1000"),$B103,INDIRECT(Equipo!$F$4&amp;"!"&amp;ADDRESS(10,COLUMN(E$9)+10)&amp;":"&amp;ADDRESS(1000,COLUMN(E$9)+10))),
SUMIF(INDIRECT(Equipo!$G$4&amp;"!B10:B1000"),$B103,INDIRECT(Equipo!$G$4&amp;"!"&amp;ADDRESS(10,COLUMN(E$9)+10)&amp;":"&amp;ADDRESS(1000,COLUMN(E$9)+10)))
))</f>
        <v>-</v>
      </c>
      <c r="F103" s="19" t="str">
        <f t="array" ref="F103">IF(ISBLANK(Tareas!$B99),"-",
SUM(
SUMIF(INDIRECT(Equipo!$C$4&amp;"!B10:B1000"),$B103,INDIRECT(Equipo!$C$4&amp;"!"&amp;ADDRESS(10,COLUMN(F$9)+10)&amp;":"&amp;ADDRESS(1000,COLUMN(F$9)+10))),
SUMIF(INDIRECT(Equipo!$D$4&amp;"!B10:B1000"),$B103,INDIRECT(Equipo!$D$4&amp;"!"&amp;ADDRESS(10,COLUMN(F$9)+10)&amp;":"&amp;ADDRESS(1000,COLUMN(F$9)+10))),
SUMIF(INDIRECT(Equipo!$E$4&amp;"!B10:B1000"),$B103,INDIRECT(Equipo!$E$4&amp;"!"&amp;ADDRESS(10,COLUMN(F$9)+10)&amp;":"&amp;ADDRESS(1000,COLUMN(F$9)+10))),
SUMIF(INDIRECT(Equipo!$F$4&amp;"!B10:B1000"),$B103,INDIRECT(Equipo!$F$4&amp;"!"&amp;ADDRESS(10,COLUMN(F$9)+10)&amp;":"&amp;ADDRESS(1000,COLUMN(F$9)+10))),
SUMIF(INDIRECT(Equipo!$G$4&amp;"!B10:B1000"),$B103,INDIRECT(Equipo!$G$4&amp;"!"&amp;ADDRESS(10,COLUMN(F$9)+10)&amp;":"&amp;ADDRESS(1000,COLUMN(F$9)+10)))
))</f>
        <v>-</v>
      </c>
      <c r="G103" s="19" t="str">
        <f t="array" ref="G103">IF(ISBLANK(Tareas!$B99),"-",
SUM(
SUMIF(INDIRECT(Equipo!$C$4&amp;"!B10:B1000"),$B103,INDIRECT(Equipo!$C$4&amp;"!"&amp;ADDRESS(10,COLUMN(G$9)+10)&amp;":"&amp;ADDRESS(1000,COLUMN(G$9)+10))),
SUMIF(INDIRECT(Equipo!$D$4&amp;"!B10:B1000"),$B103,INDIRECT(Equipo!$D$4&amp;"!"&amp;ADDRESS(10,COLUMN(G$9)+10)&amp;":"&amp;ADDRESS(1000,COLUMN(G$9)+10))),
SUMIF(INDIRECT(Equipo!$E$4&amp;"!B10:B1000"),$B103,INDIRECT(Equipo!$E$4&amp;"!"&amp;ADDRESS(10,COLUMN(G$9)+10)&amp;":"&amp;ADDRESS(1000,COLUMN(G$9)+10))),
SUMIF(INDIRECT(Equipo!$F$4&amp;"!B10:B1000"),$B103,INDIRECT(Equipo!$F$4&amp;"!"&amp;ADDRESS(10,COLUMN(G$9)+10)&amp;":"&amp;ADDRESS(1000,COLUMN(G$9)+10))),
SUMIF(INDIRECT(Equipo!$G$4&amp;"!B10:B1000"),$B103,INDIRECT(Equipo!$G$4&amp;"!"&amp;ADDRESS(10,COLUMN(G$9)+10)&amp;":"&amp;ADDRESS(1000,COLUMN(G$9)+10)))
))</f>
        <v>-</v>
      </c>
      <c r="H103" s="19" t="str">
        <f t="array" ref="H103">IF(ISBLANK(Tareas!$B99),"-",
SUM(
SUMIF(INDIRECT(Equipo!$C$4&amp;"!B10:B1000"),$B103,INDIRECT(Equipo!$C$4&amp;"!"&amp;ADDRESS(10,COLUMN(H$9)+10)&amp;":"&amp;ADDRESS(1000,COLUMN(H$9)+10))),
SUMIF(INDIRECT(Equipo!$D$4&amp;"!B10:B1000"),$B103,INDIRECT(Equipo!$D$4&amp;"!"&amp;ADDRESS(10,COLUMN(H$9)+10)&amp;":"&amp;ADDRESS(1000,COLUMN(H$9)+10))),
SUMIF(INDIRECT(Equipo!$E$4&amp;"!B10:B1000"),$B103,INDIRECT(Equipo!$E$4&amp;"!"&amp;ADDRESS(10,COLUMN(H$9)+10)&amp;":"&amp;ADDRESS(1000,COLUMN(H$9)+10))),
SUMIF(INDIRECT(Equipo!$F$4&amp;"!B10:B1000"),$B103,INDIRECT(Equipo!$F$4&amp;"!"&amp;ADDRESS(10,COLUMN(H$9)+10)&amp;":"&amp;ADDRESS(1000,COLUMN(H$9)+10))),
SUMIF(INDIRECT(Equipo!$G$4&amp;"!B10:B1000"),$B103,INDIRECT(Equipo!$G$4&amp;"!"&amp;ADDRESS(10,COLUMN(H$9)+10)&amp;":"&amp;ADDRESS(1000,COLUMN(H$9)+10)))
))</f>
        <v>-</v>
      </c>
      <c r="I103" s="19" t="str">
        <f t="array" ref="I103">IF(ISBLANK(Tareas!$B99),"-",
SUM(
SUMIF(INDIRECT(Equipo!$C$4&amp;"!B10:B1000"),$B103,INDIRECT(Equipo!$C$4&amp;"!"&amp;ADDRESS(10,COLUMN(I$9)+10)&amp;":"&amp;ADDRESS(1000,COLUMN(I$9)+10))),
SUMIF(INDIRECT(Equipo!$D$4&amp;"!B10:B1000"),$B103,INDIRECT(Equipo!$D$4&amp;"!"&amp;ADDRESS(10,COLUMN(I$9)+10)&amp;":"&amp;ADDRESS(1000,COLUMN(I$9)+10))),
SUMIF(INDIRECT(Equipo!$E$4&amp;"!B10:B1000"),$B103,INDIRECT(Equipo!$E$4&amp;"!"&amp;ADDRESS(10,COLUMN(I$9)+10)&amp;":"&amp;ADDRESS(1000,COLUMN(I$9)+10))),
SUMIF(INDIRECT(Equipo!$F$4&amp;"!B10:B1000"),$B103,INDIRECT(Equipo!$F$4&amp;"!"&amp;ADDRESS(10,COLUMN(I$9)+10)&amp;":"&amp;ADDRESS(1000,COLUMN(I$9)+10))),
SUMIF(INDIRECT(Equipo!$G$4&amp;"!B10:B1000"),$B103,INDIRECT(Equipo!$G$4&amp;"!"&amp;ADDRESS(10,COLUMN(I$9)+10)&amp;":"&amp;ADDRESS(1000,COLUMN(I$9)+10)))
))</f>
        <v>-</v>
      </c>
      <c r="J103" s="19" t="str">
        <f t="array" ref="J103">IF(ISBLANK(Tareas!$B99),"-",
SUM(
SUMIF(INDIRECT(Equipo!$C$4&amp;"!B10:B1000"),$B103,INDIRECT(Equipo!$C$4&amp;"!"&amp;ADDRESS(10,COLUMN(J$9)+10)&amp;":"&amp;ADDRESS(1000,COLUMN(J$9)+10))),
SUMIF(INDIRECT(Equipo!$D$4&amp;"!B10:B1000"),$B103,INDIRECT(Equipo!$D$4&amp;"!"&amp;ADDRESS(10,COLUMN(J$9)+10)&amp;":"&amp;ADDRESS(1000,COLUMN(J$9)+10))),
SUMIF(INDIRECT(Equipo!$E$4&amp;"!B10:B1000"),$B103,INDIRECT(Equipo!$E$4&amp;"!"&amp;ADDRESS(10,COLUMN(J$9)+10)&amp;":"&amp;ADDRESS(1000,COLUMN(J$9)+10))),
SUMIF(INDIRECT(Equipo!$F$4&amp;"!B10:B1000"),$B103,INDIRECT(Equipo!$F$4&amp;"!"&amp;ADDRESS(10,COLUMN(J$9)+10)&amp;":"&amp;ADDRESS(1000,COLUMN(J$9)+10))),
SUMIF(INDIRECT(Equipo!$G$4&amp;"!B10:B1000"),$B103,INDIRECT(Equipo!$G$4&amp;"!"&amp;ADDRESS(10,COLUMN(J$9)+10)&amp;":"&amp;ADDRESS(1000,COLUMN(J$9)+10)))
))</f>
        <v>-</v>
      </c>
      <c r="K103" s="19" t="str">
        <f t="array" ref="K103">IF(ISBLANK(Tareas!$B99),"-",
SUM(
SUMIF(INDIRECT(Equipo!$C$4&amp;"!B10:B1000"),$B103,INDIRECT(Equipo!$C$4&amp;"!"&amp;ADDRESS(10,COLUMN(K$9)+10)&amp;":"&amp;ADDRESS(1000,COLUMN(K$9)+10))),
SUMIF(INDIRECT(Equipo!$D$4&amp;"!B10:B1000"),$B103,INDIRECT(Equipo!$D$4&amp;"!"&amp;ADDRESS(10,COLUMN(K$9)+10)&amp;":"&amp;ADDRESS(1000,COLUMN(K$9)+10))),
SUMIF(INDIRECT(Equipo!$E$4&amp;"!B10:B1000"),$B103,INDIRECT(Equipo!$E$4&amp;"!"&amp;ADDRESS(10,COLUMN(K$9)+10)&amp;":"&amp;ADDRESS(1000,COLUMN(K$9)+10))),
SUMIF(INDIRECT(Equipo!$F$4&amp;"!B10:B1000"),$B103,INDIRECT(Equipo!$F$4&amp;"!"&amp;ADDRESS(10,COLUMN(K$9)+10)&amp;":"&amp;ADDRESS(1000,COLUMN(K$9)+10))),
SUMIF(INDIRECT(Equipo!$G$4&amp;"!B10:B1000"),$B103,INDIRECT(Equipo!$G$4&amp;"!"&amp;ADDRESS(10,COLUMN(K$9)+10)&amp;":"&amp;ADDRESS(1000,COLUMN(K$9)+10)))
))</f>
        <v>-</v>
      </c>
    </row>
    <row r="104" ht="15.75" customHeight="1">
      <c r="C104" s="19" t="str">
        <f>IF(ISBLANK(Tareas!$B100),"-",SUM(D104:K104))</f>
        <v>-</v>
      </c>
      <c r="D104" s="19" t="str">
        <f t="array" ref="D104">IF(ISBLANK(Tareas!$B100),"-",
SUM(
SUMIF(INDIRECT(Equipo!$C$4&amp;"!B10:B1000"),$B104,INDIRECT(Equipo!$C$4&amp;"!"&amp;ADDRESS(10,COLUMN(D$9)+10)&amp;":"&amp;ADDRESS(1000,COLUMN(D$9)+10))),
SUMIF(INDIRECT(Equipo!$D$4&amp;"!B10:B1000"),$B104,INDIRECT(Equipo!$D$4&amp;"!"&amp;ADDRESS(10,COLUMN(D$9)+10)&amp;":"&amp;ADDRESS(1000,COLUMN(D$9)+10))),
SUMIF(INDIRECT(Equipo!$E$4&amp;"!B10:B1000"),$B104,INDIRECT(Equipo!$E$4&amp;"!"&amp;ADDRESS(10,COLUMN(D$9)+10)&amp;":"&amp;ADDRESS(1000,COLUMN(D$9)+10))),
SUMIF(INDIRECT(Equipo!$F$4&amp;"!B10:B1000"),$B104,INDIRECT(Equipo!$F$4&amp;"!"&amp;ADDRESS(10,COLUMN(D$9)+10)&amp;":"&amp;ADDRESS(1000,COLUMN(D$9)+10))),
SUMIF(INDIRECT(Equipo!$G$4&amp;"!B10:B1000"),$B104,INDIRECT(Equipo!$G$4&amp;"!"&amp;ADDRESS(10,COLUMN(D$9)+10)&amp;":"&amp;ADDRESS(1000,COLUMN(D$9)+10)))
))</f>
        <v>-</v>
      </c>
      <c r="E104" s="19" t="str">
        <f t="array" ref="E104">IF(ISBLANK(Tareas!$B100),"-",
SUM(
SUMIF(INDIRECT(Equipo!$C$4&amp;"!B10:B1000"),$B104,INDIRECT(Equipo!$C$4&amp;"!"&amp;ADDRESS(10,COLUMN(E$9)+10)&amp;":"&amp;ADDRESS(1000,COLUMN(E$9)+10))),
SUMIF(INDIRECT(Equipo!$D$4&amp;"!B10:B1000"),$B104,INDIRECT(Equipo!$D$4&amp;"!"&amp;ADDRESS(10,COLUMN(E$9)+10)&amp;":"&amp;ADDRESS(1000,COLUMN(E$9)+10))),
SUMIF(INDIRECT(Equipo!$E$4&amp;"!B10:B1000"),$B104,INDIRECT(Equipo!$E$4&amp;"!"&amp;ADDRESS(10,COLUMN(E$9)+10)&amp;":"&amp;ADDRESS(1000,COLUMN(E$9)+10))),
SUMIF(INDIRECT(Equipo!$F$4&amp;"!B10:B1000"),$B104,INDIRECT(Equipo!$F$4&amp;"!"&amp;ADDRESS(10,COLUMN(E$9)+10)&amp;":"&amp;ADDRESS(1000,COLUMN(E$9)+10))),
SUMIF(INDIRECT(Equipo!$G$4&amp;"!B10:B1000"),$B104,INDIRECT(Equipo!$G$4&amp;"!"&amp;ADDRESS(10,COLUMN(E$9)+10)&amp;":"&amp;ADDRESS(1000,COLUMN(E$9)+10)))
))</f>
        <v>-</v>
      </c>
      <c r="F104" s="19" t="str">
        <f t="array" ref="F104">IF(ISBLANK(Tareas!$B100),"-",
SUM(
SUMIF(INDIRECT(Equipo!$C$4&amp;"!B10:B1000"),$B104,INDIRECT(Equipo!$C$4&amp;"!"&amp;ADDRESS(10,COLUMN(F$9)+10)&amp;":"&amp;ADDRESS(1000,COLUMN(F$9)+10))),
SUMIF(INDIRECT(Equipo!$D$4&amp;"!B10:B1000"),$B104,INDIRECT(Equipo!$D$4&amp;"!"&amp;ADDRESS(10,COLUMN(F$9)+10)&amp;":"&amp;ADDRESS(1000,COLUMN(F$9)+10))),
SUMIF(INDIRECT(Equipo!$E$4&amp;"!B10:B1000"),$B104,INDIRECT(Equipo!$E$4&amp;"!"&amp;ADDRESS(10,COLUMN(F$9)+10)&amp;":"&amp;ADDRESS(1000,COLUMN(F$9)+10))),
SUMIF(INDIRECT(Equipo!$F$4&amp;"!B10:B1000"),$B104,INDIRECT(Equipo!$F$4&amp;"!"&amp;ADDRESS(10,COLUMN(F$9)+10)&amp;":"&amp;ADDRESS(1000,COLUMN(F$9)+10))),
SUMIF(INDIRECT(Equipo!$G$4&amp;"!B10:B1000"),$B104,INDIRECT(Equipo!$G$4&amp;"!"&amp;ADDRESS(10,COLUMN(F$9)+10)&amp;":"&amp;ADDRESS(1000,COLUMN(F$9)+10)))
))</f>
        <v>-</v>
      </c>
      <c r="G104" s="19" t="str">
        <f t="array" ref="G104">IF(ISBLANK(Tareas!$B100),"-",
SUM(
SUMIF(INDIRECT(Equipo!$C$4&amp;"!B10:B1000"),$B104,INDIRECT(Equipo!$C$4&amp;"!"&amp;ADDRESS(10,COLUMN(G$9)+10)&amp;":"&amp;ADDRESS(1000,COLUMN(G$9)+10))),
SUMIF(INDIRECT(Equipo!$D$4&amp;"!B10:B1000"),$B104,INDIRECT(Equipo!$D$4&amp;"!"&amp;ADDRESS(10,COLUMN(G$9)+10)&amp;":"&amp;ADDRESS(1000,COLUMN(G$9)+10))),
SUMIF(INDIRECT(Equipo!$E$4&amp;"!B10:B1000"),$B104,INDIRECT(Equipo!$E$4&amp;"!"&amp;ADDRESS(10,COLUMN(G$9)+10)&amp;":"&amp;ADDRESS(1000,COLUMN(G$9)+10))),
SUMIF(INDIRECT(Equipo!$F$4&amp;"!B10:B1000"),$B104,INDIRECT(Equipo!$F$4&amp;"!"&amp;ADDRESS(10,COLUMN(G$9)+10)&amp;":"&amp;ADDRESS(1000,COLUMN(G$9)+10))),
SUMIF(INDIRECT(Equipo!$G$4&amp;"!B10:B1000"),$B104,INDIRECT(Equipo!$G$4&amp;"!"&amp;ADDRESS(10,COLUMN(G$9)+10)&amp;":"&amp;ADDRESS(1000,COLUMN(G$9)+10)))
))</f>
        <v>-</v>
      </c>
      <c r="H104" s="19" t="str">
        <f t="array" ref="H104">IF(ISBLANK(Tareas!$B100),"-",
SUM(
SUMIF(INDIRECT(Equipo!$C$4&amp;"!B10:B1000"),$B104,INDIRECT(Equipo!$C$4&amp;"!"&amp;ADDRESS(10,COLUMN(H$9)+10)&amp;":"&amp;ADDRESS(1000,COLUMN(H$9)+10))),
SUMIF(INDIRECT(Equipo!$D$4&amp;"!B10:B1000"),$B104,INDIRECT(Equipo!$D$4&amp;"!"&amp;ADDRESS(10,COLUMN(H$9)+10)&amp;":"&amp;ADDRESS(1000,COLUMN(H$9)+10))),
SUMIF(INDIRECT(Equipo!$E$4&amp;"!B10:B1000"),$B104,INDIRECT(Equipo!$E$4&amp;"!"&amp;ADDRESS(10,COLUMN(H$9)+10)&amp;":"&amp;ADDRESS(1000,COLUMN(H$9)+10))),
SUMIF(INDIRECT(Equipo!$F$4&amp;"!B10:B1000"),$B104,INDIRECT(Equipo!$F$4&amp;"!"&amp;ADDRESS(10,COLUMN(H$9)+10)&amp;":"&amp;ADDRESS(1000,COLUMN(H$9)+10))),
SUMIF(INDIRECT(Equipo!$G$4&amp;"!B10:B1000"),$B104,INDIRECT(Equipo!$G$4&amp;"!"&amp;ADDRESS(10,COLUMN(H$9)+10)&amp;":"&amp;ADDRESS(1000,COLUMN(H$9)+10)))
))</f>
        <v>-</v>
      </c>
      <c r="I104" s="19" t="str">
        <f t="array" ref="I104">IF(ISBLANK(Tareas!$B100),"-",
SUM(
SUMIF(INDIRECT(Equipo!$C$4&amp;"!B10:B1000"),$B104,INDIRECT(Equipo!$C$4&amp;"!"&amp;ADDRESS(10,COLUMN(I$9)+10)&amp;":"&amp;ADDRESS(1000,COLUMN(I$9)+10))),
SUMIF(INDIRECT(Equipo!$D$4&amp;"!B10:B1000"),$B104,INDIRECT(Equipo!$D$4&amp;"!"&amp;ADDRESS(10,COLUMN(I$9)+10)&amp;":"&amp;ADDRESS(1000,COLUMN(I$9)+10))),
SUMIF(INDIRECT(Equipo!$E$4&amp;"!B10:B1000"),$B104,INDIRECT(Equipo!$E$4&amp;"!"&amp;ADDRESS(10,COLUMN(I$9)+10)&amp;":"&amp;ADDRESS(1000,COLUMN(I$9)+10))),
SUMIF(INDIRECT(Equipo!$F$4&amp;"!B10:B1000"),$B104,INDIRECT(Equipo!$F$4&amp;"!"&amp;ADDRESS(10,COLUMN(I$9)+10)&amp;":"&amp;ADDRESS(1000,COLUMN(I$9)+10))),
SUMIF(INDIRECT(Equipo!$G$4&amp;"!B10:B1000"),$B104,INDIRECT(Equipo!$G$4&amp;"!"&amp;ADDRESS(10,COLUMN(I$9)+10)&amp;":"&amp;ADDRESS(1000,COLUMN(I$9)+10)))
))</f>
        <v>-</v>
      </c>
      <c r="J104" s="19" t="str">
        <f t="array" ref="J104">IF(ISBLANK(Tareas!$B100),"-",
SUM(
SUMIF(INDIRECT(Equipo!$C$4&amp;"!B10:B1000"),$B104,INDIRECT(Equipo!$C$4&amp;"!"&amp;ADDRESS(10,COLUMN(J$9)+10)&amp;":"&amp;ADDRESS(1000,COLUMN(J$9)+10))),
SUMIF(INDIRECT(Equipo!$D$4&amp;"!B10:B1000"),$B104,INDIRECT(Equipo!$D$4&amp;"!"&amp;ADDRESS(10,COLUMN(J$9)+10)&amp;":"&amp;ADDRESS(1000,COLUMN(J$9)+10))),
SUMIF(INDIRECT(Equipo!$E$4&amp;"!B10:B1000"),$B104,INDIRECT(Equipo!$E$4&amp;"!"&amp;ADDRESS(10,COLUMN(J$9)+10)&amp;":"&amp;ADDRESS(1000,COLUMN(J$9)+10))),
SUMIF(INDIRECT(Equipo!$F$4&amp;"!B10:B1000"),$B104,INDIRECT(Equipo!$F$4&amp;"!"&amp;ADDRESS(10,COLUMN(J$9)+10)&amp;":"&amp;ADDRESS(1000,COLUMN(J$9)+10))),
SUMIF(INDIRECT(Equipo!$G$4&amp;"!B10:B1000"),$B104,INDIRECT(Equipo!$G$4&amp;"!"&amp;ADDRESS(10,COLUMN(J$9)+10)&amp;":"&amp;ADDRESS(1000,COLUMN(J$9)+10)))
))</f>
        <v>-</v>
      </c>
      <c r="K104" s="19" t="str">
        <f t="array" ref="K104">IF(ISBLANK(Tareas!$B100),"-",
SUM(
SUMIF(INDIRECT(Equipo!$C$4&amp;"!B10:B1000"),$B104,INDIRECT(Equipo!$C$4&amp;"!"&amp;ADDRESS(10,COLUMN(K$9)+10)&amp;":"&amp;ADDRESS(1000,COLUMN(K$9)+10))),
SUMIF(INDIRECT(Equipo!$D$4&amp;"!B10:B1000"),$B104,INDIRECT(Equipo!$D$4&amp;"!"&amp;ADDRESS(10,COLUMN(K$9)+10)&amp;":"&amp;ADDRESS(1000,COLUMN(K$9)+10))),
SUMIF(INDIRECT(Equipo!$E$4&amp;"!B10:B1000"),$B104,INDIRECT(Equipo!$E$4&amp;"!"&amp;ADDRESS(10,COLUMN(K$9)+10)&amp;":"&amp;ADDRESS(1000,COLUMN(K$9)+10))),
SUMIF(INDIRECT(Equipo!$F$4&amp;"!B10:B1000"),$B104,INDIRECT(Equipo!$F$4&amp;"!"&amp;ADDRESS(10,COLUMN(K$9)+10)&amp;":"&amp;ADDRESS(1000,COLUMN(K$9)+10))),
SUMIF(INDIRECT(Equipo!$G$4&amp;"!B10:B1000"),$B104,INDIRECT(Equipo!$G$4&amp;"!"&amp;ADDRESS(10,COLUMN(K$9)+10)&amp;":"&amp;ADDRESS(1000,COLUMN(K$9)+10)))
))</f>
        <v>-</v>
      </c>
    </row>
    <row r="105" ht="15.75" customHeight="1">
      <c r="C105" s="19" t="str">
        <f>IF(ISBLANK(Tareas!$B101),"-",SUM(D105:K105))</f>
        <v>-</v>
      </c>
      <c r="D105" s="19" t="str">
        <f t="array" ref="D105">IF(ISBLANK(Tareas!$B101),"-",
SUM(
SUMIF(INDIRECT(Equipo!$C$4&amp;"!B10:B1000"),$B105,INDIRECT(Equipo!$C$4&amp;"!"&amp;ADDRESS(10,COLUMN(D$9)+10)&amp;":"&amp;ADDRESS(1000,COLUMN(D$9)+10))),
SUMIF(INDIRECT(Equipo!$D$4&amp;"!B10:B1000"),$B105,INDIRECT(Equipo!$D$4&amp;"!"&amp;ADDRESS(10,COLUMN(D$9)+10)&amp;":"&amp;ADDRESS(1000,COLUMN(D$9)+10))),
SUMIF(INDIRECT(Equipo!$E$4&amp;"!B10:B1000"),$B105,INDIRECT(Equipo!$E$4&amp;"!"&amp;ADDRESS(10,COLUMN(D$9)+10)&amp;":"&amp;ADDRESS(1000,COLUMN(D$9)+10))),
SUMIF(INDIRECT(Equipo!$F$4&amp;"!B10:B1000"),$B105,INDIRECT(Equipo!$F$4&amp;"!"&amp;ADDRESS(10,COLUMN(D$9)+10)&amp;":"&amp;ADDRESS(1000,COLUMN(D$9)+10))),
SUMIF(INDIRECT(Equipo!$G$4&amp;"!B10:B1000"),$B105,INDIRECT(Equipo!$G$4&amp;"!"&amp;ADDRESS(10,COLUMN(D$9)+10)&amp;":"&amp;ADDRESS(1000,COLUMN(D$9)+10)))
))</f>
        <v>-</v>
      </c>
      <c r="E105" s="19" t="str">
        <f t="array" ref="E105">IF(ISBLANK(Tareas!$B101),"-",
SUM(
SUMIF(INDIRECT(Equipo!$C$4&amp;"!B10:B1000"),$B105,INDIRECT(Equipo!$C$4&amp;"!"&amp;ADDRESS(10,COLUMN(E$9)+10)&amp;":"&amp;ADDRESS(1000,COLUMN(E$9)+10))),
SUMIF(INDIRECT(Equipo!$D$4&amp;"!B10:B1000"),$B105,INDIRECT(Equipo!$D$4&amp;"!"&amp;ADDRESS(10,COLUMN(E$9)+10)&amp;":"&amp;ADDRESS(1000,COLUMN(E$9)+10))),
SUMIF(INDIRECT(Equipo!$E$4&amp;"!B10:B1000"),$B105,INDIRECT(Equipo!$E$4&amp;"!"&amp;ADDRESS(10,COLUMN(E$9)+10)&amp;":"&amp;ADDRESS(1000,COLUMN(E$9)+10))),
SUMIF(INDIRECT(Equipo!$F$4&amp;"!B10:B1000"),$B105,INDIRECT(Equipo!$F$4&amp;"!"&amp;ADDRESS(10,COLUMN(E$9)+10)&amp;":"&amp;ADDRESS(1000,COLUMN(E$9)+10))),
SUMIF(INDIRECT(Equipo!$G$4&amp;"!B10:B1000"),$B105,INDIRECT(Equipo!$G$4&amp;"!"&amp;ADDRESS(10,COLUMN(E$9)+10)&amp;":"&amp;ADDRESS(1000,COLUMN(E$9)+10)))
))</f>
        <v>-</v>
      </c>
      <c r="F105" s="19" t="str">
        <f t="array" ref="F105">IF(ISBLANK(Tareas!$B101),"-",
SUM(
SUMIF(INDIRECT(Equipo!$C$4&amp;"!B10:B1000"),$B105,INDIRECT(Equipo!$C$4&amp;"!"&amp;ADDRESS(10,COLUMN(F$9)+10)&amp;":"&amp;ADDRESS(1000,COLUMN(F$9)+10))),
SUMIF(INDIRECT(Equipo!$D$4&amp;"!B10:B1000"),$B105,INDIRECT(Equipo!$D$4&amp;"!"&amp;ADDRESS(10,COLUMN(F$9)+10)&amp;":"&amp;ADDRESS(1000,COLUMN(F$9)+10))),
SUMIF(INDIRECT(Equipo!$E$4&amp;"!B10:B1000"),$B105,INDIRECT(Equipo!$E$4&amp;"!"&amp;ADDRESS(10,COLUMN(F$9)+10)&amp;":"&amp;ADDRESS(1000,COLUMN(F$9)+10))),
SUMIF(INDIRECT(Equipo!$F$4&amp;"!B10:B1000"),$B105,INDIRECT(Equipo!$F$4&amp;"!"&amp;ADDRESS(10,COLUMN(F$9)+10)&amp;":"&amp;ADDRESS(1000,COLUMN(F$9)+10))),
SUMIF(INDIRECT(Equipo!$G$4&amp;"!B10:B1000"),$B105,INDIRECT(Equipo!$G$4&amp;"!"&amp;ADDRESS(10,COLUMN(F$9)+10)&amp;":"&amp;ADDRESS(1000,COLUMN(F$9)+10)))
))</f>
        <v>-</v>
      </c>
      <c r="G105" s="19" t="str">
        <f t="array" ref="G105">IF(ISBLANK(Tareas!$B101),"-",
SUM(
SUMIF(INDIRECT(Equipo!$C$4&amp;"!B10:B1000"),$B105,INDIRECT(Equipo!$C$4&amp;"!"&amp;ADDRESS(10,COLUMN(G$9)+10)&amp;":"&amp;ADDRESS(1000,COLUMN(G$9)+10))),
SUMIF(INDIRECT(Equipo!$D$4&amp;"!B10:B1000"),$B105,INDIRECT(Equipo!$D$4&amp;"!"&amp;ADDRESS(10,COLUMN(G$9)+10)&amp;":"&amp;ADDRESS(1000,COLUMN(G$9)+10))),
SUMIF(INDIRECT(Equipo!$E$4&amp;"!B10:B1000"),$B105,INDIRECT(Equipo!$E$4&amp;"!"&amp;ADDRESS(10,COLUMN(G$9)+10)&amp;":"&amp;ADDRESS(1000,COLUMN(G$9)+10))),
SUMIF(INDIRECT(Equipo!$F$4&amp;"!B10:B1000"),$B105,INDIRECT(Equipo!$F$4&amp;"!"&amp;ADDRESS(10,COLUMN(G$9)+10)&amp;":"&amp;ADDRESS(1000,COLUMN(G$9)+10))),
SUMIF(INDIRECT(Equipo!$G$4&amp;"!B10:B1000"),$B105,INDIRECT(Equipo!$G$4&amp;"!"&amp;ADDRESS(10,COLUMN(G$9)+10)&amp;":"&amp;ADDRESS(1000,COLUMN(G$9)+10)))
))</f>
        <v>-</v>
      </c>
      <c r="H105" s="19" t="str">
        <f t="array" ref="H105">IF(ISBLANK(Tareas!$B101),"-",
SUM(
SUMIF(INDIRECT(Equipo!$C$4&amp;"!B10:B1000"),$B105,INDIRECT(Equipo!$C$4&amp;"!"&amp;ADDRESS(10,COLUMN(H$9)+10)&amp;":"&amp;ADDRESS(1000,COLUMN(H$9)+10))),
SUMIF(INDIRECT(Equipo!$D$4&amp;"!B10:B1000"),$B105,INDIRECT(Equipo!$D$4&amp;"!"&amp;ADDRESS(10,COLUMN(H$9)+10)&amp;":"&amp;ADDRESS(1000,COLUMN(H$9)+10))),
SUMIF(INDIRECT(Equipo!$E$4&amp;"!B10:B1000"),$B105,INDIRECT(Equipo!$E$4&amp;"!"&amp;ADDRESS(10,COLUMN(H$9)+10)&amp;":"&amp;ADDRESS(1000,COLUMN(H$9)+10))),
SUMIF(INDIRECT(Equipo!$F$4&amp;"!B10:B1000"),$B105,INDIRECT(Equipo!$F$4&amp;"!"&amp;ADDRESS(10,COLUMN(H$9)+10)&amp;":"&amp;ADDRESS(1000,COLUMN(H$9)+10))),
SUMIF(INDIRECT(Equipo!$G$4&amp;"!B10:B1000"),$B105,INDIRECT(Equipo!$G$4&amp;"!"&amp;ADDRESS(10,COLUMN(H$9)+10)&amp;":"&amp;ADDRESS(1000,COLUMN(H$9)+10)))
))</f>
        <v>-</v>
      </c>
      <c r="I105" s="19" t="str">
        <f t="array" ref="I105">IF(ISBLANK(Tareas!$B101),"-",
SUM(
SUMIF(INDIRECT(Equipo!$C$4&amp;"!B10:B1000"),$B105,INDIRECT(Equipo!$C$4&amp;"!"&amp;ADDRESS(10,COLUMN(I$9)+10)&amp;":"&amp;ADDRESS(1000,COLUMN(I$9)+10))),
SUMIF(INDIRECT(Equipo!$D$4&amp;"!B10:B1000"),$B105,INDIRECT(Equipo!$D$4&amp;"!"&amp;ADDRESS(10,COLUMN(I$9)+10)&amp;":"&amp;ADDRESS(1000,COLUMN(I$9)+10))),
SUMIF(INDIRECT(Equipo!$E$4&amp;"!B10:B1000"),$B105,INDIRECT(Equipo!$E$4&amp;"!"&amp;ADDRESS(10,COLUMN(I$9)+10)&amp;":"&amp;ADDRESS(1000,COLUMN(I$9)+10))),
SUMIF(INDIRECT(Equipo!$F$4&amp;"!B10:B1000"),$B105,INDIRECT(Equipo!$F$4&amp;"!"&amp;ADDRESS(10,COLUMN(I$9)+10)&amp;":"&amp;ADDRESS(1000,COLUMN(I$9)+10))),
SUMIF(INDIRECT(Equipo!$G$4&amp;"!B10:B1000"),$B105,INDIRECT(Equipo!$G$4&amp;"!"&amp;ADDRESS(10,COLUMN(I$9)+10)&amp;":"&amp;ADDRESS(1000,COLUMN(I$9)+10)))
))</f>
        <v>-</v>
      </c>
      <c r="J105" s="19" t="str">
        <f t="array" ref="J105">IF(ISBLANK(Tareas!$B101),"-",
SUM(
SUMIF(INDIRECT(Equipo!$C$4&amp;"!B10:B1000"),$B105,INDIRECT(Equipo!$C$4&amp;"!"&amp;ADDRESS(10,COLUMN(J$9)+10)&amp;":"&amp;ADDRESS(1000,COLUMN(J$9)+10))),
SUMIF(INDIRECT(Equipo!$D$4&amp;"!B10:B1000"),$B105,INDIRECT(Equipo!$D$4&amp;"!"&amp;ADDRESS(10,COLUMN(J$9)+10)&amp;":"&amp;ADDRESS(1000,COLUMN(J$9)+10))),
SUMIF(INDIRECT(Equipo!$E$4&amp;"!B10:B1000"),$B105,INDIRECT(Equipo!$E$4&amp;"!"&amp;ADDRESS(10,COLUMN(J$9)+10)&amp;":"&amp;ADDRESS(1000,COLUMN(J$9)+10))),
SUMIF(INDIRECT(Equipo!$F$4&amp;"!B10:B1000"),$B105,INDIRECT(Equipo!$F$4&amp;"!"&amp;ADDRESS(10,COLUMN(J$9)+10)&amp;":"&amp;ADDRESS(1000,COLUMN(J$9)+10))),
SUMIF(INDIRECT(Equipo!$G$4&amp;"!B10:B1000"),$B105,INDIRECT(Equipo!$G$4&amp;"!"&amp;ADDRESS(10,COLUMN(J$9)+10)&amp;":"&amp;ADDRESS(1000,COLUMN(J$9)+10)))
))</f>
        <v>-</v>
      </c>
      <c r="K105" s="19" t="str">
        <f t="array" ref="K105">IF(ISBLANK(Tareas!$B101),"-",
SUM(
SUMIF(INDIRECT(Equipo!$C$4&amp;"!B10:B1000"),$B105,INDIRECT(Equipo!$C$4&amp;"!"&amp;ADDRESS(10,COLUMN(K$9)+10)&amp;":"&amp;ADDRESS(1000,COLUMN(K$9)+10))),
SUMIF(INDIRECT(Equipo!$D$4&amp;"!B10:B1000"),$B105,INDIRECT(Equipo!$D$4&amp;"!"&amp;ADDRESS(10,COLUMN(K$9)+10)&amp;":"&amp;ADDRESS(1000,COLUMN(K$9)+10))),
SUMIF(INDIRECT(Equipo!$E$4&amp;"!B10:B1000"),$B105,INDIRECT(Equipo!$E$4&amp;"!"&amp;ADDRESS(10,COLUMN(K$9)+10)&amp;":"&amp;ADDRESS(1000,COLUMN(K$9)+10))),
SUMIF(INDIRECT(Equipo!$F$4&amp;"!B10:B1000"),$B105,INDIRECT(Equipo!$F$4&amp;"!"&amp;ADDRESS(10,COLUMN(K$9)+10)&amp;":"&amp;ADDRESS(1000,COLUMN(K$9)+10))),
SUMIF(INDIRECT(Equipo!$G$4&amp;"!B10:B1000"),$B105,INDIRECT(Equipo!$G$4&amp;"!"&amp;ADDRESS(10,COLUMN(K$9)+10)&amp;":"&amp;ADDRESS(1000,COLUMN(K$9)+10)))
))</f>
        <v>-</v>
      </c>
    </row>
    <row r="106" ht="15.75" customHeight="1">
      <c r="C106" s="19" t="str">
        <f>IF(ISBLANK(Tareas!$B102),"-",SUM(D106:K106))</f>
        <v>-</v>
      </c>
      <c r="D106" s="19" t="str">
        <f t="array" ref="D106">IF(ISBLANK(Tareas!$B102),"-",
SUM(
SUMIF(INDIRECT(Equipo!$C$4&amp;"!B10:B1000"),$B106,INDIRECT(Equipo!$C$4&amp;"!"&amp;ADDRESS(10,COLUMN(D$9)+10)&amp;":"&amp;ADDRESS(1000,COLUMN(D$9)+10))),
SUMIF(INDIRECT(Equipo!$D$4&amp;"!B10:B1000"),$B106,INDIRECT(Equipo!$D$4&amp;"!"&amp;ADDRESS(10,COLUMN(D$9)+10)&amp;":"&amp;ADDRESS(1000,COLUMN(D$9)+10))),
SUMIF(INDIRECT(Equipo!$E$4&amp;"!B10:B1000"),$B106,INDIRECT(Equipo!$E$4&amp;"!"&amp;ADDRESS(10,COLUMN(D$9)+10)&amp;":"&amp;ADDRESS(1000,COLUMN(D$9)+10))),
SUMIF(INDIRECT(Equipo!$F$4&amp;"!B10:B1000"),$B106,INDIRECT(Equipo!$F$4&amp;"!"&amp;ADDRESS(10,COLUMN(D$9)+10)&amp;":"&amp;ADDRESS(1000,COLUMN(D$9)+10))),
SUMIF(INDIRECT(Equipo!$G$4&amp;"!B10:B1000"),$B106,INDIRECT(Equipo!$G$4&amp;"!"&amp;ADDRESS(10,COLUMN(D$9)+10)&amp;":"&amp;ADDRESS(1000,COLUMN(D$9)+10)))
))</f>
        <v>-</v>
      </c>
      <c r="E106" s="19" t="str">
        <f t="array" ref="E106">IF(ISBLANK(Tareas!$B102),"-",
SUM(
SUMIF(INDIRECT(Equipo!$C$4&amp;"!B10:B1000"),$B106,INDIRECT(Equipo!$C$4&amp;"!"&amp;ADDRESS(10,COLUMN(E$9)+10)&amp;":"&amp;ADDRESS(1000,COLUMN(E$9)+10))),
SUMIF(INDIRECT(Equipo!$D$4&amp;"!B10:B1000"),$B106,INDIRECT(Equipo!$D$4&amp;"!"&amp;ADDRESS(10,COLUMN(E$9)+10)&amp;":"&amp;ADDRESS(1000,COLUMN(E$9)+10))),
SUMIF(INDIRECT(Equipo!$E$4&amp;"!B10:B1000"),$B106,INDIRECT(Equipo!$E$4&amp;"!"&amp;ADDRESS(10,COLUMN(E$9)+10)&amp;":"&amp;ADDRESS(1000,COLUMN(E$9)+10))),
SUMIF(INDIRECT(Equipo!$F$4&amp;"!B10:B1000"),$B106,INDIRECT(Equipo!$F$4&amp;"!"&amp;ADDRESS(10,COLUMN(E$9)+10)&amp;":"&amp;ADDRESS(1000,COLUMN(E$9)+10))),
SUMIF(INDIRECT(Equipo!$G$4&amp;"!B10:B1000"),$B106,INDIRECT(Equipo!$G$4&amp;"!"&amp;ADDRESS(10,COLUMN(E$9)+10)&amp;":"&amp;ADDRESS(1000,COLUMN(E$9)+10)))
))</f>
        <v>-</v>
      </c>
      <c r="F106" s="19" t="str">
        <f t="array" ref="F106">IF(ISBLANK(Tareas!$B102),"-",
SUM(
SUMIF(INDIRECT(Equipo!$C$4&amp;"!B10:B1000"),$B106,INDIRECT(Equipo!$C$4&amp;"!"&amp;ADDRESS(10,COLUMN(F$9)+10)&amp;":"&amp;ADDRESS(1000,COLUMN(F$9)+10))),
SUMIF(INDIRECT(Equipo!$D$4&amp;"!B10:B1000"),$B106,INDIRECT(Equipo!$D$4&amp;"!"&amp;ADDRESS(10,COLUMN(F$9)+10)&amp;":"&amp;ADDRESS(1000,COLUMN(F$9)+10))),
SUMIF(INDIRECT(Equipo!$E$4&amp;"!B10:B1000"),$B106,INDIRECT(Equipo!$E$4&amp;"!"&amp;ADDRESS(10,COLUMN(F$9)+10)&amp;":"&amp;ADDRESS(1000,COLUMN(F$9)+10))),
SUMIF(INDIRECT(Equipo!$F$4&amp;"!B10:B1000"),$B106,INDIRECT(Equipo!$F$4&amp;"!"&amp;ADDRESS(10,COLUMN(F$9)+10)&amp;":"&amp;ADDRESS(1000,COLUMN(F$9)+10))),
SUMIF(INDIRECT(Equipo!$G$4&amp;"!B10:B1000"),$B106,INDIRECT(Equipo!$G$4&amp;"!"&amp;ADDRESS(10,COLUMN(F$9)+10)&amp;":"&amp;ADDRESS(1000,COLUMN(F$9)+10)))
))</f>
        <v>-</v>
      </c>
      <c r="G106" s="19" t="str">
        <f t="array" ref="G106">IF(ISBLANK(Tareas!$B102),"-",
SUM(
SUMIF(INDIRECT(Equipo!$C$4&amp;"!B10:B1000"),$B106,INDIRECT(Equipo!$C$4&amp;"!"&amp;ADDRESS(10,COLUMN(G$9)+10)&amp;":"&amp;ADDRESS(1000,COLUMN(G$9)+10))),
SUMIF(INDIRECT(Equipo!$D$4&amp;"!B10:B1000"),$B106,INDIRECT(Equipo!$D$4&amp;"!"&amp;ADDRESS(10,COLUMN(G$9)+10)&amp;":"&amp;ADDRESS(1000,COLUMN(G$9)+10))),
SUMIF(INDIRECT(Equipo!$E$4&amp;"!B10:B1000"),$B106,INDIRECT(Equipo!$E$4&amp;"!"&amp;ADDRESS(10,COLUMN(G$9)+10)&amp;":"&amp;ADDRESS(1000,COLUMN(G$9)+10))),
SUMIF(INDIRECT(Equipo!$F$4&amp;"!B10:B1000"),$B106,INDIRECT(Equipo!$F$4&amp;"!"&amp;ADDRESS(10,COLUMN(G$9)+10)&amp;":"&amp;ADDRESS(1000,COLUMN(G$9)+10))),
SUMIF(INDIRECT(Equipo!$G$4&amp;"!B10:B1000"),$B106,INDIRECT(Equipo!$G$4&amp;"!"&amp;ADDRESS(10,COLUMN(G$9)+10)&amp;":"&amp;ADDRESS(1000,COLUMN(G$9)+10)))
))</f>
        <v>-</v>
      </c>
      <c r="H106" s="19" t="str">
        <f t="array" ref="H106">IF(ISBLANK(Tareas!$B102),"-",
SUM(
SUMIF(INDIRECT(Equipo!$C$4&amp;"!B10:B1000"),$B106,INDIRECT(Equipo!$C$4&amp;"!"&amp;ADDRESS(10,COLUMN(H$9)+10)&amp;":"&amp;ADDRESS(1000,COLUMN(H$9)+10))),
SUMIF(INDIRECT(Equipo!$D$4&amp;"!B10:B1000"),$B106,INDIRECT(Equipo!$D$4&amp;"!"&amp;ADDRESS(10,COLUMN(H$9)+10)&amp;":"&amp;ADDRESS(1000,COLUMN(H$9)+10))),
SUMIF(INDIRECT(Equipo!$E$4&amp;"!B10:B1000"),$B106,INDIRECT(Equipo!$E$4&amp;"!"&amp;ADDRESS(10,COLUMN(H$9)+10)&amp;":"&amp;ADDRESS(1000,COLUMN(H$9)+10))),
SUMIF(INDIRECT(Equipo!$F$4&amp;"!B10:B1000"),$B106,INDIRECT(Equipo!$F$4&amp;"!"&amp;ADDRESS(10,COLUMN(H$9)+10)&amp;":"&amp;ADDRESS(1000,COLUMN(H$9)+10))),
SUMIF(INDIRECT(Equipo!$G$4&amp;"!B10:B1000"),$B106,INDIRECT(Equipo!$G$4&amp;"!"&amp;ADDRESS(10,COLUMN(H$9)+10)&amp;":"&amp;ADDRESS(1000,COLUMN(H$9)+10)))
))</f>
        <v>-</v>
      </c>
      <c r="I106" s="19" t="str">
        <f t="array" ref="I106">IF(ISBLANK(Tareas!$B102),"-",
SUM(
SUMIF(INDIRECT(Equipo!$C$4&amp;"!B10:B1000"),$B106,INDIRECT(Equipo!$C$4&amp;"!"&amp;ADDRESS(10,COLUMN(I$9)+10)&amp;":"&amp;ADDRESS(1000,COLUMN(I$9)+10))),
SUMIF(INDIRECT(Equipo!$D$4&amp;"!B10:B1000"),$B106,INDIRECT(Equipo!$D$4&amp;"!"&amp;ADDRESS(10,COLUMN(I$9)+10)&amp;":"&amp;ADDRESS(1000,COLUMN(I$9)+10))),
SUMIF(INDIRECT(Equipo!$E$4&amp;"!B10:B1000"),$B106,INDIRECT(Equipo!$E$4&amp;"!"&amp;ADDRESS(10,COLUMN(I$9)+10)&amp;":"&amp;ADDRESS(1000,COLUMN(I$9)+10))),
SUMIF(INDIRECT(Equipo!$F$4&amp;"!B10:B1000"),$B106,INDIRECT(Equipo!$F$4&amp;"!"&amp;ADDRESS(10,COLUMN(I$9)+10)&amp;":"&amp;ADDRESS(1000,COLUMN(I$9)+10))),
SUMIF(INDIRECT(Equipo!$G$4&amp;"!B10:B1000"),$B106,INDIRECT(Equipo!$G$4&amp;"!"&amp;ADDRESS(10,COLUMN(I$9)+10)&amp;":"&amp;ADDRESS(1000,COLUMN(I$9)+10)))
))</f>
        <v>-</v>
      </c>
      <c r="J106" s="19" t="str">
        <f t="array" ref="J106">IF(ISBLANK(Tareas!$B102),"-",
SUM(
SUMIF(INDIRECT(Equipo!$C$4&amp;"!B10:B1000"),$B106,INDIRECT(Equipo!$C$4&amp;"!"&amp;ADDRESS(10,COLUMN(J$9)+10)&amp;":"&amp;ADDRESS(1000,COLUMN(J$9)+10))),
SUMIF(INDIRECT(Equipo!$D$4&amp;"!B10:B1000"),$B106,INDIRECT(Equipo!$D$4&amp;"!"&amp;ADDRESS(10,COLUMN(J$9)+10)&amp;":"&amp;ADDRESS(1000,COLUMN(J$9)+10))),
SUMIF(INDIRECT(Equipo!$E$4&amp;"!B10:B1000"),$B106,INDIRECT(Equipo!$E$4&amp;"!"&amp;ADDRESS(10,COLUMN(J$9)+10)&amp;":"&amp;ADDRESS(1000,COLUMN(J$9)+10))),
SUMIF(INDIRECT(Equipo!$F$4&amp;"!B10:B1000"),$B106,INDIRECT(Equipo!$F$4&amp;"!"&amp;ADDRESS(10,COLUMN(J$9)+10)&amp;":"&amp;ADDRESS(1000,COLUMN(J$9)+10))),
SUMIF(INDIRECT(Equipo!$G$4&amp;"!B10:B1000"),$B106,INDIRECT(Equipo!$G$4&amp;"!"&amp;ADDRESS(10,COLUMN(J$9)+10)&amp;":"&amp;ADDRESS(1000,COLUMN(J$9)+10)))
))</f>
        <v>-</v>
      </c>
      <c r="K106" s="19" t="str">
        <f t="array" ref="K106">IF(ISBLANK(Tareas!$B102),"-",
SUM(
SUMIF(INDIRECT(Equipo!$C$4&amp;"!B10:B1000"),$B106,INDIRECT(Equipo!$C$4&amp;"!"&amp;ADDRESS(10,COLUMN(K$9)+10)&amp;":"&amp;ADDRESS(1000,COLUMN(K$9)+10))),
SUMIF(INDIRECT(Equipo!$D$4&amp;"!B10:B1000"),$B106,INDIRECT(Equipo!$D$4&amp;"!"&amp;ADDRESS(10,COLUMN(K$9)+10)&amp;":"&amp;ADDRESS(1000,COLUMN(K$9)+10))),
SUMIF(INDIRECT(Equipo!$E$4&amp;"!B10:B1000"),$B106,INDIRECT(Equipo!$E$4&amp;"!"&amp;ADDRESS(10,COLUMN(K$9)+10)&amp;":"&amp;ADDRESS(1000,COLUMN(K$9)+10))),
SUMIF(INDIRECT(Equipo!$F$4&amp;"!B10:B1000"),$B106,INDIRECT(Equipo!$F$4&amp;"!"&amp;ADDRESS(10,COLUMN(K$9)+10)&amp;":"&amp;ADDRESS(1000,COLUMN(K$9)+10))),
SUMIF(INDIRECT(Equipo!$G$4&amp;"!B10:B1000"),$B106,INDIRECT(Equipo!$G$4&amp;"!"&amp;ADDRESS(10,COLUMN(K$9)+10)&amp;":"&amp;ADDRESS(1000,COLUMN(K$9)+10)))
))</f>
        <v>-</v>
      </c>
    </row>
    <row r="107" ht="15.75" customHeight="1">
      <c r="C107" s="19" t="str">
        <f>IF(ISBLANK(Tareas!$B103),"-",SUM(D107:K107))</f>
        <v>-</v>
      </c>
      <c r="D107" s="19" t="str">
        <f t="array" ref="D107">IF(ISBLANK(Tareas!$B103),"-",
SUM(
SUMIF(INDIRECT(Equipo!$C$4&amp;"!B10:B1000"),$B107,INDIRECT(Equipo!$C$4&amp;"!"&amp;ADDRESS(10,COLUMN(D$9)+10)&amp;":"&amp;ADDRESS(1000,COLUMN(D$9)+10))),
SUMIF(INDIRECT(Equipo!$D$4&amp;"!B10:B1000"),$B107,INDIRECT(Equipo!$D$4&amp;"!"&amp;ADDRESS(10,COLUMN(D$9)+10)&amp;":"&amp;ADDRESS(1000,COLUMN(D$9)+10))),
SUMIF(INDIRECT(Equipo!$E$4&amp;"!B10:B1000"),$B107,INDIRECT(Equipo!$E$4&amp;"!"&amp;ADDRESS(10,COLUMN(D$9)+10)&amp;":"&amp;ADDRESS(1000,COLUMN(D$9)+10))),
SUMIF(INDIRECT(Equipo!$F$4&amp;"!B10:B1000"),$B107,INDIRECT(Equipo!$F$4&amp;"!"&amp;ADDRESS(10,COLUMN(D$9)+10)&amp;":"&amp;ADDRESS(1000,COLUMN(D$9)+10))),
SUMIF(INDIRECT(Equipo!$G$4&amp;"!B10:B1000"),$B107,INDIRECT(Equipo!$G$4&amp;"!"&amp;ADDRESS(10,COLUMN(D$9)+10)&amp;":"&amp;ADDRESS(1000,COLUMN(D$9)+10)))
))</f>
        <v>-</v>
      </c>
      <c r="E107" s="19" t="str">
        <f t="array" ref="E107">IF(ISBLANK(Tareas!$B103),"-",
SUM(
SUMIF(INDIRECT(Equipo!$C$4&amp;"!B10:B1000"),$B107,INDIRECT(Equipo!$C$4&amp;"!"&amp;ADDRESS(10,COLUMN(E$9)+10)&amp;":"&amp;ADDRESS(1000,COLUMN(E$9)+10))),
SUMIF(INDIRECT(Equipo!$D$4&amp;"!B10:B1000"),$B107,INDIRECT(Equipo!$D$4&amp;"!"&amp;ADDRESS(10,COLUMN(E$9)+10)&amp;":"&amp;ADDRESS(1000,COLUMN(E$9)+10))),
SUMIF(INDIRECT(Equipo!$E$4&amp;"!B10:B1000"),$B107,INDIRECT(Equipo!$E$4&amp;"!"&amp;ADDRESS(10,COLUMN(E$9)+10)&amp;":"&amp;ADDRESS(1000,COLUMN(E$9)+10))),
SUMIF(INDIRECT(Equipo!$F$4&amp;"!B10:B1000"),$B107,INDIRECT(Equipo!$F$4&amp;"!"&amp;ADDRESS(10,COLUMN(E$9)+10)&amp;":"&amp;ADDRESS(1000,COLUMN(E$9)+10))),
SUMIF(INDIRECT(Equipo!$G$4&amp;"!B10:B1000"),$B107,INDIRECT(Equipo!$G$4&amp;"!"&amp;ADDRESS(10,COLUMN(E$9)+10)&amp;":"&amp;ADDRESS(1000,COLUMN(E$9)+10)))
))</f>
        <v>-</v>
      </c>
      <c r="F107" s="19" t="str">
        <f t="array" ref="F107">IF(ISBLANK(Tareas!$B103),"-",
SUM(
SUMIF(INDIRECT(Equipo!$C$4&amp;"!B10:B1000"),$B107,INDIRECT(Equipo!$C$4&amp;"!"&amp;ADDRESS(10,COLUMN(F$9)+10)&amp;":"&amp;ADDRESS(1000,COLUMN(F$9)+10))),
SUMIF(INDIRECT(Equipo!$D$4&amp;"!B10:B1000"),$B107,INDIRECT(Equipo!$D$4&amp;"!"&amp;ADDRESS(10,COLUMN(F$9)+10)&amp;":"&amp;ADDRESS(1000,COLUMN(F$9)+10))),
SUMIF(INDIRECT(Equipo!$E$4&amp;"!B10:B1000"),$B107,INDIRECT(Equipo!$E$4&amp;"!"&amp;ADDRESS(10,COLUMN(F$9)+10)&amp;":"&amp;ADDRESS(1000,COLUMN(F$9)+10))),
SUMIF(INDIRECT(Equipo!$F$4&amp;"!B10:B1000"),$B107,INDIRECT(Equipo!$F$4&amp;"!"&amp;ADDRESS(10,COLUMN(F$9)+10)&amp;":"&amp;ADDRESS(1000,COLUMN(F$9)+10))),
SUMIF(INDIRECT(Equipo!$G$4&amp;"!B10:B1000"),$B107,INDIRECT(Equipo!$G$4&amp;"!"&amp;ADDRESS(10,COLUMN(F$9)+10)&amp;":"&amp;ADDRESS(1000,COLUMN(F$9)+10)))
))</f>
        <v>-</v>
      </c>
      <c r="G107" s="19" t="str">
        <f t="array" ref="G107">IF(ISBLANK(Tareas!$B103),"-",
SUM(
SUMIF(INDIRECT(Equipo!$C$4&amp;"!B10:B1000"),$B107,INDIRECT(Equipo!$C$4&amp;"!"&amp;ADDRESS(10,COLUMN(G$9)+10)&amp;":"&amp;ADDRESS(1000,COLUMN(G$9)+10))),
SUMIF(INDIRECT(Equipo!$D$4&amp;"!B10:B1000"),$B107,INDIRECT(Equipo!$D$4&amp;"!"&amp;ADDRESS(10,COLUMN(G$9)+10)&amp;":"&amp;ADDRESS(1000,COLUMN(G$9)+10))),
SUMIF(INDIRECT(Equipo!$E$4&amp;"!B10:B1000"),$B107,INDIRECT(Equipo!$E$4&amp;"!"&amp;ADDRESS(10,COLUMN(G$9)+10)&amp;":"&amp;ADDRESS(1000,COLUMN(G$9)+10))),
SUMIF(INDIRECT(Equipo!$F$4&amp;"!B10:B1000"),$B107,INDIRECT(Equipo!$F$4&amp;"!"&amp;ADDRESS(10,COLUMN(G$9)+10)&amp;":"&amp;ADDRESS(1000,COLUMN(G$9)+10))),
SUMIF(INDIRECT(Equipo!$G$4&amp;"!B10:B1000"),$B107,INDIRECT(Equipo!$G$4&amp;"!"&amp;ADDRESS(10,COLUMN(G$9)+10)&amp;":"&amp;ADDRESS(1000,COLUMN(G$9)+10)))
))</f>
        <v>-</v>
      </c>
      <c r="H107" s="19" t="str">
        <f t="array" ref="H107">IF(ISBLANK(Tareas!$B103),"-",
SUM(
SUMIF(INDIRECT(Equipo!$C$4&amp;"!B10:B1000"),$B107,INDIRECT(Equipo!$C$4&amp;"!"&amp;ADDRESS(10,COLUMN(H$9)+10)&amp;":"&amp;ADDRESS(1000,COLUMN(H$9)+10))),
SUMIF(INDIRECT(Equipo!$D$4&amp;"!B10:B1000"),$B107,INDIRECT(Equipo!$D$4&amp;"!"&amp;ADDRESS(10,COLUMN(H$9)+10)&amp;":"&amp;ADDRESS(1000,COLUMN(H$9)+10))),
SUMIF(INDIRECT(Equipo!$E$4&amp;"!B10:B1000"),$B107,INDIRECT(Equipo!$E$4&amp;"!"&amp;ADDRESS(10,COLUMN(H$9)+10)&amp;":"&amp;ADDRESS(1000,COLUMN(H$9)+10))),
SUMIF(INDIRECT(Equipo!$F$4&amp;"!B10:B1000"),$B107,INDIRECT(Equipo!$F$4&amp;"!"&amp;ADDRESS(10,COLUMN(H$9)+10)&amp;":"&amp;ADDRESS(1000,COLUMN(H$9)+10))),
SUMIF(INDIRECT(Equipo!$G$4&amp;"!B10:B1000"),$B107,INDIRECT(Equipo!$G$4&amp;"!"&amp;ADDRESS(10,COLUMN(H$9)+10)&amp;":"&amp;ADDRESS(1000,COLUMN(H$9)+10)))
))</f>
        <v>-</v>
      </c>
      <c r="I107" s="19" t="str">
        <f t="array" ref="I107">IF(ISBLANK(Tareas!$B103),"-",
SUM(
SUMIF(INDIRECT(Equipo!$C$4&amp;"!B10:B1000"),$B107,INDIRECT(Equipo!$C$4&amp;"!"&amp;ADDRESS(10,COLUMN(I$9)+10)&amp;":"&amp;ADDRESS(1000,COLUMN(I$9)+10))),
SUMIF(INDIRECT(Equipo!$D$4&amp;"!B10:B1000"),$B107,INDIRECT(Equipo!$D$4&amp;"!"&amp;ADDRESS(10,COLUMN(I$9)+10)&amp;":"&amp;ADDRESS(1000,COLUMN(I$9)+10))),
SUMIF(INDIRECT(Equipo!$E$4&amp;"!B10:B1000"),$B107,INDIRECT(Equipo!$E$4&amp;"!"&amp;ADDRESS(10,COLUMN(I$9)+10)&amp;":"&amp;ADDRESS(1000,COLUMN(I$9)+10))),
SUMIF(INDIRECT(Equipo!$F$4&amp;"!B10:B1000"),$B107,INDIRECT(Equipo!$F$4&amp;"!"&amp;ADDRESS(10,COLUMN(I$9)+10)&amp;":"&amp;ADDRESS(1000,COLUMN(I$9)+10))),
SUMIF(INDIRECT(Equipo!$G$4&amp;"!B10:B1000"),$B107,INDIRECT(Equipo!$G$4&amp;"!"&amp;ADDRESS(10,COLUMN(I$9)+10)&amp;":"&amp;ADDRESS(1000,COLUMN(I$9)+10)))
))</f>
        <v>-</v>
      </c>
      <c r="J107" s="19" t="str">
        <f t="array" ref="J107">IF(ISBLANK(Tareas!$B103),"-",
SUM(
SUMIF(INDIRECT(Equipo!$C$4&amp;"!B10:B1000"),$B107,INDIRECT(Equipo!$C$4&amp;"!"&amp;ADDRESS(10,COLUMN(J$9)+10)&amp;":"&amp;ADDRESS(1000,COLUMN(J$9)+10))),
SUMIF(INDIRECT(Equipo!$D$4&amp;"!B10:B1000"),$B107,INDIRECT(Equipo!$D$4&amp;"!"&amp;ADDRESS(10,COLUMN(J$9)+10)&amp;":"&amp;ADDRESS(1000,COLUMN(J$9)+10))),
SUMIF(INDIRECT(Equipo!$E$4&amp;"!B10:B1000"),$B107,INDIRECT(Equipo!$E$4&amp;"!"&amp;ADDRESS(10,COLUMN(J$9)+10)&amp;":"&amp;ADDRESS(1000,COLUMN(J$9)+10))),
SUMIF(INDIRECT(Equipo!$F$4&amp;"!B10:B1000"),$B107,INDIRECT(Equipo!$F$4&amp;"!"&amp;ADDRESS(10,COLUMN(J$9)+10)&amp;":"&amp;ADDRESS(1000,COLUMN(J$9)+10))),
SUMIF(INDIRECT(Equipo!$G$4&amp;"!B10:B1000"),$B107,INDIRECT(Equipo!$G$4&amp;"!"&amp;ADDRESS(10,COLUMN(J$9)+10)&amp;":"&amp;ADDRESS(1000,COLUMN(J$9)+10)))
))</f>
        <v>-</v>
      </c>
      <c r="K107" s="19" t="str">
        <f t="array" ref="K107">IF(ISBLANK(Tareas!$B103),"-",
SUM(
SUMIF(INDIRECT(Equipo!$C$4&amp;"!B10:B1000"),$B107,INDIRECT(Equipo!$C$4&amp;"!"&amp;ADDRESS(10,COLUMN(K$9)+10)&amp;":"&amp;ADDRESS(1000,COLUMN(K$9)+10))),
SUMIF(INDIRECT(Equipo!$D$4&amp;"!B10:B1000"),$B107,INDIRECT(Equipo!$D$4&amp;"!"&amp;ADDRESS(10,COLUMN(K$9)+10)&amp;":"&amp;ADDRESS(1000,COLUMN(K$9)+10))),
SUMIF(INDIRECT(Equipo!$E$4&amp;"!B10:B1000"),$B107,INDIRECT(Equipo!$E$4&amp;"!"&amp;ADDRESS(10,COLUMN(K$9)+10)&amp;":"&amp;ADDRESS(1000,COLUMN(K$9)+10))),
SUMIF(INDIRECT(Equipo!$F$4&amp;"!B10:B1000"),$B107,INDIRECT(Equipo!$F$4&amp;"!"&amp;ADDRESS(10,COLUMN(K$9)+10)&amp;":"&amp;ADDRESS(1000,COLUMN(K$9)+10))),
SUMIF(INDIRECT(Equipo!$G$4&amp;"!B10:B1000"),$B107,INDIRECT(Equipo!$G$4&amp;"!"&amp;ADDRESS(10,COLUMN(K$9)+10)&amp;":"&amp;ADDRESS(1000,COLUMN(K$9)+10)))
))</f>
        <v>-</v>
      </c>
    </row>
    <row r="108" ht="15.75" customHeight="1">
      <c r="C108" s="19" t="str">
        <f>IF(ISBLANK(Tareas!$B104),"-",SUM(D108:K108))</f>
        <v>-</v>
      </c>
      <c r="D108" s="19" t="str">
        <f t="array" ref="D108">IF(ISBLANK(Tareas!$B104),"-",
SUM(
SUMIF(INDIRECT(Equipo!$C$4&amp;"!B10:B1000"),$B108,INDIRECT(Equipo!$C$4&amp;"!"&amp;ADDRESS(10,COLUMN(D$9)+10)&amp;":"&amp;ADDRESS(1000,COLUMN(D$9)+10))),
SUMIF(INDIRECT(Equipo!$D$4&amp;"!B10:B1000"),$B108,INDIRECT(Equipo!$D$4&amp;"!"&amp;ADDRESS(10,COLUMN(D$9)+10)&amp;":"&amp;ADDRESS(1000,COLUMN(D$9)+10))),
SUMIF(INDIRECT(Equipo!$E$4&amp;"!B10:B1000"),$B108,INDIRECT(Equipo!$E$4&amp;"!"&amp;ADDRESS(10,COLUMN(D$9)+10)&amp;":"&amp;ADDRESS(1000,COLUMN(D$9)+10))),
SUMIF(INDIRECT(Equipo!$F$4&amp;"!B10:B1000"),$B108,INDIRECT(Equipo!$F$4&amp;"!"&amp;ADDRESS(10,COLUMN(D$9)+10)&amp;":"&amp;ADDRESS(1000,COLUMN(D$9)+10))),
SUMIF(INDIRECT(Equipo!$G$4&amp;"!B10:B1000"),$B108,INDIRECT(Equipo!$G$4&amp;"!"&amp;ADDRESS(10,COLUMN(D$9)+10)&amp;":"&amp;ADDRESS(1000,COLUMN(D$9)+10)))
))</f>
        <v>-</v>
      </c>
      <c r="E108" s="19" t="str">
        <f t="array" ref="E108">IF(ISBLANK(Tareas!$B104),"-",
SUM(
SUMIF(INDIRECT(Equipo!$C$4&amp;"!B10:B1000"),$B108,INDIRECT(Equipo!$C$4&amp;"!"&amp;ADDRESS(10,COLUMN(E$9)+10)&amp;":"&amp;ADDRESS(1000,COLUMN(E$9)+10))),
SUMIF(INDIRECT(Equipo!$D$4&amp;"!B10:B1000"),$B108,INDIRECT(Equipo!$D$4&amp;"!"&amp;ADDRESS(10,COLUMN(E$9)+10)&amp;":"&amp;ADDRESS(1000,COLUMN(E$9)+10))),
SUMIF(INDIRECT(Equipo!$E$4&amp;"!B10:B1000"),$B108,INDIRECT(Equipo!$E$4&amp;"!"&amp;ADDRESS(10,COLUMN(E$9)+10)&amp;":"&amp;ADDRESS(1000,COLUMN(E$9)+10))),
SUMIF(INDIRECT(Equipo!$F$4&amp;"!B10:B1000"),$B108,INDIRECT(Equipo!$F$4&amp;"!"&amp;ADDRESS(10,COLUMN(E$9)+10)&amp;":"&amp;ADDRESS(1000,COLUMN(E$9)+10))),
SUMIF(INDIRECT(Equipo!$G$4&amp;"!B10:B1000"),$B108,INDIRECT(Equipo!$G$4&amp;"!"&amp;ADDRESS(10,COLUMN(E$9)+10)&amp;":"&amp;ADDRESS(1000,COLUMN(E$9)+10)))
))</f>
        <v>-</v>
      </c>
      <c r="F108" s="19" t="str">
        <f t="array" ref="F108">IF(ISBLANK(Tareas!$B104),"-",
SUM(
SUMIF(INDIRECT(Equipo!$C$4&amp;"!B10:B1000"),$B108,INDIRECT(Equipo!$C$4&amp;"!"&amp;ADDRESS(10,COLUMN(F$9)+10)&amp;":"&amp;ADDRESS(1000,COLUMN(F$9)+10))),
SUMIF(INDIRECT(Equipo!$D$4&amp;"!B10:B1000"),$B108,INDIRECT(Equipo!$D$4&amp;"!"&amp;ADDRESS(10,COLUMN(F$9)+10)&amp;":"&amp;ADDRESS(1000,COLUMN(F$9)+10))),
SUMIF(INDIRECT(Equipo!$E$4&amp;"!B10:B1000"),$B108,INDIRECT(Equipo!$E$4&amp;"!"&amp;ADDRESS(10,COLUMN(F$9)+10)&amp;":"&amp;ADDRESS(1000,COLUMN(F$9)+10))),
SUMIF(INDIRECT(Equipo!$F$4&amp;"!B10:B1000"),$B108,INDIRECT(Equipo!$F$4&amp;"!"&amp;ADDRESS(10,COLUMN(F$9)+10)&amp;":"&amp;ADDRESS(1000,COLUMN(F$9)+10))),
SUMIF(INDIRECT(Equipo!$G$4&amp;"!B10:B1000"),$B108,INDIRECT(Equipo!$G$4&amp;"!"&amp;ADDRESS(10,COLUMN(F$9)+10)&amp;":"&amp;ADDRESS(1000,COLUMN(F$9)+10)))
))</f>
        <v>-</v>
      </c>
      <c r="G108" s="19" t="str">
        <f t="array" ref="G108">IF(ISBLANK(Tareas!$B104),"-",
SUM(
SUMIF(INDIRECT(Equipo!$C$4&amp;"!B10:B1000"),$B108,INDIRECT(Equipo!$C$4&amp;"!"&amp;ADDRESS(10,COLUMN(G$9)+10)&amp;":"&amp;ADDRESS(1000,COLUMN(G$9)+10))),
SUMIF(INDIRECT(Equipo!$D$4&amp;"!B10:B1000"),$B108,INDIRECT(Equipo!$D$4&amp;"!"&amp;ADDRESS(10,COLUMN(G$9)+10)&amp;":"&amp;ADDRESS(1000,COLUMN(G$9)+10))),
SUMIF(INDIRECT(Equipo!$E$4&amp;"!B10:B1000"),$B108,INDIRECT(Equipo!$E$4&amp;"!"&amp;ADDRESS(10,COLUMN(G$9)+10)&amp;":"&amp;ADDRESS(1000,COLUMN(G$9)+10))),
SUMIF(INDIRECT(Equipo!$F$4&amp;"!B10:B1000"),$B108,INDIRECT(Equipo!$F$4&amp;"!"&amp;ADDRESS(10,COLUMN(G$9)+10)&amp;":"&amp;ADDRESS(1000,COLUMN(G$9)+10))),
SUMIF(INDIRECT(Equipo!$G$4&amp;"!B10:B1000"),$B108,INDIRECT(Equipo!$G$4&amp;"!"&amp;ADDRESS(10,COLUMN(G$9)+10)&amp;":"&amp;ADDRESS(1000,COLUMN(G$9)+10)))
))</f>
        <v>-</v>
      </c>
      <c r="H108" s="19" t="str">
        <f t="array" ref="H108">IF(ISBLANK(Tareas!$B104),"-",
SUM(
SUMIF(INDIRECT(Equipo!$C$4&amp;"!B10:B1000"),$B108,INDIRECT(Equipo!$C$4&amp;"!"&amp;ADDRESS(10,COLUMN(H$9)+10)&amp;":"&amp;ADDRESS(1000,COLUMN(H$9)+10))),
SUMIF(INDIRECT(Equipo!$D$4&amp;"!B10:B1000"),$B108,INDIRECT(Equipo!$D$4&amp;"!"&amp;ADDRESS(10,COLUMN(H$9)+10)&amp;":"&amp;ADDRESS(1000,COLUMN(H$9)+10))),
SUMIF(INDIRECT(Equipo!$E$4&amp;"!B10:B1000"),$B108,INDIRECT(Equipo!$E$4&amp;"!"&amp;ADDRESS(10,COLUMN(H$9)+10)&amp;":"&amp;ADDRESS(1000,COLUMN(H$9)+10))),
SUMIF(INDIRECT(Equipo!$F$4&amp;"!B10:B1000"),$B108,INDIRECT(Equipo!$F$4&amp;"!"&amp;ADDRESS(10,COLUMN(H$9)+10)&amp;":"&amp;ADDRESS(1000,COLUMN(H$9)+10))),
SUMIF(INDIRECT(Equipo!$G$4&amp;"!B10:B1000"),$B108,INDIRECT(Equipo!$G$4&amp;"!"&amp;ADDRESS(10,COLUMN(H$9)+10)&amp;":"&amp;ADDRESS(1000,COLUMN(H$9)+10)))
))</f>
        <v>-</v>
      </c>
      <c r="I108" s="19" t="str">
        <f t="array" ref="I108">IF(ISBLANK(Tareas!$B104),"-",
SUM(
SUMIF(INDIRECT(Equipo!$C$4&amp;"!B10:B1000"),$B108,INDIRECT(Equipo!$C$4&amp;"!"&amp;ADDRESS(10,COLUMN(I$9)+10)&amp;":"&amp;ADDRESS(1000,COLUMN(I$9)+10))),
SUMIF(INDIRECT(Equipo!$D$4&amp;"!B10:B1000"),$B108,INDIRECT(Equipo!$D$4&amp;"!"&amp;ADDRESS(10,COLUMN(I$9)+10)&amp;":"&amp;ADDRESS(1000,COLUMN(I$9)+10))),
SUMIF(INDIRECT(Equipo!$E$4&amp;"!B10:B1000"),$B108,INDIRECT(Equipo!$E$4&amp;"!"&amp;ADDRESS(10,COLUMN(I$9)+10)&amp;":"&amp;ADDRESS(1000,COLUMN(I$9)+10))),
SUMIF(INDIRECT(Equipo!$F$4&amp;"!B10:B1000"),$B108,INDIRECT(Equipo!$F$4&amp;"!"&amp;ADDRESS(10,COLUMN(I$9)+10)&amp;":"&amp;ADDRESS(1000,COLUMN(I$9)+10))),
SUMIF(INDIRECT(Equipo!$G$4&amp;"!B10:B1000"),$B108,INDIRECT(Equipo!$G$4&amp;"!"&amp;ADDRESS(10,COLUMN(I$9)+10)&amp;":"&amp;ADDRESS(1000,COLUMN(I$9)+10)))
))</f>
        <v>-</v>
      </c>
      <c r="J108" s="19" t="str">
        <f t="array" ref="J108">IF(ISBLANK(Tareas!$B104),"-",
SUM(
SUMIF(INDIRECT(Equipo!$C$4&amp;"!B10:B1000"),$B108,INDIRECT(Equipo!$C$4&amp;"!"&amp;ADDRESS(10,COLUMN(J$9)+10)&amp;":"&amp;ADDRESS(1000,COLUMN(J$9)+10))),
SUMIF(INDIRECT(Equipo!$D$4&amp;"!B10:B1000"),$B108,INDIRECT(Equipo!$D$4&amp;"!"&amp;ADDRESS(10,COLUMN(J$9)+10)&amp;":"&amp;ADDRESS(1000,COLUMN(J$9)+10))),
SUMIF(INDIRECT(Equipo!$E$4&amp;"!B10:B1000"),$B108,INDIRECT(Equipo!$E$4&amp;"!"&amp;ADDRESS(10,COLUMN(J$9)+10)&amp;":"&amp;ADDRESS(1000,COLUMN(J$9)+10))),
SUMIF(INDIRECT(Equipo!$F$4&amp;"!B10:B1000"),$B108,INDIRECT(Equipo!$F$4&amp;"!"&amp;ADDRESS(10,COLUMN(J$9)+10)&amp;":"&amp;ADDRESS(1000,COLUMN(J$9)+10))),
SUMIF(INDIRECT(Equipo!$G$4&amp;"!B10:B1000"),$B108,INDIRECT(Equipo!$G$4&amp;"!"&amp;ADDRESS(10,COLUMN(J$9)+10)&amp;":"&amp;ADDRESS(1000,COLUMN(J$9)+10)))
))</f>
        <v>-</v>
      </c>
      <c r="K108" s="19" t="str">
        <f t="array" ref="K108">IF(ISBLANK(Tareas!$B104),"-",
SUM(
SUMIF(INDIRECT(Equipo!$C$4&amp;"!B10:B1000"),$B108,INDIRECT(Equipo!$C$4&amp;"!"&amp;ADDRESS(10,COLUMN(K$9)+10)&amp;":"&amp;ADDRESS(1000,COLUMN(K$9)+10))),
SUMIF(INDIRECT(Equipo!$D$4&amp;"!B10:B1000"),$B108,INDIRECT(Equipo!$D$4&amp;"!"&amp;ADDRESS(10,COLUMN(K$9)+10)&amp;":"&amp;ADDRESS(1000,COLUMN(K$9)+10))),
SUMIF(INDIRECT(Equipo!$E$4&amp;"!B10:B1000"),$B108,INDIRECT(Equipo!$E$4&amp;"!"&amp;ADDRESS(10,COLUMN(K$9)+10)&amp;":"&amp;ADDRESS(1000,COLUMN(K$9)+10))),
SUMIF(INDIRECT(Equipo!$F$4&amp;"!B10:B1000"),$B108,INDIRECT(Equipo!$F$4&amp;"!"&amp;ADDRESS(10,COLUMN(K$9)+10)&amp;":"&amp;ADDRESS(1000,COLUMN(K$9)+10))),
SUMIF(INDIRECT(Equipo!$G$4&amp;"!B10:B1000"),$B108,INDIRECT(Equipo!$G$4&amp;"!"&amp;ADDRESS(10,COLUMN(K$9)+10)&amp;":"&amp;ADDRESS(1000,COLUMN(K$9)+10)))
))</f>
        <v>-</v>
      </c>
    </row>
    <row r="109" ht="15.75" customHeight="1">
      <c r="C109" s="19" t="str">
        <f>IF(ISBLANK(Tareas!$B105),"-",SUM(D109:K109))</f>
        <v>-</v>
      </c>
      <c r="D109" s="19" t="str">
        <f t="array" ref="D109">IF(ISBLANK(Tareas!$B105),"-",
SUM(
SUMIF(INDIRECT(Equipo!$C$4&amp;"!B10:B1000"),$B109,INDIRECT(Equipo!$C$4&amp;"!"&amp;ADDRESS(10,COLUMN(D$9)+10)&amp;":"&amp;ADDRESS(1000,COLUMN(D$9)+10))),
SUMIF(INDIRECT(Equipo!$D$4&amp;"!B10:B1000"),$B109,INDIRECT(Equipo!$D$4&amp;"!"&amp;ADDRESS(10,COLUMN(D$9)+10)&amp;":"&amp;ADDRESS(1000,COLUMN(D$9)+10))),
SUMIF(INDIRECT(Equipo!$E$4&amp;"!B10:B1000"),$B109,INDIRECT(Equipo!$E$4&amp;"!"&amp;ADDRESS(10,COLUMN(D$9)+10)&amp;":"&amp;ADDRESS(1000,COLUMN(D$9)+10))),
SUMIF(INDIRECT(Equipo!$F$4&amp;"!B10:B1000"),$B109,INDIRECT(Equipo!$F$4&amp;"!"&amp;ADDRESS(10,COLUMN(D$9)+10)&amp;":"&amp;ADDRESS(1000,COLUMN(D$9)+10))),
SUMIF(INDIRECT(Equipo!$G$4&amp;"!B10:B1000"),$B109,INDIRECT(Equipo!$G$4&amp;"!"&amp;ADDRESS(10,COLUMN(D$9)+10)&amp;":"&amp;ADDRESS(1000,COLUMN(D$9)+10)))
))</f>
        <v>-</v>
      </c>
      <c r="E109" s="19" t="str">
        <f t="array" ref="E109">IF(ISBLANK(Tareas!$B105),"-",
SUM(
SUMIF(INDIRECT(Equipo!$C$4&amp;"!B10:B1000"),$B109,INDIRECT(Equipo!$C$4&amp;"!"&amp;ADDRESS(10,COLUMN(E$9)+10)&amp;":"&amp;ADDRESS(1000,COLUMN(E$9)+10))),
SUMIF(INDIRECT(Equipo!$D$4&amp;"!B10:B1000"),$B109,INDIRECT(Equipo!$D$4&amp;"!"&amp;ADDRESS(10,COLUMN(E$9)+10)&amp;":"&amp;ADDRESS(1000,COLUMN(E$9)+10))),
SUMIF(INDIRECT(Equipo!$E$4&amp;"!B10:B1000"),$B109,INDIRECT(Equipo!$E$4&amp;"!"&amp;ADDRESS(10,COLUMN(E$9)+10)&amp;":"&amp;ADDRESS(1000,COLUMN(E$9)+10))),
SUMIF(INDIRECT(Equipo!$F$4&amp;"!B10:B1000"),$B109,INDIRECT(Equipo!$F$4&amp;"!"&amp;ADDRESS(10,COLUMN(E$9)+10)&amp;":"&amp;ADDRESS(1000,COLUMN(E$9)+10))),
SUMIF(INDIRECT(Equipo!$G$4&amp;"!B10:B1000"),$B109,INDIRECT(Equipo!$G$4&amp;"!"&amp;ADDRESS(10,COLUMN(E$9)+10)&amp;":"&amp;ADDRESS(1000,COLUMN(E$9)+10)))
))</f>
        <v>-</v>
      </c>
      <c r="F109" s="19" t="str">
        <f t="array" ref="F109">IF(ISBLANK(Tareas!$B105),"-",
SUM(
SUMIF(INDIRECT(Equipo!$C$4&amp;"!B10:B1000"),$B109,INDIRECT(Equipo!$C$4&amp;"!"&amp;ADDRESS(10,COLUMN(F$9)+10)&amp;":"&amp;ADDRESS(1000,COLUMN(F$9)+10))),
SUMIF(INDIRECT(Equipo!$D$4&amp;"!B10:B1000"),$B109,INDIRECT(Equipo!$D$4&amp;"!"&amp;ADDRESS(10,COLUMN(F$9)+10)&amp;":"&amp;ADDRESS(1000,COLUMN(F$9)+10))),
SUMIF(INDIRECT(Equipo!$E$4&amp;"!B10:B1000"),$B109,INDIRECT(Equipo!$E$4&amp;"!"&amp;ADDRESS(10,COLUMN(F$9)+10)&amp;":"&amp;ADDRESS(1000,COLUMN(F$9)+10))),
SUMIF(INDIRECT(Equipo!$F$4&amp;"!B10:B1000"),$B109,INDIRECT(Equipo!$F$4&amp;"!"&amp;ADDRESS(10,COLUMN(F$9)+10)&amp;":"&amp;ADDRESS(1000,COLUMN(F$9)+10))),
SUMIF(INDIRECT(Equipo!$G$4&amp;"!B10:B1000"),$B109,INDIRECT(Equipo!$G$4&amp;"!"&amp;ADDRESS(10,COLUMN(F$9)+10)&amp;":"&amp;ADDRESS(1000,COLUMN(F$9)+10)))
))</f>
        <v>-</v>
      </c>
      <c r="G109" s="19" t="str">
        <f t="array" ref="G109">IF(ISBLANK(Tareas!$B105),"-",
SUM(
SUMIF(INDIRECT(Equipo!$C$4&amp;"!B10:B1000"),$B109,INDIRECT(Equipo!$C$4&amp;"!"&amp;ADDRESS(10,COLUMN(G$9)+10)&amp;":"&amp;ADDRESS(1000,COLUMN(G$9)+10))),
SUMIF(INDIRECT(Equipo!$D$4&amp;"!B10:B1000"),$B109,INDIRECT(Equipo!$D$4&amp;"!"&amp;ADDRESS(10,COLUMN(G$9)+10)&amp;":"&amp;ADDRESS(1000,COLUMN(G$9)+10))),
SUMIF(INDIRECT(Equipo!$E$4&amp;"!B10:B1000"),$B109,INDIRECT(Equipo!$E$4&amp;"!"&amp;ADDRESS(10,COLUMN(G$9)+10)&amp;":"&amp;ADDRESS(1000,COLUMN(G$9)+10))),
SUMIF(INDIRECT(Equipo!$F$4&amp;"!B10:B1000"),$B109,INDIRECT(Equipo!$F$4&amp;"!"&amp;ADDRESS(10,COLUMN(G$9)+10)&amp;":"&amp;ADDRESS(1000,COLUMN(G$9)+10))),
SUMIF(INDIRECT(Equipo!$G$4&amp;"!B10:B1000"),$B109,INDIRECT(Equipo!$G$4&amp;"!"&amp;ADDRESS(10,COLUMN(G$9)+10)&amp;":"&amp;ADDRESS(1000,COLUMN(G$9)+10)))
))</f>
        <v>-</v>
      </c>
      <c r="H109" s="19" t="str">
        <f t="array" ref="H109">IF(ISBLANK(Tareas!$B105),"-",
SUM(
SUMIF(INDIRECT(Equipo!$C$4&amp;"!B10:B1000"),$B109,INDIRECT(Equipo!$C$4&amp;"!"&amp;ADDRESS(10,COLUMN(H$9)+10)&amp;":"&amp;ADDRESS(1000,COLUMN(H$9)+10))),
SUMIF(INDIRECT(Equipo!$D$4&amp;"!B10:B1000"),$B109,INDIRECT(Equipo!$D$4&amp;"!"&amp;ADDRESS(10,COLUMN(H$9)+10)&amp;":"&amp;ADDRESS(1000,COLUMN(H$9)+10))),
SUMIF(INDIRECT(Equipo!$E$4&amp;"!B10:B1000"),$B109,INDIRECT(Equipo!$E$4&amp;"!"&amp;ADDRESS(10,COLUMN(H$9)+10)&amp;":"&amp;ADDRESS(1000,COLUMN(H$9)+10))),
SUMIF(INDIRECT(Equipo!$F$4&amp;"!B10:B1000"),$B109,INDIRECT(Equipo!$F$4&amp;"!"&amp;ADDRESS(10,COLUMN(H$9)+10)&amp;":"&amp;ADDRESS(1000,COLUMN(H$9)+10))),
SUMIF(INDIRECT(Equipo!$G$4&amp;"!B10:B1000"),$B109,INDIRECT(Equipo!$G$4&amp;"!"&amp;ADDRESS(10,COLUMN(H$9)+10)&amp;":"&amp;ADDRESS(1000,COLUMN(H$9)+10)))
))</f>
        <v>-</v>
      </c>
      <c r="I109" s="19" t="str">
        <f t="array" ref="I109">IF(ISBLANK(Tareas!$B105),"-",
SUM(
SUMIF(INDIRECT(Equipo!$C$4&amp;"!B10:B1000"),$B109,INDIRECT(Equipo!$C$4&amp;"!"&amp;ADDRESS(10,COLUMN(I$9)+10)&amp;":"&amp;ADDRESS(1000,COLUMN(I$9)+10))),
SUMIF(INDIRECT(Equipo!$D$4&amp;"!B10:B1000"),$B109,INDIRECT(Equipo!$D$4&amp;"!"&amp;ADDRESS(10,COLUMN(I$9)+10)&amp;":"&amp;ADDRESS(1000,COLUMN(I$9)+10))),
SUMIF(INDIRECT(Equipo!$E$4&amp;"!B10:B1000"),$B109,INDIRECT(Equipo!$E$4&amp;"!"&amp;ADDRESS(10,COLUMN(I$9)+10)&amp;":"&amp;ADDRESS(1000,COLUMN(I$9)+10))),
SUMIF(INDIRECT(Equipo!$F$4&amp;"!B10:B1000"),$B109,INDIRECT(Equipo!$F$4&amp;"!"&amp;ADDRESS(10,COLUMN(I$9)+10)&amp;":"&amp;ADDRESS(1000,COLUMN(I$9)+10))),
SUMIF(INDIRECT(Equipo!$G$4&amp;"!B10:B1000"),$B109,INDIRECT(Equipo!$G$4&amp;"!"&amp;ADDRESS(10,COLUMN(I$9)+10)&amp;":"&amp;ADDRESS(1000,COLUMN(I$9)+10)))
))</f>
        <v>-</v>
      </c>
      <c r="J109" s="19" t="str">
        <f t="array" ref="J109">IF(ISBLANK(Tareas!$B105),"-",
SUM(
SUMIF(INDIRECT(Equipo!$C$4&amp;"!B10:B1000"),$B109,INDIRECT(Equipo!$C$4&amp;"!"&amp;ADDRESS(10,COLUMN(J$9)+10)&amp;":"&amp;ADDRESS(1000,COLUMN(J$9)+10))),
SUMIF(INDIRECT(Equipo!$D$4&amp;"!B10:B1000"),$B109,INDIRECT(Equipo!$D$4&amp;"!"&amp;ADDRESS(10,COLUMN(J$9)+10)&amp;":"&amp;ADDRESS(1000,COLUMN(J$9)+10))),
SUMIF(INDIRECT(Equipo!$E$4&amp;"!B10:B1000"),$B109,INDIRECT(Equipo!$E$4&amp;"!"&amp;ADDRESS(10,COLUMN(J$9)+10)&amp;":"&amp;ADDRESS(1000,COLUMN(J$9)+10))),
SUMIF(INDIRECT(Equipo!$F$4&amp;"!B10:B1000"),$B109,INDIRECT(Equipo!$F$4&amp;"!"&amp;ADDRESS(10,COLUMN(J$9)+10)&amp;":"&amp;ADDRESS(1000,COLUMN(J$9)+10))),
SUMIF(INDIRECT(Equipo!$G$4&amp;"!B10:B1000"),$B109,INDIRECT(Equipo!$G$4&amp;"!"&amp;ADDRESS(10,COLUMN(J$9)+10)&amp;":"&amp;ADDRESS(1000,COLUMN(J$9)+10)))
))</f>
        <v>-</v>
      </c>
      <c r="K109" s="19" t="str">
        <f t="array" ref="K109">IF(ISBLANK(Tareas!$B105),"-",
SUM(
SUMIF(INDIRECT(Equipo!$C$4&amp;"!B10:B1000"),$B109,INDIRECT(Equipo!$C$4&amp;"!"&amp;ADDRESS(10,COLUMN(K$9)+10)&amp;":"&amp;ADDRESS(1000,COLUMN(K$9)+10))),
SUMIF(INDIRECT(Equipo!$D$4&amp;"!B10:B1000"),$B109,INDIRECT(Equipo!$D$4&amp;"!"&amp;ADDRESS(10,COLUMN(K$9)+10)&amp;":"&amp;ADDRESS(1000,COLUMN(K$9)+10))),
SUMIF(INDIRECT(Equipo!$E$4&amp;"!B10:B1000"),$B109,INDIRECT(Equipo!$E$4&amp;"!"&amp;ADDRESS(10,COLUMN(K$9)+10)&amp;":"&amp;ADDRESS(1000,COLUMN(K$9)+10))),
SUMIF(INDIRECT(Equipo!$F$4&amp;"!B10:B1000"),$B109,INDIRECT(Equipo!$F$4&amp;"!"&amp;ADDRESS(10,COLUMN(K$9)+10)&amp;":"&amp;ADDRESS(1000,COLUMN(K$9)+10))),
SUMIF(INDIRECT(Equipo!$G$4&amp;"!B10:B1000"),$B109,INDIRECT(Equipo!$G$4&amp;"!"&amp;ADDRESS(10,COLUMN(K$9)+10)&amp;":"&amp;ADDRESS(1000,COLUMN(K$9)+10)))
))</f>
        <v>-</v>
      </c>
    </row>
    <row r="110" ht="15.75" customHeight="1">
      <c r="C110" s="19" t="str">
        <f>IF(ISBLANK(Tareas!$B106),"-",SUM(D110:K110))</f>
        <v>-</v>
      </c>
      <c r="D110" s="19" t="str">
        <f t="array" ref="D110">IF(ISBLANK(Tareas!$B106),"-",
SUM(
SUMIF(INDIRECT(Equipo!$C$4&amp;"!B10:B1000"),$B110,INDIRECT(Equipo!$C$4&amp;"!"&amp;ADDRESS(10,COLUMN(D$9)+10)&amp;":"&amp;ADDRESS(1000,COLUMN(D$9)+10))),
SUMIF(INDIRECT(Equipo!$D$4&amp;"!B10:B1000"),$B110,INDIRECT(Equipo!$D$4&amp;"!"&amp;ADDRESS(10,COLUMN(D$9)+10)&amp;":"&amp;ADDRESS(1000,COLUMN(D$9)+10))),
SUMIF(INDIRECT(Equipo!$E$4&amp;"!B10:B1000"),$B110,INDIRECT(Equipo!$E$4&amp;"!"&amp;ADDRESS(10,COLUMN(D$9)+10)&amp;":"&amp;ADDRESS(1000,COLUMN(D$9)+10))),
SUMIF(INDIRECT(Equipo!$F$4&amp;"!B10:B1000"),$B110,INDIRECT(Equipo!$F$4&amp;"!"&amp;ADDRESS(10,COLUMN(D$9)+10)&amp;":"&amp;ADDRESS(1000,COLUMN(D$9)+10))),
SUMIF(INDIRECT(Equipo!$G$4&amp;"!B10:B1000"),$B110,INDIRECT(Equipo!$G$4&amp;"!"&amp;ADDRESS(10,COLUMN(D$9)+10)&amp;":"&amp;ADDRESS(1000,COLUMN(D$9)+10)))
))</f>
        <v>-</v>
      </c>
      <c r="E110" s="19" t="str">
        <f t="array" ref="E110">IF(ISBLANK(Tareas!$B106),"-",
SUM(
SUMIF(INDIRECT(Equipo!$C$4&amp;"!B10:B1000"),$B110,INDIRECT(Equipo!$C$4&amp;"!"&amp;ADDRESS(10,COLUMN(E$9)+10)&amp;":"&amp;ADDRESS(1000,COLUMN(E$9)+10))),
SUMIF(INDIRECT(Equipo!$D$4&amp;"!B10:B1000"),$B110,INDIRECT(Equipo!$D$4&amp;"!"&amp;ADDRESS(10,COLUMN(E$9)+10)&amp;":"&amp;ADDRESS(1000,COLUMN(E$9)+10))),
SUMIF(INDIRECT(Equipo!$E$4&amp;"!B10:B1000"),$B110,INDIRECT(Equipo!$E$4&amp;"!"&amp;ADDRESS(10,COLUMN(E$9)+10)&amp;":"&amp;ADDRESS(1000,COLUMN(E$9)+10))),
SUMIF(INDIRECT(Equipo!$F$4&amp;"!B10:B1000"),$B110,INDIRECT(Equipo!$F$4&amp;"!"&amp;ADDRESS(10,COLUMN(E$9)+10)&amp;":"&amp;ADDRESS(1000,COLUMN(E$9)+10))),
SUMIF(INDIRECT(Equipo!$G$4&amp;"!B10:B1000"),$B110,INDIRECT(Equipo!$G$4&amp;"!"&amp;ADDRESS(10,COLUMN(E$9)+10)&amp;":"&amp;ADDRESS(1000,COLUMN(E$9)+10)))
))</f>
        <v>-</v>
      </c>
      <c r="F110" s="19" t="str">
        <f t="array" ref="F110">IF(ISBLANK(Tareas!$B106),"-",
SUM(
SUMIF(INDIRECT(Equipo!$C$4&amp;"!B10:B1000"),$B110,INDIRECT(Equipo!$C$4&amp;"!"&amp;ADDRESS(10,COLUMN(F$9)+10)&amp;":"&amp;ADDRESS(1000,COLUMN(F$9)+10))),
SUMIF(INDIRECT(Equipo!$D$4&amp;"!B10:B1000"),$B110,INDIRECT(Equipo!$D$4&amp;"!"&amp;ADDRESS(10,COLUMN(F$9)+10)&amp;":"&amp;ADDRESS(1000,COLUMN(F$9)+10))),
SUMIF(INDIRECT(Equipo!$E$4&amp;"!B10:B1000"),$B110,INDIRECT(Equipo!$E$4&amp;"!"&amp;ADDRESS(10,COLUMN(F$9)+10)&amp;":"&amp;ADDRESS(1000,COLUMN(F$9)+10))),
SUMIF(INDIRECT(Equipo!$F$4&amp;"!B10:B1000"),$B110,INDIRECT(Equipo!$F$4&amp;"!"&amp;ADDRESS(10,COLUMN(F$9)+10)&amp;":"&amp;ADDRESS(1000,COLUMN(F$9)+10))),
SUMIF(INDIRECT(Equipo!$G$4&amp;"!B10:B1000"),$B110,INDIRECT(Equipo!$G$4&amp;"!"&amp;ADDRESS(10,COLUMN(F$9)+10)&amp;":"&amp;ADDRESS(1000,COLUMN(F$9)+10)))
))</f>
        <v>-</v>
      </c>
      <c r="G110" s="19" t="str">
        <f t="array" ref="G110">IF(ISBLANK(Tareas!$B106),"-",
SUM(
SUMIF(INDIRECT(Equipo!$C$4&amp;"!B10:B1000"),$B110,INDIRECT(Equipo!$C$4&amp;"!"&amp;ADDRESS(10,COLUMN(G$9)+10)&amp;":"&amp;ADDRESS(1000,COLUMN(G$9)+10))),
SUMIF(INDIRECT(Equipo!$D$4&amp;"!B10:B1000"),$B110,INDIRECT(Equipo!$D$4&amp;"!"&amp;ADDRESS(10,COLUMN(G$9)+10)&amp;":"&amp;ADDRESS(1000,COLUMN(G$9)+10))),
SUMIF(INDIRECT(Equipo!$E$4&amp;"!B10:B1000"),$B110,INDIRECT(Equipo!$E$4&amp;"!"&amp;ADDRESS(10,COLUMN(G$9)+10)&amp;":"&amp;ADDRESS(1000,COLUMN(G$9)+10))),
SUMIF(INDIRECT(Equipo!$F$4&amp;"!B10:B1000"),$B110,INDIRECT(Equipo!$F$4&amp;"!"&amp;ADDRESS(10,COLUMN(G$9)+10)&amp;":"&amp;ADDRESS(1000,COLUMN(G$9)+10))),
SUMIF(INDIRECT(Equipo!$G$4&amp;"!B10:B1000"),$B110,INDIRECT(Equipo!$G$4&amp;"!"&amp;ADDRESS(10,COLUMN(G$9)+10)&amp;":"&amp;ADDRESS(1000,COLUMN(G$9)+10)))
))</f>
        <v>-</v>
      </c>
      <c r="H110" s="19" t="str">
        <f t="array" ref="H110">IF(ISBLANK(Tareas!$B106),"-",
SUM(
SUMIF(INDIRECT(Equipo!$C$4&amp;"!B10:B1000"),$B110,INDIRECT(Equipo!$C$4&amp;"!"&amp;ADDRESS(10,COLUMN(H$9)+10)&amp;":"&amp;ADDRESS(1000,COLUMN(H$9)+10))),
SUMIF(INDIRECT(Equipo!$D$4&amp;"!B10:B1000"),$B110,INDIRECT(Equipo!$D$4&amp;"!"&amp;ADDRESS(10,COLUMN(H$9)+10)&amp;":"&amp;ADDRESS(1000,COLUMN(H$9)+10))),
SUMIF(INDIRECT(Equipo!$E$4&amp;"!B10:B1000"),$B110,INDIRECT(Equipo!$E$4&amp;"!"&amp;ADDRESS(10,COLUMN(H$9)+10)&amp;":"&amp;ADDRESS(1000,COLUMN(H$9)+10))),
SUMIF(INDIRECT(Equipo!$F$4&amp;"!B10:B1000"),$B110,INDIRECT(Equipo!$F$4&amp;"!"&amp;ADDRESS(10,COLUMN(H$9)+10)&amp;":"&amp;ADDRESS(1000,COLUMN(H$9)+10))),
SUMIF(INDIRECT(Equipo!$G$4&amp;"!B10:B1000"),$B110,INDIRECT(Equipo!$G$4&amp;"!"&amp;ADDRESS(10,COLUMN(H$9)+10)&amp;":"&amp;ADDRESS(1000,COLUMN(H$9)+10)))
))</f>
        <v>-</v>
      </c>
      <c r="I110" s="19" t="str">
        <f t="array" ref="I110">IF(ISBLANK(Tareas!$B106),"-",
SUM(
SUMIF(INDIRECT(Equipo!$C$4&amp;"!B10:B1000"),$B110,INDIRECT(Equipo!$C$4&amp;"!"&amp;ADDRESS(10,COLUMN(I$9)+10)&amp;":"&amp;ADDRESS(1000,COLUMN(I$9)+10))),
SUMIF(INDIRECT(Equipo!$D$4&amp;"!B10:B1000"),$B110,INDIRECT(Equipo!$D$4&amp;"!"&amp;ADDRESS(10,COLUMN(I$9)+10)&amp;":"&amp;ADDRESS(1000,COLUMN(I$9)+10))),
SUMIF(INDIRECT(Equipo!$E$4&amp;"!B10:B1000"),$B110,INDIRECT(Equipo!$E$4&amp;"!"&amp;ADDRESS(10,COLUMN(I$9)+10)&amp;":"&amp;ADDRESS(1000,COLUMN(I$9)+10))),
SUMIF(INDIRECT(Equipo!$F$4&amp;"!B10:B1000"),$B110,INDIRECT(Equipo!$F$4&amp;"!"&amp;ADDRESS(10,COLUMN(I$9)+10)&amp;":"&amp;ADDRESS(1000,COLUMN(I$9)+10))),
SUMIF(INDIRECT(Equipo!$G$4&amp;"!B10:B1000"),$B110,INDIRECT(Equipo!$G$4&amp;"!"&amp;ADDRESS(10,COLUMN(I$9)+10)&amp;":"&amp;ADDRESS(1000,COLUMN(I$9)+10)))
))</f>
        <v>-</v>
      </c>
      <c r="J110" s="19" t="str">
        <f t="array" ref="J110">IF(ISBLANK(Tareas!$B106),"-",
SUM(
SUMIF(INDIRECT(Equipo!$C$4&amp;"!B10:B1000"),$B110,INDIRECT(Equipo!$C$4&amp;"!"&amp;ADDRESS(10,COLUMN(J$9)+10)&amp;":"&amp;ADDRESS(1000,COLUMN(J$9)+10))),
SUMIF(INDIRECT(Equipo!$D$4&amp;"!B10:B1000"),$B110,INDIRECT(Equipo!$D$4&amp;"!"&amp;ADDRESS(10,COLUMN(J$9)+10)&amp;":"&amp;ADDRESS(1000,COLUMN(J$9)+10))),
SUMIF(INDIRECT(Equipo!$E$4&amp;"!B10:B1000"),$B110,INDIRECT(Equipo!$E$4&amp;"!"&amp;ADDRESS(10,COLUMN(J$9)+10)&amp;":"&amp;ADDRESS(1000,COLUMN(J$9)+10))),
SUMIF(INDIRECT(Equipo!$F$4&amp;"!B10:B1000"),$B110,INDIRECT(Equipo!$F$4&amp;"!"&amp;ADDRESS(10,COLUMN(J$9)+10)&amp;":"&amp;ADDRESS(1000,COLUMN(J$9)+10))),
SUMIF(INDIRECT(Equipo!$G$4&amp;"!B10:B1000"),$B110,INDIRECT(Equipo!$G$4&amp;"!"&amp;ADDRESS(10,COLUMN(J$9)+10)&amp;":"&amp;ADDRESS(1000,COLUMN(J$9)+10)))
))</f>
        <v>-</v>
      </c>
      <c r="K110" s="19" t="str">
        <f t="array" ref="K110">IF(ISBLANK(Tareas!$B106),"-",
SUM(
SUMIF(INDIRECT(Equipo!$C$4&amp;"!B10:B1000"),$B110,INDIRECT(Equipo!$C$4&amp;"!"&amp;ADDRESS(10,COLUMN(K$9)+10)&amp;":"&amp;ADDRESS(1000,COLUMN(K$9)+10))),
SUMIF(INDIRECT(Equipo!$D$4&amp;"!B10:B1000"),$B110,INDIRECT(Equipo!$D$4&amp;"!"&amp;ADDRESS(10,COLUMN(K$9)+10)&amp;":"&amp;ADDRESS(1000,COLUMN(K$9)+10))),
SUMIF(INDIRECT(Equipo!$E$4&amp;"!B10:B1000"),$B110,INDIRECT(Equipo!$E$4&amp;"!"&amp;ADDRESS(10,COLUMN(K$9)+10)&amp;":"&amp;ADDRESS(1000,COLUMN(K$9)+10))),
SUMIF(INDIRECT(Equipo!$F$4&amp;"!B10:B1000"),$B110,INDIRECT(Equipo!$F$4&amp;"!"&amp;ADDRESS(10,COLUMN(K$9)+10)&amp;":"&amp;ADDRESS(1000,COLUMN(K$9)+10))),
SUMIF(INDIRECT(Equipo!$G$4&amp;"!B10:B1000"),$B110,INDIRECT(Equipo!$G$4&amp;"!"&amp;ADDRESS(10,COLUMN(K$9)+10)&amp;":"&amp;ADDRESS(1000,COLUMN(K$9)+10)))
))</f>
        <v>-</v>
      </c>
    </row>
    <row r="111" ht="15.75" customHeight="1">
      <c r="C111" s="19" t="str">
        <f>IF(ISBLANK(Tareas!$B107),"-",SUM(D111:K111))</f>
        <v>-</v>
      </c>
      <c r="D111" s="19" t="str">
        <f t="array" ref="D111">IF(ISBLANK(Tareas!$B107),"-",
SUM(
SUMIF(INDIRECT(Equipo!$C$4&amp;"!B10:B1000"),$B111,INDIRECT(Equipo!$C$4&amp;"!"&amp;ADDRESS(10,COLUMN(D$9)+10)&amp;":"&amp;ADDRESS(1000,COLUMN(D$9)+10))),
SUMIF(INDIRECT(Equipo!$D$4&amp;"!B10:B1000"),$B111,INDIRECT(Equipo!$D$4&amp;"!"&amp;ADDRESS(10,COLUMN(D$9)+10)&amp;":"&amp;ADDRESS(1000,COLUMN(D$9)+10))),
SUMIF(INDIRECT(Equipo!$E$4&amp;"!B10:B1000"),$B111,INDIRECT(Equipo!$E$4&amp;"!"&amp;ADDRESS(10,COLUMN(D$9)+10)&amp;":"&amp;ADDRESS(1000,COLUMN(D$9)+10))),
SUMIF(INDIRECT(Equipo!$F$4&amp;"!B10:B1000"),$B111,INDIRECT(Equipo!$F$4&amp;"!"&amp;ADDRESS(10,COLUMN(D$9)+10)&amp;":"&amp;ADDRESS(1000,COLUMN(D$9)+10))),
SUMIF(INDIRECT(Equipo!$G$4&amp;"!B10:B1000"),$B111,INDIRECT(Equipo!$G$4&amp;"!"&amp;ADDRESS(10,COLUMN(D$9)+10)&amp;":"&amp;ADDRESS(1000,COLUMN(D$9)+10)))
))</f>
        <v>-</v>
      </c>
      <c r="E111" s="19" t="str">
        <f t="array" ref="E111">IF(ISBLANK(Tareas!$B107),"-",
SUM(
SUMIF(INDIRECT(Equipo!$C$4&amp;"!B10:B1000"),$B111,INDIRECT(Equipo!$C$4&amp;"!"&amp;ADDRESS(10,COLUMN(E$9)+10)&amp;":"&amp;ADDRESS(1000,COLUMN(E$9)+10))),
SUMIF(INDIRECT(Equipo!$D$4&amp;"!B10:B1000"),$B111,INDIRECT(Equipo!$D$4&amp;"!"&amp;ADDRESS(10,COLUMN(E$9)+10)&amp;":"&amp;ADDRESS(1000,COLUMN(E$9)+10))),
SUMIF(INDIRECT(Equipo!$E$4&amp;"!B10:B1000"),$B111,INDIRECT(Equipo!$E$4&amp;"!"&amp;ADDRESS(10,COLUMN(E$9)+10)&amp;":"&amp;ADDRESS(1000,COLUMN(E$9)+10))),
SUMIF(INDIRECT(Equipo!$F$4&amp;"!B10:B1000"),$B111,INDIRECT(Equipo!$F$4&amp;"!"&amp;ADDRESS(10,COLUMN(E$9)+10)&amp;":"&amp;ADDRESS(1000,COLUMN(E$9)+10))),
SUMIF(INDIRECT(Equipo!$G$4&amp;"!B10:B1000"),$B111,INDIRECT(Equipo!$G$4&amp;"!"&amp;ADDRESS(10,COLUMN(E$9)+10)&amp;":"&amp;ADDRESS(1000,COLUMN(E$9)+10)))
))</f>
        <v>-</v>
      </c>
      <c r="F111" s="19" t="str">
        <f t="array" ref="F111">IF(ISBLANK(Tareas!$B107),"-",
SUM(
SUMIF(INDIRECT(Equipo!$C$4&amp;"!B10:B1000"),$B111,INDIRECT(Equipo!$C$4&amp;"!"&amp;ADDRESS(10,COLUMN(F$9)+10)&amp;":"&amp;ADDRESS(1000,COLUMN(F$9)+10))),
SUMIF(INDIRECT(Equipo!$D$4&amp;"!B10:B1000"),$B111,INDIRECT(Equipo!$D$4&amp;"!"&amp;ADDRESS(10,COLUMN(F$9)+10)&amp;":"&amp;ADDRESS(1000,COLUMN(F$9)+10))),
SUMIF(INDIRECT(Equipo!$E$4&amp;"!B10:B1000"),$B111,INDIRECT(Equipo!$E$4&amp;"!"&amp;ADDRESS(10,COLUMN(F$9)+10)&amp;":"&amp;ADDRESS(1000,COLUMN(F$9)+10))),
SUMIF(INDIRECT(Equipo!$F$4&amp;"!B10:B1000"),$B111,INDIRECT(Equipo!$F$4&amp;"!"&amp;ADDRESS(10,COLUMN(F$9)+10)&amp;":"&amp;ADDRESS(1000,COLUMN(F$9)+10))),
SUMIF(INDIRECT(Equipo!$G$4&amp;"!B10:B1000"),$B111,INDIRECT(Equipo!$G$4&amp;"!"&amp;ADDRESS(10,COLUMN(F$9)+10)&amp;":"&amp;ADDRESS(1000,COLUMN(F$9)+10)))
))</f>
        <v>-</v>
      </c>
      <c r="G111" s="19" t="str">
        <f t="array" ref="G111">IF(ISBLANK(Tareas!$B107),"-",
SUM(
SUMIF(INDIRECT(Equipo!$C$4&amp;"!B10:B1000"),$B111,INDIRECT(Equipo!$C$4&amp;"!"&amp;ADDRESS(10,COLUMN(G$9)+10)&amp;":"&amp;ADDRESS(1000,COLUMN(G$9)+10))),
SUMIF(INDIRECT(Equipo!$D$4&amp;"!B10:B1000"),$B111,INDIRECT(Equipo!$D$4&amp;"!"&amp;ADDRESS(10,COLUMN(G$9)+10)&amp;":"&amp;ADDRESS(1000,COLUMN(G$9)+10))),
SUMIF(INDIRECT(Equipo!$E$4&amp;"!B10:B1000"),$B111,INDIRECT(Equipo!$E$4&amp;"!"&amp;ADDRESS(10,COLUMN(G$9)+10)&amp;":"&amp;ADDRESS(1000,COLUMN(G$9)+10))),
SUMIF(INDIRECT(Equipo!$F$4&amp;"!B10:B1000"),$B111,INDIRECT(Equipo!$F$4&amp;"!"&amp;ADDRESS(10,COLUMN(G$9)+10)&amp;":"&amp;ADDRESS(1000,COLUMN(G$9)+10))),
SUMIF(INDIRECT(Equipo!$G$4&amp;"!B10:B1000"),$B111,INDIRECT(Equipo!$G$4&amp;"!"&amp;ADDRESS(10,COLUMN(G$9)+10)&amp;":"&amp;ADDRESS(1000,COLUMN(G$9)+10)))
))</f>
        <v>-</v>
      </c>
      <c r="H111" s="19" t="str">
        <f t="array" ref="H111">IF(ISBLANK(Tareas!$B107),"-",
SUM(
SUMIF(INDIRECT(Equipo!$C$4&amp;"!B10:B1000"),$B111,INDIRECT(Equipo!$C$4&amp;"!"&amp;ADDRESS(10,COLUMN(H$9)+10)&amp;":"&amp;ADDRESS(1000,COLUMN(H$9)+10))),
SUMIF(INDIRECT(Equipo!$D$4&amp;"!B10:B1000"),$B111,INDIRECT(Equipo!$D$4&amp;"!"&amp;ADDRESS(10,COLUMN(H$9)+10)&amp;":"&amp;ADDRESS(1000,COLUMN(H$9)+10))),
SUMIF(INDIRECT(Equipo!$E$4&amp;"!B10:B1000"),$B111,INDIRECT(Equipo!$E$4&amp;"!"&amp;ADDRESS(10,COLUMN(H$9)+10)&amp;":"&amp;ADDRESS(1000,COLUMN(H$9)+10))),
SUMIF(INDIRECT(Equipo!$F$4&amp;"!B10:B1000"),$B111,INDIRECT(Equipo!$F$4&amp;"!"&amp;ADDRESS(10,COLUMN(H$9)+10)&amp;":"&amp;ADDRESS(1000,COLUMN(H$9)+10))),
SUMIF(INDIRECT(Equipo!$G$4&amp;"!B10:B1000"),$B111,INDIRECT(Equipo!$G$4&amp;"!"&amp;ADDRESS(10,COLUMN(H$9)+10)&amp;":"&amp;ADDRESS(1000,COLUMN(H$9)+10)))
))</f>
        <v>-</v>
      </c>
      <c r="I111" s="19" t="str">
        <f t="array" ref="I111">IF(ISBLANK(Tareas!$B107),"-",
SUM(
SUMIF(INDIRECT(Equipo!$C$4&amp;"!B10:B1000"),$B111,INDIRECT(Equipo!$C$4&amp;"!"&amp;ADDRESS(10,COLUMN(I$9)+10)&amp;":"&amp;ADDRESS(1000,COLUMN(I$9)+10))),
SUMIF(INDIRECT(Equipo!$D$4&amp;"!B10:B1000"),$B111,INDIRECT(Equipo!$D$4&amp;"!"&amp;ADDRESS(10,COLUMN(I$9)+10)&amp;":"&amp;ADDRESS(1000,COLUMN(I$9)+10))),
SUMIF(INDIRECT(Equipo!$E$4&amp;"!B10:B1000"),$B111,INDIRECT(Equipo!$E$4&amp;"!"&amp;ADDRESS(10,COLUMN(I$9)+10)&amp;":"&amp;ADDRESS(1000,COLUMN(I$9)+10))),
SUMIF(INDIRECT(Equipo!$F$4&amp;"!B10:B1000"),$B111,INDIRECT(Equipo!$F$4&amp;"!"&amp;ADDRESS(10,COLUMN(I$9)+10)&amp;":"&amp;ADDRESS(1000,COLUMN(I$9)+10))),
SUMIF(INDIRECT(Equipo!$G$4&amp;"!B10:B1000"),$B111,INDIRECT(Equipo!$G$4&amp;"!"&amp;ADDRESS(10,COLUMN(I$9)+10)&amp;":"&amp;ADDRESS(1000,COLUMN(I$9)+10)))
))</f>
        <v>-</v>
      </c>
      <c r="J111" s="19" t="str">
        <f t="array" ref="J111">IF(ISBLANK(Tareas!$B107),"-",
SUM(
SUMIF(INDIRECT(Equipo!$C$4&amp;"!B10:B1000"),$B111,INDIRECT(Equipo!$C$4&amp;"!"&amp;ADDRESS(10,COLUMN(J$9)+10)&amp;":"&amp;ADDRESS(1000,COLUMN(J$9)+10))),
SUMIF(INDIRECT(Equipo!$D$4&amp;"!B10:B1000"),$B111,INDIRECT(Equipo!$D$4&amp;"!"&amp;ADDRESS(10,COLUMN(J$9)+10)&amp;":"&amp;ADDRESS(1000,COLUMN(J$9)+10))),
SUMIF(INDIRECT(Equipo!$E$4&amp;"!B10:B1000"),$B111,INDIRECT(Equipo!$E$4&amp;"!"&amp;ADDRESS(10,COLUMN(J$9)+10)&amp;":"&amp;ADDRESS(1000,COLUMN(J$9)+10))),
SUMIF(INDIRECT(Equipo!$F$4&amp;"!B10:B1000"),$B111,INDIRECT(Equipo!$F$4&amp;"!"&amp;ADDRESS(10,COLUMN(J$9)+10)&amp;":"&amp;ADDRESS(1000,COLUMN(J$9)+10))),
SUMIF(INDIRECT(Equipo!$G$4&amp;"!B10:B1000"),$B111,INDIRECT(Equipo!$G$4&amp;"!"&amp;ADDRESS(10,COLUMN(J$9)+10)&amp;":"&amp;ADDRESS(1000,COLUMN(J$9)+10)))
))</f>
        <v>-</v>
      </c>
      <c r="K111" s="19" t="str">
        <f t="array" ref="K111">IF(ISBLANK(Tareas!$B107),"-",
SUM(
SUMIF(INDIRECT(Equipo!$C$4&amp;"!B10:B1000"),$B111,INDIRECT(Equipo!$C$4&amp;"!"&amp;ADDRESS(10,COLUMN(K$9)+10)&amp;":"&amp;ADDRESS(1000,COLUMN(K$9)+10))),
SUMIF(INDIRECT(Equipo!$D$4&amp;"!B10:B1000"),$B111,INDIRECT(Equipo!$D$4&amp;"!"&amp;ADDRESS(10,COLUMN(K$9)+10)&amp;":"&amp;ADDRESS(1000,COLUMN(K$9)+10))),
SUMIF(INDIRECT(Equipo!$E$4&amp;"!B10:B1000"),$B111,INDIRECT(Equipo!$E$4&amp;"!"&amp;ADDRESS(10,COLUMN(K$9)+10)&amp;":"&amp;ADDRESS(1000,COLUMN(K$9)+10))),
SUMIF(INDIRECT(Equipo!$F$4&amp;"!B10:B1000"),$B111,INDIRECT(Equipo!$F$4&amp;"!"&amp;ADDRESS(10,COLUMN(K$9)+10)&amp;":"&amp;ADDRESS(1000,COLUMN(K$9)+10))),
SUMIF(INDIRECT(Equipo!$G$4&amp;"!B10:B1000"),$B111,INDIRECT(Equipo!$G$4&amp;"!"&amp;ADDRESS(10,COLUMN(K$9)+10)&amp;":"&amp;ADDRESS(1000,COLUMN(K$9)+10)))
))</f>
        <v>-</v>
      </c>
    </row>
    <row r="112" ht="15.75" customHeight="1">
      <c r="C112" s="19" t="str">
        <f>IF(ISBLANK(Tareas!$B108),"-",SUM(D112:K112))</f>
        <v>-</v>
      </c>
      <c r="D112" s="19" t="str">
        <f t="array" ref="D112">IF(ISBLANK(Tareas!$B108),"-",
SUM(
SUMIF(INDIRECT(Equipo!$C$4&amp;"!B10:B1000"),$B112,INDIRECT(Equipo!$C$4&amp;"!"&amp;ADDRESS(10,COLUMN(D$9)+10)&amp;":"&amp;ADDRESS(1000,COLUMN(D$9)+10))),
SUMIF(INDIRECT(Equipo!$D$4&amp;"!B10:B1000"),$B112,INDIRECT(Equipo!$D$4&amp;"!"&amp;ADDRESS(10,COLUMN(D$9)+10)&amp;":"&amp;ADDRESS(1000,COLUMN(D$9)+10))),
SUMIF(INDIRECT(Equipo!$E$4&amp;"!B10:B1000"),$B112,INDIRECT(Equipo!$E$4&amp;"!"&amp;ADDRESS(10,COLUMN(D$9)+10)&amp;":"&amp;ADDRESS(1000,COLUMN(D$9)+10))),
SUMIF(INDIRECT(Equipo!$F$4&amp;"!B10:B1000"),$B112,INDIRECT(Equipo!$F$4&amp;"!"&amp;ADDRESS(10,COLUMN(D$9)+10)&amp;":"&amp;ADDRESS(1000,COLUMN(D$9)+10))),
SUMIF(INDIRECT(Equipo!$G$4&amp;"!B10:B1000"),$B112,INDIRECT(Equipo!$G$4&amp;"!"&amp;ADDRESS(10,COLUMN(D$9)+10)&amp;":"&amp;ADDRESS(1000,COLUMN(D$9)+10)))
))</f>
        <v>-</v>
      </c>
      <c r="E112" s="19" t="str">
        <f t="array" ref="E112">IF(ISBLANK(Tareas!$B108),"-",
SUM(
SUMIF(INDIRECT(Equipo!$C$4&amp;"!B10:B1000"),$B112,INDIRECT(Equipo!$C$4&amp;"!"&amp;ADDRESS(10,COLUMN(E$9)+10)&amp;":"&amp;ADDRESS(1000,COLUMN(E$9)+10))),
SUMIF(INDIRECT(Equipo!$D$4&amp;"!B10:B1000"),$B112,INDIRECT(Equipo!$D$4&amp;"!"&amp;ADDRESS(10,COLUMN(E$9)+10)&amp;":"&amp;ADDRESS(1000,COLUMN(E$9)+10))),
SUMIF(INDIRECT(Equipo!$E$4&amp;"!B10:B1000"),$B112,INDIRECT(Equipo!$E$4&amp;"!"&amp;ADDRESS(10,COLUMN(E$9)+10)&amp;":"&amp;ADDRESS(1000,COLUMN(E$9)+10))),
SUMIF(INDIRECT(Equipo!$F$4&amp;"!B10:B1000"),$B112,INDIRECT(Equipo!$F$4&amp;"!"&amp;ADDRESS(10,COLUMN(E$9)+10)&amp;":"&amp;ADDRESS(1000,COLUMN(E$9)+10))),
SUMIF(INDIRECT(Equipo!$G$4&amp;"!B10:B1000"),$B112,INDIRECT(Equipo!$G$4&amp;"!"&amp;ADDRESS(10,COLUMN(E$9)+10)&amp;":"&amp;ADDRESS(1000,COLUMN(E$9)+10)))
))</f>
        <v>-</v>
      </c>
      <c r="F112" s="19" t="str">
        <f t="array" ref="F112">IF(ISBLANK(Tareas!$B108),"-",
SUM(
SUMIF(INDIRECT(Equipo!$C$4&amp;"!B10:B1000"),$B112,INDIRECT(Equipo!$C$4&amp;"!"&amp;ADDRESS(10,COLUMN(F$9)+10)&amp;":"&amp;ADDRESS(1000,COLUMN(F$9)+10))),
SUMIF(INDIRECT(Equipo!$D$4&amp;"!B10:B1000"),$B112,INDIRECT(Equipo!$D$4&amp;"!"&amp;ADDRESS(10,COLUMN(F$9)+10)&amp;":"&amp;ADDRESS(1000,COLUMN(F$9)+10))),
SUMIF(INDIRECT(Equipo!$E$4&amp;"!B10:B1000"),$B112,INDIRECT(Equipo!$E$4&amp;"!"&amp;ADDRESS(10,COLUMN(F$9)+10)&amp;":"&amp;ADDRESS(1000,COLUMN(F$9)+10))),
SUMIF(INDIRECT(Equipo!$F$4&amp;"!B10:B1000"),$B112,INDIRECT(Equipo!$F$4&amp;"!"&amp;ADDRESS(10,COLUMN(F$9)+10)&amp;":"&amp;ADDRESS(1000,COLUMN(F$9)+10))),
SUMIF(INDIRECT(Equipo!$G$4&amp;"!B10:B1000"),$B112,INDIRECT(Equipo!$G$4&amp;"!"&amp;ADDRESS(10,COLUMN(F$9)+10)&amp;":"&amp;ADDRESS(1000,COLUMN(F$9)+10)))
))</f>
        <v>-</v>
      </c>
      <c r="G112" s="19" t="str">
        <f t="array" ref="G112">IF(ISBLANK(Tareas!$B108),"-",
SUM(
SUMIF(INDIRECT(Equipo!$C$4&amp;"!B10:B1000"),$B112,INDIRECT(Equipo!$C$4&amp;"!"&amp;ADDRESS(10,COLUMN(G$9)+10)&amp;":"&amp;ADDRESS(1000,COLUMN(G$9)+10))),
SUMIF(INDIRECT(Equipo!$D$4&amp;"!B10:B1000"),$B112,INDIRECT(Equipo!$D$4&amp;"!"&amp;ADDRESS(10,COLUMN(G$9)+10)&amp;":"&amp;ADDRESS(1000,COLUMN(G$9)+10))),
SUMIF(INDIRECT(Equipo!$E$4&amp;"!B10:B1000"),$B112,INDIRECT(Equipo!$E$4&amp;"!"&amp;ADDRESS(10,COLUMN(G$9)+10)&amp;":"&amp;ADDRESS(1000,COLUMN(G$9)+10))),
SUMIF(INDIRECT(Equipo!$F$4&amp;"!B10:B1000"),$B112,INDIRECT(Equipo!$F$4&amp;"!"&amp;ADDRESS(10,COLUMN(G$9)+10)&amp;":"&amp;ADDRESS(1000,COLUMN(G$9)+10))),
SUMIF(INDIRECT(Equipo!$G$4&amp;"!B10:B1000"),$B112,INDIRECT(Equipo!$G$4&amp;"!"&amp;ADDRESS(10,COLUMN(G$9)+10)&amp;":"&amp;ADDRESS(1000,COLUMN(G$9)+10)))
))</f>
        <v>-</v>
      </c>
      <c r="H112" s="19" t="str">
        <f t="array" ref="H112">IF(ISBLANK(Tareas!$B108),"-",
SUM(
SUMIF(INDIRECT(Equipo!$C$4&amp;"!B10:B1000"),$B112,INDIRECT(Equipo!$C$4&amp;"!"&amp;ADDRESS(10,COLUMN(H$9)+10)&amp;":"&amp;ADDRESS(1000,COLUMN(H$9)+10))),
SUMIF(INDIRECT(Equipo!$D$4&amp;"!B10:B1000"),$B112,INDIRECT(Equipo!$D$4&amp;"!"&amp;ADDRESS(10,COLUMN(H$9)+10)&amp;":"&amp;ADDRESS(1000,COLUMN(H$9)+10))),
SUMIF(INDIRECT(Equipo!$E$4&amp;"!B10:B1000"),$B112,INDIRECT(Equipo!$E$4&amp;"!"&amp;ADDRESS(10,COLUMN(H$9)+10)&amp;":"&amp;ADDRESS(1000,COLUMN(H$9)+10))),
SUMIF(INDIRECT(Equipo!$F$4&amp;"!B10:B1000"),$B112,INDIRECT(Equipo!$F$4&amp;"!"&amp;ADDRESS(10,COLUMN(H$9)+10)&amp;":"&amp;ADDRESS(1000,COLUMN(H$9)+10))),
SUMIF(INDIRECT(Equipo!$G$4&amp;"!B10:B1000"),$B112,INDIRECT(Equipo!$G$4&amp;"!"&amp;ADDRESS(10,COLUMN(H$9)+10)&amp;":"&amp;ADDRESS(1000,COLUMN(H$9)+10)))
))</f>
        <v>-</v>
      </c>
      <c r="I112" s="19" t="str">
        <f t="array" ref="I112">IF(ISBLANK(Tareas!$B108),"-",
SUM(
SUMIF(INDIRECT(Equipo!$C$4&amp;"!B10:B1000"),$B112,INDIRECT(Equipo!$C$4&amp;"!"&amp;ADDRESS(10,COLUMN(I$9)+10)&amp;":"&amp;ADDRESS(1000,COLUMN(I$9)+10))),
SUMIF(INDIRECT(Equipo!$D$4&amp;"!B10:B1000"),$B112,INDIRECT(Equipo!$D$4&amp;"!"&amp;ADDRESS(10,COLUMN(I$9)+10)&amp;":"&amp;ADDRESS(1000,COLUMN(I$9)+10))),
SUMIF(INDIRECT(Equipo!$E$4&amp;"!B10:B1000"),$B112,INDIRECT(Equipo!$E$4&amp;"!"&amp;ADDRESS(10,COLUMN(I$9)+10)&amp;":"&amp;ADDRESS(1000,COLUMN(I$9)+10))),
SUMIF(INDIRECT(Equipo!$F$4&amp;"!B10:B1000"),$B112,INDIRECT(Equipo!$F$4&amp;"!"&amp;ADDRESS(10,COLUMN(I$9)+10)&amp;":"&amp;ADDRESS(1000,COLUMN(I$9)+10))),
SUMIF(INDIRECT(Equipo!$G$4&amp;"!B10:B1000"),$B112,INDIRECT(Equipo!$G$4&amp;"!"&amp;ADDRESS(10,COLUMN(I$9)+10)&amp;":"&amp;ADDRESS(1000,COLUMN(I$9)+10)))
))</f>
        <v>-</v>
      </c>
      <c r="J112" s="19" t="str">
        <f t="array" ref="J112">IF(ISBLANK(Tareas!$B108),"-",
SUM(
SUMIF(INDIRECT(Equipo!$C$4&amp;"!B10:B1000"),$B112,INDIRECT(Equipo!$C$4&amp;"!"&amp;ADDRESS(10,COLUMN(J$9)+10)&amp;":"&amp;ADDRESS(1000,COLUMN(J$9)+10))),
SUMIF(INDIRECT(Equipo!$D$4&amp;"!B10:B1000"),$B112,INDIRECT(Equipo!$D$4&amp;"!"&amp;ADDRESS(10,COLUMN(J$9)+10)&amp;":"&amp;ADDRESS(1000,COLUMN(J$9)+10))),
SUMIF(INDIRECT(Equipo!$E$4&amp;"!B10:B1000"),$B112,INDIRECT(Equipo!$E$4&amp;"!"&amp;ADDRESS(10,COLUMN(J$9)+10)&amp;":"&amp;ADDRESS(1000,COLUMN(J$9)+10))),
SUMIF(INDIRECT(Equipo!$F$4&amp;"!B10:B1000"),$B112,INDIRECT(Equipo!$F$4&amp;"!"&amp;ADDRESS(10,COLUMN(J$9)+10)&amp;":"&amp;ADDRESS(1000,COLUMN(J$9)+10))),
SUMIF(INDIRECT(Equipo!$G$4&amp;"!B10:B1000"),$B112,INDIRECT(Equipo!$G$4&amp;"!"&amp;ADDRESS(10,COLUMN(J$9)+10)&amp;":"&amp;ADDRESS(1000,COLUMN(J$9)+10)))
))</f>
        <v>-</v>
      </c>
      <c r="K112" s="19" t="str">
        <f t="array" ref="K112">IF(ISBLANK(Tareas!$B108),"-",
SUM(
SUMIF(INDIRECT(Equipo!$C$4&amp;"!B10:B1000"),$B112,INDIRECT(Equipo!$C$4&amp;"!"&amp;ADDRESS(10,COLUMN(K$9)+10)&amp;":"&amp;ADDRESS(1000,COLUMN(K$9)+10))),
SUMIF(INDIRECT(Equipo!$D$4&amp;"!B10:B1000"),$B112,INDIRECT(Equipo!$D$4&amp;"!"&amp;ADDRESS(10,COLUMN(K$9)+10)&amp;":"&amp;ADDRESS(1000,COLUMN(K$9)+10))),
SUMIF(INDIRECT(Equipo!$E$4&amp;"!B10:B1000"),$B112,INDIRECT(Equipo!$E$4&amp;"!"&amp;ADDRESS(10,COLUMN(K$9)+10)&amp;":"&amp;ADDRESS(1000,COLUMN(K$9)+10))),
SUMIF(INDIRECT(Equipo!$F$4&amp;"!B10:B1000"),$B112,INDIRECT(Equipo!$F$4&amp;"!"&amp;ADDRESS(10,COLUMN(K$9)+10)&amp;":"&amp;ADDRESS(1000,COLUMN(K$9)+10))),
SUMIF(INDIRECT(Equipo!$G$4&amp;"!B10:B1000"),$B112,INDIRECT(Equipo!$G$4&amp;"!"&amp;ADDRESS(10,COLUMN(K$9)+10)&amp;":"&amp;ADDRESS(1000,COLUMN(K$9)+10)))
))</f>
        <v>-</v>
      </c>
    </row>
    <row r="113" ht="15.75" customHeight="1">
      <c r="C113" s="19" t="str">
        <f>IF(ISBLANK(Tareas!$B109),"-",SUM(D113:K113))</f>
        <v>-</v>
      </c>
      <c r="D113" s="19" t="str">
        <f t="array" ref="D113">IF(ISBLANK(Tareas!$B109),"-",
SUM(
SUMIF(INDIRECT(Equipo!$C$4&amp;"!B10:B1000"),$B113,INDIRECT(Equipo!$C$4&amp;"!"&amp;ADDRESS(10,COLUMN(D$9)+10)&amp;":"&amp;ADDRESS(1000,COLUMN(D$9)+10))),
SUMIF(INDIRECT(Equipo!$D$4&amp;"!B10:B1000"),$B113,INDIRECT(Equipo!$D$4&amp;"!"&amp;ADDRESS(10,COLUMN(D$9)+10)&amp;":"&amp;ADDRESS(1000,COLUMN(D$9)+10))),
SUMIF(INDIRECT(Equipo!$E$4&amp;"!B10:B1000"),$B113,INDIRECT(Equipo!$E$4&amp;"!"&amp;ADDRESS(10,COLUMN(D$9)+10)&amp;":"&amp;ADDRESS(1000,COLUMN(D$9)+10))),
SUMIF(INDIRECT(Equipo!$F$4&amp;"!B10:B1000"),$B113,INDIRECT(Equipo!$F$4&amp;"!"&amp;ADDRESS(10,COLUMN(D$9)+10)&amp;":"&amp;ADDRESS(1000,COLUMN(D$9)+10))),
SUMIF(INDIRECT(Equipo!$G$4&amp;"!B10:B1000"),$B113,INDIRECT(Equipo!$G$4&amp;"!"&amp;ADDRESS(10,COLUMN(D$9)+10)&amp;":"&amp;ADDRESS(1000,COLUMN(D$9)+10)))
))</f>
        <v>-</v>
      </c>
      <c r="E113" s="19" t="str">
        <f t="array" ref="E113">IF(ISBLANK(Tareas!$B109),"-",
SUM(
SUMIF(INDIRECT(Equipo!$C$4&amp;"!B10:B1000"),$B113,INDIRECT(Equipo!$C$4&amp;"!"&amp;ADDRESS(10,COLUMN(E$9)+10)&amp;":"&amp;ADDRESS(1000,COLUMN(E$9)+10))),
SUMIF(INDIRECT(Equipo!$D$4&amp;"!B10:B1000"),$B113,INDIRECT(Equipo!$D$4&amp;"!"&amp;ADDRESS(10,COLUMN(E$9)+10)&amp;":"&amp;ADDRESS(1000,COLUMN(E$9)+10))),
SUMIF(INDIRECT(Equipo!$E$4&amp;"!B10:B1000"),$B113,INDIRECT(Equipo!$E$4&amp;"!"&amp;ADDRESS(10,COLUMN(E$9)+10)&amp;":"&amp;ADDRESS(1000,COLUMN(E$9)+10))),
SUMIF(INDIRECT(Equipo!$F$4&amp;"!B10:B1000"),$B113,INDIRECT(Equipo!$F$4&amp;"!"&amp;ADDRESS(10,COLUMN(E$9)+10)&amp;":"&amp;ADDRESS(1000,COLUMN(E$9)+10))),
SUMIF(INDIRECT(Equipo!$G$4&amp;"!B10:B1000"),$B113,INDIRECT(Equipo!$G$4&amp;"!"&amp;ADDRESS(10,COLUMN(E$9)+10)&amp;":"&amp;ADDRESS(1000,COLUMN(E$9)+10)))
))</f>
        <v>-</v>
      </c>
      <c r="F113" s="19" t="str">
        <f t="array" ref="F113">IF(ISBLANK(Tareas!$B109),"-",
SUM(
SUMIF(INDIRECT(Equipo!$C$4&amp;"!B10:B1000"),$B113,INDIRECT(Equipo!$C$4&amp;"!"&amp;ADDRESS(10,COLUMN(F$9)+10)&amp;":"&amp;ADDRESS(1000,COLUMN(F$9)+10))),
SUMIF(INDIRECT(Equipo!$D$4&amp;"!B10:B1000"),$B113,INDIRECT(Equipo!$D$4&amp;"!"&amp;ADDRESS(10,COLUMN(F$9)+10)&amp;":"&amp;ADDRESS(1000,COLUMN(F$9)+10))),
SUMIF(INDIRECT(Equipo!$E$4&amp;"!B10:B1000"),$B113,INDIRECT(Equipo!$E$4&amp;"!"&amp;ADDRESS(10,COLUMN(F$9)+10)&amp;":"&amp;ADDRESS(1000,COLUMN(F$9)+10))),
SUMIF(INDIRECT(Equipo!$F$4&amp;"!B10:B1000"),$B113,INDIRECT(Equipo!$F$4&amp;"!"&amp;ADDRESS(10,COLUMN(F$9)+10)&amp;":"&amp;ADDRESS(1000,COLUMN(F$9)+10))),
SUMIF(INDIRECT(Equipo!$G$4&amp;"!B10:B1000"),$B113,INDIRECT(Equipo!$G$4&amp;"!"&amp;ADDRESS(10,COLUMN(F$9)+10)&amp;":"&amp;ADDRESS(1000,COLUMN(F$9)+10)))
))</f>
        <v>-</v>
      </c>
      <c r="G113" s="19" t="str">
        <f t="array" ref="G113">IF(ISBLANK(Tareas!$B109),"-",
SUM(
SUMIF(INDIRECT(Equipo!$C$4&amp;"!B10:B1000"),$B113,INDIRECT(Equipo!$C$4&amp;"!"&amp;ADDRESS(10,COLUMN(G$9)+10)&amp;":"&amp;ADDRESS(1000,COLUMN(G$9)+10))),
SUMIF(INDIRECT(Equipo!$D$4&amp;"!B10:B1000"),$B113,INDIRECT(Equipo!$D$4&amp;"!"&amp;ADDRESS(10,COLUMN(G$9)+10)&amp;":"&amp;ADDRESS(1000,COLUMN(G$9)+10))),
SUMIF(INDIRECT(Equipo!$E$4&amp;"!B10:B1000"),$B113,INDIRECT(Equipo!$E$4&amp;"!"&amp;ADDRESS(10,COLUMN(G$9)+10)&amp;":"&amp;ADDRESS(1000,COLUMN(G$9)+10))),
SUMIF(INDIRECT(Equipo!$F$4&amp;"!B10:B1000"),$B113,INDIRECT(Equipo!$F$4&amp;"!"&amp;ADDRESS(10,COLUMN(G$9)+10)&amp;":"&amp;ADDRESS(1000,COLUMN(G$9)+10))),
SUMIF(INDIRECT(Equipo!$G$4&amp;"!B10:B1000"),$B113,INDIRECT(Equipo!$G$4&amp;"!"&amp;ADDRESS(10,COLUMN(G$9)+10)&amp;":"&amp;ADDRESS(1000,COLUMN(G$9)+10)))
))</f>
        <v>-</v>
      </c>
      <c r="H113" s="19" t="str">
        <f t="array" ref="H113">IF(ISBLANK(Tareas!$B109),"-",
SUM(
SUMIF(INDIRECT(Equipo!$C$4&amp;"!B10:B1000"),$B113,INDIRECT(Equipo!$C$4&amp;"!"&amp;ADDRESS(10,COLUMN(H$9)+10)&amp;":"&amp;ADDRESS(1000,COLUMN(H$9)+10))),
SUMIF(INDIRECT(Equipo!$D$4&amp;"!B10:B1000"),$B113,INDIRECT(Equipo!$D$4&amp;"!"&amp;ADDRESS(10,COLUMN(H$9)+10)&amp;":"&amp;ADDRESS(1000,COLUMN(H$9)+10))),
SUMIF(INDIRECT(Equipo!$E$4&amp;"!B10:B1000"),$B113,INDIRECT(Equipo!$E$4&amp;"!"&amp;ADDRESS(10,COLUMN(H$9)+10)&amp;":"&amp;ADDRESS(1000,COLUMN(H$9)+10))),
SUMIF(INDIRECT(Equipo!$F$4&amp;"!B10:B1000"),$B113,INDIRECT(Equipo!$F$4&amp;"!"&amp;ADDRESS(10,COLUMN(H$9)+10)&amp;":"&amp;ADDRESS(1000,COLUMN(H$9)+10))),
SUMIF(INDIRECT(Equipo!$G$4&amp;"!B10:B1000"),$B113,INDIRECT(Equipo!$G$4&amp;"!"&amp;ADDRESS(10,COLUMN(H$9)+10)&amp;":"&amp;ADDRESS(1000,COLUMN(H$9)+10)))
))</f>
        <v>-</v>
      </c>
      <c r="I113" s="19" t="str">
        <f t="array" ref="I113">IF(ISBLANK(Tareas!$B109),"-",
SUM(
SUMIF(INDIRECT(Equipo!$C$4&amp;"!B10:B1000"),$B113,INDIRECT(Equipo!$C$4&amp;"!"&amp;ADDRESS(10,COLUMN(I$9)+10)&amp;":"&amp;ADDRESS(1000,COLUMN(I$9)+10))),
SUMIF(INDIRECT(Equipo!$D$4&amp;"!B10:B1000"),$B113,INDIRECT(Equipo!$D$4&amp;"!"&amp;ADDRESS(10,COLUMN(I$9)+10)&amp;":"&amp;ADDRESS(1000,COLUMN(I$9)+10))),
SUMIF(INDIRECT(Equipo!$E$4&amp;"!B10:B1000"),$B113,INDIRECT(Equipo!$E$4&amp;"!"&amp;ADDRESS(10,COLUMN(I$9)+10)&amp;":"&amp;ADDRESS(1000,COLUMN(I$9)+10))),
SUMIF(INDIRECT(Equipo!$F$4&amp;"!B10:B1000"),$B113,INDIRECT(Equipo!$F$4&amp;"!"&amp;ADDRESS(10,COLUMN(I$9)+10)&amp;":"&amp;ADDRESS(1000,COLUMN(I$9)+10))),
SUMIF(INDIRECT(Equipo!$G$4&amp;"!B10:B1000"),$B113,INDIRECT(Equipo!$G$4&amp;"!"&amp;ADDRESS(10,COLUMN(I$9)+10)&amp;":"&amp;ADDRESS(1000,COLUMN(I$9)+10)))
))</f>
        <v>-</v>
      </c>
      <c r="J113" s="19" t="str">
        <f t="array" ref="J113">IF(ISBLANK(Tareas!$B109),"-",
SUM(
SUMIF(INDIRECT(Equipo!$C$4&amp;"!B10:B1000"),$B113,INDIRECT(Equipo!$C$4&amp;"!"&amp;ADDRESS(10,COLUMN(J$9)+10)&amp;":"&amp;ADDRESS(1000,COLUMN(J$9)+10))),
SUMIF(INDIRECT(Equipo!$D$4&amp;"!B10:B1000"),$B113,INDIRECT(Equipo!$D$4&amp;"!"&amp;ADDRESS(10,COLUMN(J$9)+10)&amp;":"&amp;ADDRESS(1000,COLUMN(J$9)+10))),
SUMIF(INDIRECT(Equipo!$E$4&amp;"!B10:B1000"),$B113,INDIRECT(Equipo!$E$4&amp;"!"&amp;ADDRESS(10,COLUMN(J$9)+10)&amp;":"&amp;ADDRESS(1000,COLUMN(J$9)+10))),
SUMIF(INDIRECT(Equipo!$F$4&amp;"!B10:B1000"),$B113,INDIRECT(Equipo!$F$4&amp;"!"&amp;ADDRESS(10,COLUMN(J$9)+10)&amp;":"&amp;ADDRESS(1000,COLUMN(J$9)+10))),
SUMIF(INDIRECT(Equipo!$G$4&amp;"!B10:B1000"),$B113,INDIRECT(Equipo!$G$4&amp;"!"&amp;ADDRESS(10,COLUMN(J$9)+10)&amp;":"&amp;ADDRESS(1000,COLUMN(J$9)+10)))
))</f>
        <v>-</v>
      </c>
      <c r="K113" s="19" t="str">
        <f t="array" ref="K113">IF(ISBLANK(Tareas!$B109),"-",
SUM(
SUMIF(INDIRECT(Equipo!$C$4&amp;"!B10:B1000"),$B113,INDIRECT(Equipo!$C$4&amp;"!"&amp;ADDRESS(10,COLUMN(K$9)+10)&amp;":"&amp;ADDRESS(1000,COLUMN(K$9)+10))),
SUMIF(INDIRECT(Equipo!$D$4&amp;"!B10:B1000"),$B113,INDIRECT(Equipo!$D$4&amp;"!"&amp;ADDRESS(10,COLUMN(K$9)+10)&amp;":"&amp;ADDRESS(1000,COLUMN(K$9)+10))),
SUMIF(INDIRECT(Equipo!$E$4&amp;"!B10:B1000"),$B113,INDIRECT(Equipo!$E$4&amp;"!"&amp;ADDRESS(10,COLUMN(K$9)+10)&amp;":"&amp;ADDRESS(1000,COLUMN(K$9)+10))),
SUMIF(INDIRECT(Equipo!$F$4&amp;"!B10:B1000"),$B113,INDIRECT(Equipo!$F$4&amp;"!"&amp;ADDRESS(10,COLUMN(K$9)+10)&amp;":"&amp;ADDRESS(1000,COLUMN(K$9)+10))),
SUMIF(INDIRECT(Equipo!$G$4&amp;"!B10:B1000"),$B113,INDIRECT(Equipo!$G$4&amp;"!"&amp;ADDRESS(10,COLUMN(K$9)+10)&amp;":"&amp;ADDRESS(1000,COLUMN(K$9)+10)))
))</f>
        <v>-</v>
      </c>
    </row>
    <row r="114" ht="15.75" customHeight="1">
      <c r="C114" s="19" t="str">
        <f>IF(ISBLANK(Tareas!$B110),"-",SUM(D114:K114))</f>
        <v>-</v>
      </c>
      <c r="D114" s="19" t="str">
        <f t="array" ref="D114">IF(ISBLANK(Tareas!$B110),"-",
SUM(
SUMIF(INDIRECT(Equipo!$C$4&amp;"!B10:B1000"),$B114,INDIRECT(Equipo!$C$4&amp;"!"&amp;ADDRESS(10,COLUMN(D$9)+10)&amp;":"&amp;ADDRESS(1000,COLUMN(D$9)+10))),
SUMIF(INDIRECT(Equipo!$D$4&amp;"!B10:B1000"),$B114,INDIRECT(Equipo!$D$4&amp;"!"&amp;ADDRESS(10,COLUMN(D$9)+10)&amp;":"&amp;ADDRESS(1000,COLUMN(D$9)+10))),
SUMIF(INDIRECT(Equipo!$E$4&amp;"!B10:B1000"),$B114,INDIRECT(Equipo!$E$4&amp;"!"&amp;ADDRESS(10,COLUMN(D$9)+10)&amp;":"&amp;ADDRESS(1000,COLUMN(D$9)+10))),
SUMIF(INDIRECT(Equipo!$F$4&amp;"!B10:B1000"),$B114,INDIRECT(Equipo!$F$4&amp;"!"&amp;ADDRESS(10,COLUMN(D$9)+10)&amp;":"&amp;ADDRESS(1000,COLUMN(D$9)+10))),
SUMIF(INDIRECT(Equipo!$G$4&amp;"!B10:B1000"),$B114,INDIRECT(Equipo!$G$4&amp;"!"&amp;ADDRESS(10,COLUMN(D$9)+10)&amp;":"&amp;ADDRESS(1000,COLUMN(D$9)+10)))
))</f>
        <v>-</v>
      </c>
      <c r="E114" s="19" t="str">
        <f t="array" ref="E114">IF(ISBLANK(Tareas!$B110),"-",
SUM(
SUMIF(INDIRECT(Equipo!$C$4&amp;"!B10:B1000"),$B114,INDIRECT(Equipo!$C$4&amp;"!"&amp;ADDRESS(10,COLUMN(E$9)+10)&amp;":"&amp;ADDRESS(1000,COLUMN(E$9)+10))),
SUMIF(INDIRECT(Equipo!$D$4&amp;"!B10:B1000"),$B114,INDIRECT(Equipo!$D$4&amp;"!"&amp;ADDRESS(10,COLUMN(E$9)+10)&amp;":"&amp;ADDRESS(1000,COLUMN(E$9)+10))),
SUMIF(INDIRECT(Equipo!$E$4&amp;"!B10:B1000"),$B114,INDIRECT(Equipo!$E$4&amp;"!"&amp;ADDRESS(10,COLUMN(E$9)+10)&amp;":"&amp;ADDRESS(1000,COLUMN(E$9)+10))),
SUMIF(INDIRECT(Equipo!$F$4&amp;"!B10:B1000"),$B114,INDIRECT(Equipo!$F$4&amp;"!"&amp;ADDRESS(10,COLUMN(E$9)+10)&amp;":"&amp;ADDRESS(1000,COLUMN(E$9)+10))),
SUMIF(INDIRECT(Equipo!$G$4&amp;"!B10:B1000"),$B114,INDIRECT(Equipo!$G$4&amp;"!"&amp;ADDRESS(10,COLUMN(E$9)+10)&amp;":"&amp;ADDRESS(1000,COLUMN(E$9)+10)))
))</f>
        <v>-</v>
      </c>
      <c r="F114" s="19" t="str">
        <f t="array" ref="F114">IF(ISBLANK(Tareas!$B110),"-",
SUM(
SUMIF(INDIRECT(Equipo!$C$4&amp;"!B10:B1000"),$B114,INDIRECT(Equipo!$C$4&amp;"!"&amp;ADDRESS(10,COLUMN(F$9)+10)&amp;":"&amp;ADDRESS(1000,COLUMN(F$9)+10))),
SUMIF(INDIRECT(Equipo!$D$4&amp;"!B10:B1000"),$B114,INDIRECT(Equipo!$D$4&amp;"!"&amp;ADDRESS(10,COLUMN(F$9)+10)&amp;":"&amp;ADDRESS(1000,COLUMN(F$9)+10))),
SUMIF(INDIRECT(Equipo!$E$4&amp;"!B10:B1000"),$B114,INDIRECT(Equipo!$E$4&amp;"!"&amp;ADDRESS(10,COLUMN(F$9)+10)&amp;":"&amp;ADDRESS(1000,COLUMN(F$9)+10))),
SUMIF(INDIRECT(Equipo!$F$4&amp;"!B10:B1000"),$B114,INDIRECT(Equipo!$F$4&amp;"!"&amp;ADDRESS(10,COLUMN(F$9)+10)&amp;":"&amp;ADDRESS(1000,COLUMN(F$9)+10))),
SUMIF(INDIRECT(Equipo!$G$4&amp;"!B10:B1000"),$B114,INDIRECT(Equipo!$G$4&amp;"!"&amp;ADDRESS(10,COLUMN(F$9)+10)&amp;":"&amp;ADDRESS(1000,COLUMN(F$9)+10)))
))</f>
        <v>-</v>
      </c>
      <c r="G114" s="19" t="str">
        <f t="array" ref="G114">IF(ISBLANK(Tareas!$B110),"-",
SUM(
SUMIF(INDIRECT(Equipo!$C$4&amp;"!B10:B1000"),$B114,INDIRECT(Equipo!$C$4&amp;"!"&amp;ADDRESS(10,COLUMN(G$9)+10)&amp;":"&amp;ADDRESS(1000,COLUMN(G$9)+10))),
SUMIF(INDIRECT(Equipo!$D$4&amp;"!B10:B1000"),$B114,INDIRECT(Equipo!$D$4&amp;"!"&amp;ADDRESS(10,COLUMN(G$9)+10)&amp;":"&amp;ADDRESS(1000,COLUMN(G$9)+10))),
SUMIF(INDIRECT(Equipo!$E$4&amp;"!B10:B1000"),$B114,INDIRECT(Equipo!$E$4&amp;"!"&amp;ADDRESS(10,COLUMN(G$9)+10)&amp;":"&amp;ADDRESS(1000,COLUMN(G$9)+10))),
SUMIF(INDIRECT(Equipo!$F$4&amp;"!B10:B1000"),$B114,INDIRECT(Equipo!$F$4&amp;"!"&amp;ADDRESS(10,COLUMN(G$9)+10)&amp;":"&amp;ADDRESS(1000,COLUMN(G$9)+10))),
SUMIF(INDIRECT(Equipo!$G$4&amp;"!B10:B1000"),$B114,INDIRECT(Equipo!$G$4&amp;"!"&amp;ADDRESS(10,COLUMN(G$9)+10)&amp;":"&amp;ADDRESS(1000,COLUMN(G$9)+10)))
))</f>
        <v>-</v>
      </c>
      <c r="H114" s="19" t="str">
        <f t="array" ref="H114">IF(ISBLANK(Tareas!$B110),"-",
SUM(
SUMIF(INDIRECT(Equipo!$C$4&amp;"!B10:B1000"),$B114,INDIRECT(Equipo!$C$4&amp;"!"&amp;ADDRESS(10,COLUMN(H$9)+10)&amp;":"&amp;ADDRESS(1000,COLUMN(H$9)+10))),
SUMIF(INDIRECT(Equipo!$D$4&amp;"!B10:B1000"),$B114,INDIRECT(Equipo!$D$4&amp;"!"&amp;ADDRESS(10,COLUMN(H$9)+10)&amp;":"&amp;ADDRESS(1000,COLUMN(H$9)+10))),
SUMIF(INDIRECT(Equipo!$E$4&amp;"!B10:B1000"),$B114,INDIRECT(Equipo!$E$4&amp;"!"&amp;ADDRESS(10,COLUMN(H$9)+10)&amp;":"&amp;ADDRESS(1000,COLUMN(H$9)+10))),
SUMIF(INDIRECT(Equipo!$F$4&amp;"!B10:B1000"),$B114,INDIRECT(Equipo!$F$4&amp;"!"&amp;ADDRESS(10,COLUMN(H$9)+10)&amp;":"&amp;ADDRESS(1000,COLUMN(H$9)+10))),
SUMIF(INDIRECT(Equipo!$G$4&amp;"!B10:B1000"),$B114,INDIRECT(Equipo!$G$4&amp;"!"&amp;ADDRESS(10,COLUMN(H$9)+10)&amp;":"&amp;ADDRESS(1000,COLUMN(H$9)+10)))
))</f>
        <v>-</v>
      </c>
      <c r="I114" s="19" t="str">
        <f t="array" ref="I114">IF(ISBLANK(Tareas!$B110),"-",
SUM(
SUMIF(INDIRECT(Equipo!$C$4&amp;"!B10:B1000"),$B114,INDIRECT(Equipo!$C$4&amp;"!"&amp;ADDRESS(10,COLUMN(I$9)+10)&amp;":"&amp;ADDRESS(1000,COLUMN(I$9)+10))),
SUMIF(INDIRECT(Equipo!$D$4&amp;"!B10:B1000"),$B114,INDIRECT(Equipo!$D$4&amp;"!"&amp;ADDRESS(10,COLUMN(I$9)+10)&amp;":"&amp;ADDRESS(1000,COLUMN(I$9)+10))),
SUMIF(INDIRECT(Equipo!$E$4&amp;"!B10:B1000"),$B114,INDIRECT(Equipo!$E$4&amp;"!"&amp;ADDRESS(10,COLUMN(I$9)+10)&amp;":"&amp;ADDRESS(1000,COLUMN(I$9)+10))),
SUMIF(INDIRECT(Equipo!$F$4&amp;"!B10:B1000"),$B114,INDIRECT(Equipo!$F$4&amp;"!"&amp;ADDRESS(10,COLUMN(I$9)+10)&amp;":"&amp;ADDRESS(1000,COLUMN(I$9)+10))),
SUMIF(INDIRECT(Equipo!$G$4&amp;"!B10:B1000"),$B114,INDIRECT(Equipo!$G$4&amp;"!"&amp;ADDRESS(10,COLUMN(I$9)+10)&amp;":"&amp;ADDRESS(1000,COLUMN(I$9)+10)))
))</f>
        <v>-</v>
      </c>
      <c r="J114" s="19" t="str">
        <f t="array" ref="J114">IF(ISBLANK(Tareas!$B110),"-",
SUM(
SUMIF(INDIRECT(Equipo!$C$4&amp;"!B10:B1000"),$B114,INDIRECT(Equipo!$C$4&amp;"!"&amp;ADDRESS(10,COLUMN(J$9)+10)&amp;":"&amp;ADDRESS(1000,COLUMN(J$9)+10))),
SUMIF(INDIRECT(Equipo!$D$4&amp;"!B10:B1000"),$B114,INDIRECT(Equipo!$D$4&amp;"!"&amp;ADDRESS(10,COLUMN(J$9)+10)&amp;":"&amp;ADDRESS(1000,COLUMN(J$9)+10))),
SUMIF(INDIRECT(Equipo!$E$4&amp;"!B10:B1000"),$B114,INDIRECT(Equipo!$E$4&amp;"!"&amp;ADDRESS(10,COLUMN(J$9)+10)&amp;":"&amp;ADDRESS(1000,COLUMN(J$9)+10))),
SUMIF(INDIRECT(Equipo!$F$4&amp;"!B10:B1000"),$B114,INDIRECT(Equipo!$F$4&amp;"!"&amp;ADDRESS(10,COLUMN(J$9)+10)&amp;":"&amp;ADDRESS(1000,COLUMN(J$9)+10))),
SUMIF(INDIRECT(Equipo!$G$4&amp;"!B10:B1000"),$B114,INDIRECT(Equipo!$G$4&amp;"!"&amp;ADDRESS(10,COLUMN(J$9)+10)&amp;":"&amp;ADDRESS(1000,COLUMN(J$9)+10)))
))</f>
        <v>-</v>
      </c>
      <c r="K114" s="19" t="str">
        <f t="array" ref="K114">IF(ISBLANK(Tareas!$B110),"-",
SUM(
SUMIF(INDIRECT(Equipo!$C$4&amp;"!B10:B1000"),$B114,INDIRECT(Equipo!$C$4&amp;"!"&amp;ADDRESS(10,COLUMN(K$9)+10)&amp;":"&amp;ADDRESS(1000,COLUMN(K$9)+10))),
SUMIF(INDIRECT(Equipo!$D$4&amp;"!B10:B1000"),$B114,INDIRECT(Equipo!$D$4&amp;"!"&amp;ADDRESS(10,COLUMN(K$9)+10)&amp;":"&amp;ADDRESS(1000,COLUMN(K$9)+10))),
SUMIF(INDIRECT(Equipo!$E$4&amp;"!B10:B1000"),$B114,INDIRECT(Equipo!$E$4&amp;"!"&amp;ADDRESS(10,COLUMN(K$9)+10)&amp;":"&amp;ADDRESS(1000,COLUMN(K$9)+10))),
SUMIF(INDIRECT(Equipo!$F$4&amp;"!B10:B1000"),$B114,INDIRECT(Equipo!$F$4&amp;"!"&amp;ADDRESS(10,COLUMN(K$9)+10)&amp;":"&amp;ADDRESS(1000,COLUMN(K$9)+10))),
SUMIF(INDIRECT(Equipo!$G$4&amp;"!B10:B1000"),$B114,INDIRECT(Equipo!$G$4&amp;"!"&amp;ADDRESS(10,COLUMN(K$9)+10)&amp;":"&amp;ADDRESS(1000,COLUMN(K$9)+10)))
))</f>
        <v>-</v>
      </c>
    </row>
    <row r="115" ht="15.75" customHeight="1">
      <c r="C115" s="19" t="str">
        <f>IF(ISBLANK(Tareas!$B111),"-",SUM(D115:K115))</f>
        <v>-</v>
      </c>
      <c r="D115" s="19" t="str">
        <f t="array" ref="D115">IF(ISBLANK(Tareas!$B111),"-",
SUM(
SUMIF(INDIRECT(Equipo!$C$4&amp;"!B10:B1000"),$B115,INDIRECT(Equipo!$C$4&amp;"!"&amp;ADDRESS(10,COLUMN(D$9)+10)&amp;":"&amp;ADDRESS(1000,COLUMN(D$9)+10))),
SUMIF(INDIRECT(Equipo!$D$4&amp;"!B10:B1000"),$B115,INDIRECT(Equipo!$D$4&amp;"!"&amp;ADDRESS(10,COLUMN(D$9)+10)&amp;":"&amp;ADDRESS(1000,COLUMN(D$9)+10))),
SUMIF(INDIRECT(Equipo!$E$4&amp;"!B10:B1000"),$B115,INDIRECT(Equipo!$E$4&amp;"!"&amp;ADDRESS(10,COLUMN(D$9)+10)&amp;":"&amp;ADDRESS(1000,COLUMN(D$9)+10))),
SUMIF(INDIRECT(Equipo!$F$4&amp;"!B10:B1000"),$B115,INDIRECT(Equipo!$F$4&amp;"!"&amp;ADDRESS(10,COLUMN(D$9)+10)&amp;":"&amp;ADDRESS(1000,COLUMN(D$9)+10))),
SUMIF(INDIRECT(Equipo!$G$4&amp;"!B10:B1000"),$B115,INDIRECT(Equipo!$G$4&amp;"!"&amp;ADDRESS(10,COLUMN(D$9)+10)&amp;":"&amp;ADDRESS(1000,COLUMN(D$9)+10)))
))</f>
        <v>-</v>
      </c>
      <c r="E115" s="19" t="str">
        <f t="array" ref="E115">IF(ISBLANK(Tareas!$B111),"-",
SUM(
SUMIF(INDIRECT(Equipo!$C$4&amp;"!B10:B1000"),$B115,INDIRECT(Equipo!$C$4&amp;"!"&amp;ADDRESS(10,COLUMN(E$9)+10)&amp;":"&amp;ADDRESS(1000,COLUMN(E$9)+10))),
SUMIF(INDIRECT(Equipo!$D$4&amp;"!B10:B1000"),$B115,INDIRECT(Equipo!$D$4&amp;"!"&amp;ADDRESS(10,COLUMN(E$9)+10)&amp;":"&amp;ADDRESS(1000,COLUMN(E$9)+10))),
SUMIF(INDIRECT(Equipo!$E$4&amp;"!B10:B1000"),$B115,INDIRECT(Equipo!$E$4&amp;"!"&amp;ADDRESS(10,COLUMN(E$9)+10)&amp;":"&amp;ADDRESS(1000,COLUMN(E$9)+10))),
SUMIF(INDIRECT(Equipo!$F$4&amp;"!B10:B1000"),$B115,INDIRECT(Equipo!$F$4&amp;"!"&amp;ADDRESS(10,COLUMN(E$9)+10)&amp;":"&amp;ADDRESS(1000,COLUMN(E$9)+10))),
SUMIF(INDIRECT(Equipo!$G$4&amp;"!B10:B1000"),$B115,INDIRECT(Equipo!$G$4&amp;"!"&amp;ADDRESS(10,COLUMN(E$9)+10)&amp;":"&amp;ADDRESS(1000,COLUMN(E$9)+10)))
))</f>
        <v>-</v>
      </c>
      <c r="F115" s="19" t="str">
        <f t="array" ref="F115">IF(ISBLANK(Tareas!$B111),"-",
SUM(
SUMIF(INDIRECT(Equipo!$C$4&amp;"!B10:B1000"),$B115,INDIRECT(Equipo!$C$4&amp;"!"&amp;ADDRESS(10,COLUMN(F$9)+10)&amp;":"&amp;ADDRESS(1000,COLUMN(F$9)+10))),
SUMIF(INDIRECT(Equipo!$D$4&amp;"!B10:B1000"),$B115,INDIRECT(Equipo!$D$4&amp;"!"&amp;ADDRESS(10,COLUMN(F$9)+10)&amp;":"&amp;ADDRESS(1000,COLUMN(F$9)+10))),
SUMIF(INDIRECT(Equipo!$E$4&amp;"!B10:B1000"),$B115,INDIRECT(Equipo!$E$4&amp;"!"&amp;ADDRESS(10,COLUMN(F$9)+10)&amp;":"&amp;ADDRESS(1000,COLUMN(F$9)+10))),
SUMIF(INDIRECT(Equipo!$F$4&amp;"!B10:B1000"),$B115,INDIRECT(Equipo!$F$4&amp;"!"&amp;ADDRESS(10,COLUMN(F$9)+10)&amp;":"&amp;ADDRESS(1000,COLUMN(F$9)+10))),
SUMIF(INDIRECT(Equipo!$G$4&amp;"!B10:B1000"),$B115,INDIRECT(Equipo!$G$4&amp;"!"&amp;ADDRESS(10,COLUMN(F$9)+10)&amp;":"&amp;ADDRESS(1000,COLUMN(F$9)+10)))
))</f>
        <v>-</v>
      </c>
      <c r="G115" s="19" t="str">
        <f t="array" ref="G115">IF(ISBLANK(Tareas!$B111),"-",
SUM(
SUMIF(INDIRECT(Equipo!$C$4&amp;"!B10:B1000"),$B115,INDIRECT(Equipo!$C$4&amp;"!"&amp;ADDRESS(10,COLUMN(G$9)+10)&amp;":"&amp;ADDRESS(1000,COLUMN(G$9)+10))),
SUMIF(INDIRECT(Equipo!$D$4&amp;"!B10:B1000"),$B115,INDIRECT(Equipo!$D$4&amp;"!"&amp;ADDRESS(10,COLUMN(G$9)+10)&amp;":"&amp;ADDRESS(1000,COLUMN(G$9)+10))),
SUMIF(INDIRECT(Equipo!$E$4&amp;"!B10:B1000"),$B115,INDIRECT(Equipo!$E$4&amp;"!"&amp;ADDRESS(10,COLUMN(G$9)+10)&amp;":"&amp;ADDRESS(1000,COLUMN(G$9)+10))),
SUMIF(INDIRECT(Equipo!$F$4&amp;"!B10:B1000"),$B115,INDIRECT(Equipo!$F$4&amp;"!"&amp;ADDRESS(10,COLUMN(G$9)+10)&amp;":"&amp;ADDRESS(1000,COLUMN(G$9)+10))),
SUMIF(INDIRECT(Equipo!$G$4&amp;"!B10:B1000"),$B115,INDIRECT(Equipo!$G$4&amp;"!"&amp;ADDRESS(10,COLUMN(G$9)+10)&amp;":"&amp;ADDRESS(1000,COLUMN(G$9)+10)))
))</f>
        <v>-</v>
      </c>
      <c r="H115" s="19" t="str">
        <f t="array" ref="H115">IF(ISBLANK(Tareas!$B111),"-",
SUM(
SUMIF(INDIRECT(Equipo!$C$4&amp;"!B10:B1000"),$B115,INDIRECT(Equipo!$C$4&amp;"!"&amp;ADDRESS(10,COLUMN(H$9)+10)&amp;":"&amp;ADDRESS(1000,COLUMN(H$9)+10))),
SUMIF(INDIRECT(Equipo!$D$4&amp;"!B10:B1000"),$B115,INDIRECT(Equipo!$D$4&amp;"!"&amp;ADDRESS(10,COLUMN(H$9)+10)&amp;":"&amp;ADDRESS(1000,COLUMN(H$9)+10))),
SUMIF(INDIRECT(Equipo!$E$4&amp;"!B10:B1000"),$B115,INDIRECT(Equipo!$E$4&amp;"!"&amp;ADDRESS(10,COLUMN(H$9)+10)&amp;":"&amp;ADDRESS(1000,COLUMN(H$9)+10))),
SUMIF(INDIRECT(Equipo!$F$4&amp;"!B10:B1000"),$B115,INDIRECT(Equipo!$F$4&amp;"!"&amp;ADDRESS(10,COLUMN(H$9)+10)&amp;":"&amp;ADDRESS(1000,COLUMN(H$9)+10))),
SUMIF(INDIRECT(Equipo!$G$4&amp;"!B10:B1000"),$B115,INDIRECT(Equipo!$G$4&amp;"!"&amp;ADDRESS(10,COLUMN(H$9)+10)&amp;":"&amp;ADDRESS(1000,COLUMN(H$9)+10)))
))</f>
        <v>-</v>
      </c>
      <c r="I115" s="19" t="str">
        <f t="array" ref="I115">IF(ISBLANK(Tareas!$B111),"-",
SUM(
SUMIF(INDIRECT(Equipo!$C$4&amp;"!B10:B1000"),$B115,INDIRECT(Equipo!$C$4&amp;"!"&amp;ADDRESS(10,COLUMN(I$9)+10)&amp;":"&amp;ADDRESS(1000,COLUMN(I$9)+10))),
SUMIF(INDIRECT(Equipo!$D$4&amp;"!B10:B1000"),$B115,INDIRECT(Equipo!$D$4&amp;"!"&amp;ADDRESS(10,COLUMN(I$9)+10)&amp;":"&amp;ADDRESS(1000,COLUMN(I$9)+10))),
SUMIF(INDIRECT(Equipo!$E$4&amp;"!B10:B1000"),$B115,INDIRECT(Equipo!$E$4&amp;"!"&amp;ADDRESS(10,COLUMN(I$9)+10)&amp;":"&amp;ADDRESS(1000,COLUMN(I$9)+10))),
SUMIF(INDIRECT(Equipo!$F$4&amp;"!B10:B1000"),$B115,INDIRECT(Equipo!$F$4&amp;"!"&amp;ADDRESS(10,COLUMN(I$9)+10)&amp;":"&amp;ADDRESS(1000,COLUMN(I$9)+10))),
SUMIF(INDIRECT(Equipo!$G$4&amp;"!B10:B1000"),$B115,INDIRECT(Equipo!$G$4&amp;"!"&amp;ADDRESS(10,COLUMN(I$9)+10)&amp;":"&amp;ADDRESS(1000,COLUMN(I$9)+10)))
))</f>
        <v>-</v>
      </c>
      <c r="J115" s="19" t="str">
        <f t="array" ref="J115">IF(ISBLANK(Tareas!$B111),"-",
SUM(
SUMIF(INDIRECT(Equipo!$C$4&amp;"!B10:B1000"),$B115,INDIRECT(Equipo!$C$4&amp;"!"&amp;ADDRESS(10,COLUMN(J$9)+10)&amp;":"&amp;ADDRESS(1000,COLUMN(J$9)+10))),
SUMIF(INDIRECT(Equipo!$D$4&amp;"!B10:B1000"),$B115,INDIRECT(Equipo!$D$4&amp;"!"&amp;ADDRESS(10,COLUMN(J$9)+10)&amp;":"&amp;ADDRESS(1000,COLUMN(J$9)+10))),
SUMIF(INDIRECT(Equipo!$E$4&amp;"!B10:B1000"),$B115,INDIRECT(Equipo!$E$4&amp;"!"&amp;ADDRESS(10,COLUMN(J$9)+10)&amp;":"&amp;ADDRESS(1000,COLUMN(J$9)+10))),
SUMIF(INDIRECT(Equipo!$F$4&amp;"!B10:B1000"),$B115,INDIRECT(Equipo!$F$4&amp;"!"&amp;ADDRESS(10,COLUMN(J$9)+10)&amp;":"&amp;ADDRESS(1000,COLUMN(J$9)+10))),
SUMIF(INDIRECT(Equipo!$G$4&amp;"!B10:B1000"),$B115,INDIRECT(Equipo!$G$4&amp;"!"&amp;ADDRESS(10,COLUMN(J$9)+10)&amp;":"&amp;ADDRESS(1000,COLUMN(J$9)+10)))
))</f>
        <v>-</v>
      </c>
      <c r="K115" s="19" t="str">
        <f t="array" ref="K115">IF(ISBLANK(Tareas!$B111),"-",
SUM(
SUMIF(INDIRECT(Equipo!$C$4&amp;"!B10:B1000"),$B115,INDIRECT(Equipo!$C$4&amp;"!"&amp;ADDRESS(10,COLUMN(K$9)+10)&amp;":"&amp;ADDRESS(1000,COLUMN(K$9)+10))),
SUMIF(INDIRECT(Equipo!$D$4&amp;"!B10:B1000"),$B115,INDIRECT(Equipo!$D$4&amp;"!"&amp;ADDRESS(10,COLUMN(K$9)+10)&amp;":"&amp;ADDRESS(1000,COLUMN(K$9)+10))),
SUMIF(INDIRECT(Equipo!$E$4&amp;"!B10:B1000"),$B115,INDIRECT(Equipo!$E$4&amp;"!"&amp;ADDRESS(10,COLUMN(K$9)+10)&amp;":"&amp;ADDRESS(1000,COLUMN(K$9)+10))),
SUMIF(INDIRECT(Equipo!$F$4&amp;"!B10:B1000"),$B115,INDIRECT(Equipo!$F$4&amp;"!"&amp;ADDRESS(10,COLUMN(K$9)+10)&amp;":"&amp;ADDRESS(1000,COLUMN(K$9)+10))),
SUMIF(INDIRECT(Equipo!$G$4&amp;"!B10:B1000"),$B115,INDIRECT(Equipo!$G$4&amp;"!"&amp;ADDRESS(10,COLUMN(K$9)+10)&amp;":"&amp;ADDRESS(1000,COLUMN(K$9)+10)))
))</f>
        <v>-</v>
      </c>
    </row>
    <row r="116" ht="15.75" customHeight="1">
      <c r="C116" s="19" t="str">
        <f>IF(ISBLANK(Tareas!$B112),"-",SUM(D116:K116))</f>
        <v>-</v>
      </c>
      <c r="D116" s="19" t="str">
        <f t="array" ref="D116">IF(ISBLANK(Tareas!$B112),"-",
SUM(
SUMIF(INDIRECT(Equipo!$C$4&amp;"!B10:B1000"),$B116,INDIRECT(Equipo!$C$4&amp;"!"&amp;ADDRESS(10,COLUMN(D$9)+10)&amp;":"&amp;ADDRESS(1000,COLUMN(D$9)+10))),
SUMIF(INDIRECT(Equipo!$D$4&amp;"!B10:B1000"),$B116,INDIRECT(Equipo!$D$4&amp;"!"&amp;ADDRESS(10,COLUMN(D$9)+10)&amp;":"&amp;ADDRESS(1000,COLUMN(D$9)+10))),
SUMIF(INDIRECT(Equipo!$E$4&amp;"!B10:B1000"),$B116,INDIRECT(Equipo!$E$4&amp;"!"&amp;ADDRESS(10,COLUMN(D$9)+10)&amp;":"&amp;ADDRESS(1000,COLUMN(D$9)+10))),
SUMIF(INDIRECT(Equipo!$F$4&amp;"!B10:B1000"),$B116,INDIRECT(Equipo!$F$4&amp;"!"&amp;ADDRESS(10,COLUMN(D$9)+10)&amp;":"&amp;ADDRESS(1000,COLUMN(D$9)+10))),
SUMIF(INDIRECT(Equipo!$G$4&amp;"!B10:B1000"),$B116,INDIRECT(Equipo!$G$4&amp;"!"&amp;ADDRESS(10,COLUMN(D$9)+10)&amp;":"&amp;ADDRESS(1000,COLUMN(D$9)+10)))
))</f>
        <v>-</v>
      </c>
      <c r="E116" s="19" t="str">
        <f t="array" ref="E116">IF(ISBLANK(Tareas!$B112),"-",
SUM(
SUMIF(INDIRECT(Equipo!$C$4&amp;"!B10:B1000"),$B116,INDIRECT(Equipo!$C$4&amp;"!"&amp;ADDRESS(10,COLUMN(E$9)+10)&amp;":"&amp;ADDRESS(1000,COLUMN(E$9)+10))),
SUMIF(INDIRECT(Equipo!$D$4&amp;"!B10:B1000"),$B116,INDIRECT(Equipo!$D$4&amp;"!"&amp;ADDRESS(10,COLUMN(E$9)+10)&amp;":"&amp;ADDRESS(1000,COLUMN(E$9)+10))),
SUMIF(INDIRECT(Equipo!$E$4&amp;"!B10:B1000"),$B116,INDIRECT(Equipo!$E$4&amp;"!"&amp;ADDRESS(10,COLUMN(E$9)+10)&amp;":"&amp;ADDRESS(1000,COLUMN(E$9)+10))),
SUMIF(INDIRECT(Equipo!$F$4&amp;"!B10:B1000"),$B116,INDIRECT(Equipo!$F$4&amp;"!"&amp;ADDRESS(10,COLUMN(E$9)+10)&amp;":"&amp;ADDRESS(1000,COLUMN(E$9)+10))),
SUMIF(INDIRECT(Equipo!$G$4&amp;"!B10:B1000"),$B116,INDIRECT(Equipo!$G$4&amp;"!"&amp;ADDRESS(10,COLUMN(E$9)+10)&amp;":"&amp;ADDRESS(1000,COLUMN(E$9)+10)))
))</f>
        <v>-</v>
      </c>
      <c r="F116" s="19" t="str">
        <f t="array" ref="F116">IF(ISBLANK(Tareas!$B112),"-",
SUM(
SUMIF(INDIRECT(Equipo!$C$4&amp;"!B10:B1000"),$B116,INDIRECT(Equipo!$C$4&amp;"!"&amp;ADDRESS(10,COLUMN(F$9)+10)&amp;":"&amp;ADDRESS(1000,COLUMN(F$9)+10))),
SUMIF(INDIRECT(Equipo!$D$4&amp;"!B10:B1000"),$B116,INDIRECT(Equipo!$D$4&amp;"!"&amp;ADDRESS(10,COLUMN(F$9)+10)&amp;":"&amp;ADDRESS(1000,COLUMN(F$9)+10))),
SUMIF(INDIRECT(Equipo!$E$4&amp;"!B10:B1000"),$B116,INDIRECT(Equipo!$E$4&amp;"!"&amp;ADDRESS(10,COLUMN(F$9)+10)&amp;":"&amp;ADDRESS(1000,COLUMN(F$9)+10))),
SUMIF(INDIRECT(Equipo!$F$4&amp;"!B10:B1000"),$B116,INDIRECT(Equipo!$F$4&amp;"!"&amp;ADDRESS(10,COLUMN(F$9)+10)&amp;":"&amp;ADDRESS(1000,COLUMN(F$9)+10))),
SUMIF(INDIRECT(Equipo!$G$4&amp;"!B10:B1000"),$B116,INDIRECT(Equipo!$G$4&amp;"!"&amp;ADDRESS(10,COLUMN(F$9)+10)&amp;":"&amp;ADDRESS(1000,COLUMN(F$9)+10)))
))</f>
        <v>-</v>
      </c>
      <c r="G116" s="19" t="str">
        <f t="array" ref="G116">IF(ISBLANK(Tareas!$B112),"-",
SUM(
SUMIF(INDIRECT(Equipo!$C$4&amp;"!B10:B1000"),$B116,INDIRECT(Equipo!$C$4&amp;"!"&amp;ADDRESS(10,COLUMN(G$9)+10)&amp;":"&amp;ADDRESS(1000,COLUMN(G$9)+10))),
SUMIF(INDIRECT(Equipo!$D$4&amp;"!B10:B1000"),$B116,INDIRECT(Equipo!$D$4&amp;"!"&amp;ADDRESS(10,COLUMN(G$9)+10)&amp;":"&amp;ADDRESS(1000,COLUMN(G$9)+10))),
SUMIF(INDIRECT(Equipo!$E$4&amp;"!B10:B1000"),$B116,INDIRECT(Equipo!$E$4&amp;"!"&amp;ADDRESS(10,COLUMN(G$9)+10)&amp;":"&amp;ADDRESS(1000,COLUMN(G$9)+10))),
SUMIF(INDIRECT(Equipo!$F$4&amp;"!B10:B1000"),$B116,INDIRECT(Equipo!$F$4&amp;"!"&amp;ADDRESS(10,COLUMN(G$9)+10)&amp;":"&amp;ADDRESS(1000,COLUMN(G$9)+10))),
SUMIF(INDIRECT(Equipo!$G$4&amp;"!B10:B1000"),$B116,INDIRECT(Equipo!$G$4&amp;"!"&amp;ADDRESS(10,COLUMN(G$9)+10)&amp;":"&amp;ADDRESS(1000,COLUMN(G$9)+10)))
))</f>
        <v>-</v>
      </c>
      <c r="H116" s="19" t="str">
        <f t="array" ref="H116">IF(ISBLANK(Tareas!$B112),"-",
SUM(
SUMIF(INDIRECT(Equipo!$C$4&amp;"!B10:B1000"),$B116,INDIRECT(Equipo!$C$4&amp;"!"&amp;ADDRESS(10,COLUMN(H$9)+10)&amp;":"&amp;ADDRESS(1000,COLUMN(H$9)+10))),
SUMIF(INDIRECT(Equipo!$D$4&amp;"!B10:B1000"),$B116,INDIRECT(Equipo!$D$4&amp;"!"&amp;ADDRESS(10,COLUMN(H$9)+10)&amp;":"&amp;ADDRESS(1000,COLUMN(H$9)+10))),
SUMIF(INDIRECT(Equipo!$E$4&amp;"!B10:B1000"),$B116,INDIRECT(Equipo!$E$4&amp;"!"&amp;ADDRESS(10,COLUMN(H$9)+10)&amp;":"&amp;ADDRESS(1000,COLUMN(H$9)+10))),
SUMIF(INDIRECT(Equipo!$F$4&amp;"!B10:B1000"),$B116,INDIRECT(Equipo!$F$4&amp;"!"&amp;ADDRESS(10,COLUMN(H$9)+10)&amp;":"&amp;ADDRESS(1000,COLUMN(H$9)+10))),
SUMIF(INDIRECT(Equipo!$G$4&amp;"!B10:B1000"),$B116,INDIRECT(Equipo!$G$4&amp;"!"&amp;ADDRESS(10,COLUMN(H$9)+10)&amp;":"&amp;ADDRESS(1000,COLUMN(H$9)+10)))
))</f>
        <v>-</v>
      </c>
      <c r="I116" s="19" t="str">
        <f t="array" ref="I116">IF(ISBLANK(Tareas!$B112),"-",
SUM(
SUMIF(INDIRECT(Equipo!$C$4&amp;"!B10:B1000"),$B116,INDIRECT(Equipo!$C$4&amp;"!"&amp;ADDRESS(10,COLUMN(I$9)+10)&amp;":"&amp;ADDRESS(1000,COLUMN(I$9)+10))),
SUMIF(INDIRECT(Equipo!$D$4&amp;"!B10:B1000"),$B116,INDIRECT(Equipo!$D$4&amp;"!"&amp;ADDRESS(10,COLUMN(I$9)+10)&amp;":"&amp;ADDRESS(1000,COLUMN(I$9)+10))),
SUMIF(INDIRECT(Equipo!$E$4&amp;"!B10:B1000"),$B116,INDIRECT(Equipo!$E$4&amp;"!"&amp;ADDRESS(10,COLUMN(I$9)+10)&amp;":"&amp;ADDRESS(1000,COLUMN(I$9)+10))),
SUMIF(INDIRECT(Equipo!$F$4&amp;"!B10:B1000"),$B116,INDIRECT(Equipo!$F$4&amp;"!"&amp;ADDRESS(10,COLUMN(I$9)+10)&amp;":"&amp;ADDRESS(1000,COLUMN(I$9)+10))),
SUMIF(INDIRECT(Equipo!$G$4&amp;"!B10:B1000"),$B116,INDIRECT(Equipo!$G$4&amp;"!"&amp;ADDRESS(10,COLUMN(I$9)+10)&amp;":"&amp;ADDRESS(1000,COLUMN(I$9)+10)))
))</f>
        <v>-</v>
      </c>
      <c r="J116" s="19" t="str">
        <f t="array" ref="J116">IF(ISBLANK(Tareas!$B112),"-",
SUM(
SUMIF(INDIRECT(Equipo!$C$4&amp;"!B10:B1000"),$B116,INDIRECT(Equipo!$C$4&amp;"!"&amp;ADDRESS(10,COLUMN(J$9)+10)&amp;":"&amp;ADDRESS(1000,COLUMN(J$9)+10))),
SUMIF(INDIRECT(Equipo!$D$4&amp;"!B10:B1000"),$B116,INDIRECT(Equipo!$D$4&amp;"!"&amp;ADDRESS(10,COLUMN(J$9)+10)&amp;":"&amp;ADDRESS(1000,COLUMN(J$9)+10))),
SUMIF(INDIRECT(Equipo!$E$4&amp;"!B10:B1000"),$B116,INDIRECT(Equipo!$E$4&amp;"!"&amp;ADDRESS(10,COLUMN(J$9)+10)&amp;":"&amp;ADDRESS(1000,COLUMN(J$9)+10))),
SUMIF(INDIRECT(Equipo!$F$4&amp;"!B10:B1000"),$B116,INDIRECT(Equipo!$F$4&amp;"!"&amp;ADDRESS(10,COLUMN(J$9)+10)&amp;":"&amp;ADDRESS(1000,COLUMN(J$9)+10))),
SUMIF(INDIRECT(Equipo!$G$4&amp;"!B10:B1000"),$B116,INDIRECT(Equipo!$G$4&amp;"!"&amp;ADDRESS(10,COLUMN(J$9)+10)&amp;":"&amp;ADDRESS(1000,COLUMN(J$9)+10)))
))</f>
        <v>-</v>
      </c>
      <c r="K116" s="19" t="str">
        <f t="array" ref="K116">IF(ISBLANK(Tareas!$B112),"-",
SUM(
SUMIF(INDIRECT(Equipo!$C$4&amp;"!B10:B1000"),$B116,INDIRECT(Equipo!$C$4&amp;"!"&amp;ADDRESS(10,COLUMN(K$9)+10)&amp;":"&amp;ADDRESS(1000,COLUMN(K$9)+10))),
SUMIF(INDIRECT(Equipo!$D$4&amp;"!B10:B1000"),$B116,INDIRECT(Equipo!$D$4&amp;"!"&amp;ADDRESS(10,COLUMN(K$9)+10)&amp;":"&amp;ADDRESS(1000,COLUMN(K$9)+10))),
SUMIF(INDIRECT(Equipo!$E$4&amp;"!B10:B1000"),$B116,INDIRECT(Equipo!$E$4&amp;"!"&amp;ADDRESS(10,COLUMN(K$9)+10)&amp;":"&amp;ADDRESS(1000,COLUMN(K$9)+10))),
SUMIF(INDIRECT(Equipo!$F$4&amp;"!B10:B1000"),$B116,INDIRECT(Equipo!$F$4&amp;"!"&amp;ADDRESS(10,COLUMN(K$9)+10)&amp;":"&amp;ADDRESS(1000,COLUMN(K$9)+10))),
SUMIF(INDIRECT(Equipo!$G$4&amp;"!B10:B1000"),$B116,INDIRECT(Equipo!$G$4&amp;"!"&amp;ADDRESS(10,COLUMN(K$9)+10)&amp;":"&amp;ADDRESS(1000,COLUMN(K$9)+10)))
))</f>
        <v>-</v>
      </c>
    </row>
    <row r="117" ht="15.75" customHeight="1">
      <c r="C117" s="19" t="str">
        <f>IF(ISBLANK(Tareas!$B113),"-",SUM(D117:K117))</f>
        <v>-</v>
      </c>
      <c r="D117" s="19" t="str">
        <f t="array" ref="D117">IF(ISBLANK(Tareas!$B113),"-",
SUM(
SUMIF(INDIRECT(Equipo!$C$4&amp;"!B10:B1000"),$B117,INDIRECT(Equipo!$C$4&amp;"!"&amp;ADDRESS(10,COLUMN(D$9)+10)&amp;":"&amp;ADDRESS(1000,COLUMN(D$9)+10))),
SUMIF(INDIRECT(Equipo!$D$4&amp;"!B10:B1000"),$B117,INDIRECT(Equipo!$D$4&amp;"!"&amp;ADDRESS(10,COLUMN(D$9)+10)&amp;":"&amp;ADDRESS(1000,COLUMN(D$9)+10))),
SUMIF(INDIRECT(Equipo!$E$4&amp;"!B10:B1000"),$B117,INDIRECT(Equipo!$E$4&amp;"!"&amp;ADDRESS(10,COLUMN(D$9)+10)&amp;":"&amp;ADDRESS(1000,COLUMN(D$9)+10))),
SUMIF(INDIRECT(Equipo!$F$4&amp;"!B10:B1000"),$B117,INDIRECT(Equipo!$F$4&amp;"!"&amp;ADDRESS(10,COLUMN(D$9)+10)&amp;":"&amp;ADDRESS(1000,COLUMN(D$9)+10))),
SUMIF(INDIRECT(Equipo!$G$4&amp;"!B10:B1000"),$B117,INDIRECT(Equipo!$G$4&amp;"!"&amp;ADDRESS(10,COLUMN(D$9)+10)&amp;":"&amp;ADDRESS(1000,COLUMN(D$9)+10)))
))</f>
        <v>-</v>
      </c>
      <c r="E117" s="19" t="str">
        <f t="array" ref="E117">IF(ISBLANK(Tareas!$B113),"-",
SUM(
SUMIF(INDIRECT(Equipo!$C$4&amp;"!B10:B1000"),$B117,INDIRECT(Equipo!$C$4&amp;"!"&amp;ADDRESS(10,COLUMN(E$9)+10)&amp;":"&amp;ADDRESS(1000,COLUMN(E$9)+10))),
SUMIF(INDIRECT(Equipo!$D$4&amp;"!B10:B1000"),$B117,INDIRECT(Equipo!$D$4&amp;"!"&amp;ADDRESS(10,COLUMN(E$9)+10)&amp;":"&amp;ADDRESS(1000,COLUMN(E$9)+10))),
SUMIF(INDIRECT(Equipo!$E$4&amp;"!B10:B1000"),$B117,INDIRECT(Equipo!$E$4&amp;"!"&amp;ADDRESS(10,COLUMN(E$9)+10)&amp;":"&amp;ADDRESS(1000,COLUMN(E$9)+10))),
SUMIF(INDIRECT(Equipo!$F$4&amp;"!B10:B1000"),$B117,INDIRECT(Equipo!$F$4&amp;"!"&amp;ADDRESS(10,COLUMN(E$9)+10)&amp;":"&amp;ADDRESS(1000,COLUMN(E$9)+10))),
SUMIF(INDIRECT(Equipo!$G$4&amp;"!B10:B1000"),$B117,INDIRECT(Equipo!$G$4&amp;"!"&amp;ADDRESS(10,COLUMN(E$9)+10)&amp;":"&amp;ADDRESS(1000,COLUMN(E$9)+10)))
))</f>
        <v>-</v>
      </c>
      <c r="F117" s="19" t="str">
        <f t="array" ref="F117">IF(ISBLANK(Tareas!$B113),"-",
SUM(
SUMIF(INDIRECT(Equipo!$C$4&amp;"!B10:B1000"),$B117,INDIRECT(Equipo!$C$4&amp;"!"&amp;ADDRESS(10,COLUMN(F$9)+10)&amp;":"&amp;ADDRESS(1000,COLUMN(F$9)+10))),
SUMIF(INDIRECT(Equipo!$D$4&amp;"!B10:B1000"),$B117,INDIRECT(Equipo!$D$4&amp;"!"&amp;ADDRESS(10,COLUMN(F$9)+10)&amp;":"&amp;ADDRESS(1000,COLUMN(F$9)+10))),
SUMIF(INDIRECT(Equipo!$E$4&amp;"!B10:B1000"),$B117,INDIRECT(Equipo!$E$4&amp;"!"&amp;ADDRESS(10,COLUMN(F$9)+10)&amp;":"&amp;ADDRESS(1000,COLUMN(F$9)+10))),
SUMIF(INDIRECT(Equipo!$F$4&amp;"!B10:B1000"),$B117,INDIRECT(Equipo!$F$4&amp;"!"&amp;ADDRESS(10,COLUMN(F$9)+10)&amp;":"&amp;ADDRESS(1000,COLUMN(F$9)+10))),
SUMIF(INDIRECT(Equipo!$G$4&amp;"!B10:B1000"),$B117,INDIRECT(Equipo!$G$4&amp;"!"&amp;ADDRESS(10,COLUMN(F$9)+10)&amp;":"&amp;ADDRESS(1000,COLUMN(F$9)+10)))
))</f>
        <v>-</v>
      </c>
      <c r="G117" s="19" t="str">
        <f t="array" ref="G117">IF(ISBLANK(Tareas!$B113),"-",
SUM(
SUMIF(INDIRECT(Equipo!$C$4&amp;"!B10:B1000"),$B117,INDIRECT(Equipo!$C$4&amp;"!"&amp;ADDRESS(10,COLUMN(G$9)+10)&amp;":"&amp;ADDRESS(1000,COLUMN(G$9)+10))),
SUMIF(INDIRECT(Equipo!$D$4&amp;"!B10:B1000"),$B117,INDIRECT(Equipo!$D$4&amp;"!"&amp;ADDRESS(10,COLUMN(G$9)+10)&amp;":"&amp;ADDRESS(1000,COLUMN(G$9)+10))),
SUMIF(INDIRECT(Equipo!$E$4&amp;"!B10:B1000"),$B117,INDIRECT(Equipo!$E$4&amp;"!"&amp;ADDRESS(10,COLUMN(G$9)+10)&amp;":"&amp;ADDRESS(1000,COLUMN(G$9)+10))),
SUMIF(INDIRECT(Equipo!$F$4&amp;"!B10:B1000"),$B117,INDIRECT(Equipo!$F$4&amp;"!"&amp;ADDRESS(10,COLUMN(G$9)+10)&amp;":"&amp;ADDRESS(1000,COLUMN(G$9)+10))),
SUMIF(INDIRECT(Equipo!$G$4&amp;"!B10:B1000"),$B117,INDIRECT(Equipo!$G$4&amp;"!"&amp;ADDRESS(10,COLUMN(G$9)+10)&amp;":"&amp;ADDRESS(1000,COLUMN(G$9)+10)))
))</f>
        <v>-</v>
      </c>
      <c r="H117" s="19" t="str">
        <f t="array" ref="H117">IF(ISBLANK(Tareas!$B113),"-",
SUM(
SUMIF(INDIRECT(Equipo!$C$4&amp;"!B10:B1000"),$B117,INDIRECT(Equipo!$C$4&amp;"!"&amp;ADDRESS(10,COLUMN(H$9)+10)&amp;":"&amp;ADDRESS(1000,COLUMN(H$9)+10))),
SUMIF(INDIRECT(Equipo!$D$4&amp;"!B10:B1000"),$B117,INDIRECT(Equipo!$D$4&amp;"!"&amp;ADDRESS(10,COLUMN(H$9)+10)&amp;":"&amp;ADDRESS(1000,COLUMN(H$9)+10))),
SUMIF(INDIRECT(Equipo!$E$4&amp;"!B10:B1000"),$B117,INDIRECT(Equipo!$E$4&amp;"!"&amp;ADDRESS(10,COLUMN(H$9)+10)&amp;":"&amp;ADDRESS(1000,COLUMN(H$9)+10))),
SUMIF(INDIRECT(Equipo!$F$4&amp;"!B10:B1000"),$B117,INDIRECT(Equipo!$F$4&amp;"!"&amp;ADDRESS(10,COLUMN(H$9)+10)&amp;":"&amp;ADDRESS(1000,COLUMN(H$9)+10))),
SUMIF(INDIRECT(Equipo!$G$4&amp;"!B10:B1000"),$B117,INDIRECT(Equipo!$G$4&amp;"!"&amp;ADDRESS(10,COLUMN(H$9)+10)&amp;":"&amp;ADDRESS(1000,COLUMN(H$9)+10)))
))</f>
        <v>-</v>
      </c>
      <c r="I117" s="19" t="str">
        <f t="array" ref="I117">IF(ISBLANK(Tareas!$B113),"-",
SUM(
SUMIF(INDIRECT(Equipo!$C$4&amp;"!B10:B1000"),$B117,INDIRECT(Equipo!$C$4&amp;"!"&amp;ADDRESS(10,COLUMN(I$9)+10)&amp;":"&amp;ADDRESS(1000,COLUMN(I$9)+10))),
SUMIF(INDIRECT(Equipo!$D$4&amp;"!B10:B1000"),$B117,INDIRECT(Equipo!$D$4&amp;"!"&amp;ADDRESS(10,COLUMN(I$9)+10)&amp;":"&amp;ADDRESS(1000,COLUMN(I$9)+10))),
SUMIF(INDIRECT(Equipo!$E$4&amp;"!B10:B1000"),$B117,INDIRECT(Equipo!$E$4&amp;"!"&amp;ADDRESS(10,COLUMN(I$9)+10)&amp;":"&amp;ADDRESS(1000,COLUMN(I$9)+10))),
SUMIF(INDIRECT(Equipo!$F$4&amp;"!B10:B1000"),$B117,INDIRECT(Equipo!$F$4&amp;"!"&amp;ADDRESS(10,COLUMN(I$9)+10)&amp;":"&amp;ADDRESS(1000,COLUMN(I$9)+10))),
SUMIF(INDIRECT(Equipo!$G$4&amp;"!B10:B1000"),$B117,INDIRECT(Equipo!$G$4&amp;"!"&amp;ADDRESS(10,COLUMN(I$9)+10)&amp;":"&amp;ADDRESS(1000,COLUMN(I$9)+10)))
))</f>
        <v>-</v>
      </c>
      <c r="J117" s="19" t="str">
        <f t="array" ref="J117">IF(ISBLANK(Tareas!$B113),"-",
SUM(
SUMIF(INDIRECT(Equipo!$C$4&amp;"!B10:B1000"),$B117,INDIRECT(Equipo!$C$4&amp;"!"&amp;ADDRESS(10,COLUMN(J$9)+10)&amp;":"&amp;ADDRESS(1000,COLUMN(J$9)+10))),
SUMIF(INDIRECT(Equipo!$D$4&amp;"!B10:B1000"),$B117,INDIRECT(Equipo!$D$4&amp;"!"&amp;ADDRESS(10,COLUMN(J$9)+10)&amp;":"&amp;ADDRESS(1000,COLUMN(J$9)+10))),
SUMIF(INDIRECT(Equipo!$E$4&amp;"!B10:B1000"),$B117,INDIRECT(Equipo!$E$4&amp;"!"&amp;ADDRESS(10,COLUMN(J$9)+10)&amp;":"&amp;ADDRESS(1000,COLUMN(J$9)+10))),
SUMIF(INDIRECT(Equipo!$F$4&amp;"!B10:B1000"),$B117,INDIRECT(Equipo!$F$4&amp;"!"&amp;ADDRESS(10,COLUMN(J$9)+10)&amp;":"&amp;ADDRESS(1000,COLUMN(J$9)+10))),
SUMIF(INDIRECT(Equipo!$G$4&amp;"!B10:B1000"),$B117,INDIRECT(Equipo!$G$4&amp;"!"&amp;ADDRESS(10,COLUMN(J$9)+10)&amp;":"&amp;ADDRESS(1000,COLUMN(J$9)+10)))
))</f>
        <v>-</v>
      </c>
      <c r="K117" s="19" t="str">
        <f t="array" ref="K117">IF(ISBLANK(Tareas!$B113),"-",
SUM(
SUMIF(INDIRECT(Equipo!$C$4&amp;"!B10:B1000"),$B117,INDIRECT(Equipo!$C$4&amp;"!"&amp;ADDRESS(10,COLUMN(K$9)+10)&amp;":"&amp;ADDRESS(1000,COLUMN(K$9)+10))),
SUMIF(INDIRECT(Equipo!$D$4&amp;"!B10:B1000"),$B117,INDIRECT(Equipo!$D$4&amp;"!"&amp;ADDRESS(10,COLUMN(K$9)+10)&amp;":"&amp;ADDRESS(1000,COLUMN(K$9)+10))),
SUMIF(INDIRECT(Equipo!$E$4&amp;"!B10:B1000"),$B117,INDIRECT(Equipo!$E$4&amp;"!"&amp;ADDRESS(10,COLUMN(K$9)+10)&amp;":"&amp;ADDRESS(1000,COLUMN(K$9)+10))),
SUMIF(INDIRECT(Equipo!$F$4&amp;"!B10:B1000"),$B117,INDIRECT(Equipo!$F$4&amp;"!"&amp;ADDRESS(10,COLUMN(K$9)+10)&amp;":"&amp;ADDRESS(1000,COLUMN(K$9)+10))),
SUMIF(INDIRECT(Equipo!$G$4&amp;"!B10:B1000"),$B117,INDIRECT(Equipo!$G$4&amp;"!"&amp;ADDRESS(10,COLUMN(K$9)+10)&amp;":"&amp;ADDRESS(1000,COLUMN(K$9)+10)))
))</f>
        <v>-</v>
      </c>
    </row>
    <row r="118" ht="15.75" customHeight="1">
      <c r="C118" s="19" t="str">
        <f>IF(ISBLANK(Tareas!$B114),"-",SUM(D118:K118))</f>
        <v>-</v>
      </c>
      <c r="D118" s="19" t="str">
        <f t="array" ref="D118">IF(ISBLANK(Tareas!$B114),"-",
SUM(
SUMIF(INDIRECT(Equipo!$C$4&amp;"!B10:B1000"),$B118,INDIRECT(Equipo!$C$4&amp;"!"&amp;ADDRESS(10,COLUMN(D$9)+10)&amp;":"&amp;ADDRESS(1000,COLUMN(D$9)+10))),
SUMIF(INDIRECT(Equipo!$D$4&amp;"!B10:B1000"),$B118,INDIRECT(Equipo!$D$4&amp;"!"&amp;ADDRESS(10,COLUMN(D$9)+10)&amp;":"&amp;ADDRESS(1000,COLUMN(D$9)+10))),
SUMIF(INDIRECT(Equipo!$E$4&amp;"!B10:B1000"),$B118,INDIRECT(Equipo!$E$4&amp;"!"&amp;ADDRESS(10,COLUMN(D$9)+10)&amp;":"&amp;ADDRESS(1000,COLUMN(D$9)+10))),
SUMIF(INDIRECT(Equipo!$F$4&amp;"!B10:B1000"),$B118,INDIRECT(Equipo!$F$4&amp;"!"&amp;ADDRESS(10,COLUMN(D$9)+10)&amp;":"&amp;ADDRESS(1000,COLUMN(D$9)+10))),
SUMIF(INDIRECT(Equipo!$G$4&amp;"!B10:B1000"),$B118,INDIRECT(Equipo!$G$4&amp;"!"&amp;ADDRESS(10,COLUMN(D$9)+10)&amp;":"&amp;ADDRESS(1000,COLUMN(D$9)+10)))
))</f>
        <v>-</v>
      </c>
      <c r="E118" s="19" t="str">
        <f t="array" ref="E118">IF(ISBLANK(Tareas!$B114),"-",
SUM(
SUMIF(INDIRECT(Equipo!$C$4&amp;"!B10:B1000"),$B118,INDIRECT(Equipo!$C$4&amp;"!"&amp;ADDRESS(10,COLUMN(E$9)+10)&amp;":"&amp;ADDRESS(1000,COLUMN(E$9)+10))),
SUMIF(INDIRECT(Equipo!$D$4&amp;"!B10:B1000"),$B118,INDIRECT(Equipo!$D$4&amp;"!"&amp;ADDRESS(10,COLUMN(E$9)+10)&amp;":"&amp;ADDRESS(1000,COLUMN(E$9)+10))),
SUMIF(INDIRECT(Equipo!$E$4&amp;"!B10:B1000"),$B118,INDIRECT(Equipo!$E$4&amp;"!"&amp;ADDRESS(10,COLUMN(E$9)+10)&amp;":"&amp;ADDRESS(1000,COLUMN(E$9)+10))),
SUMIF(INDIRECT(Equipo!$F$4&amp;"!B10:B1000"),$B118,INDIRECT(Equipo!$F$4&amp;"!"&amp;ADDRESS(10,COLUMN(E$9)+10)&amp;":"&amp;ADDRESS(1000,COLUMN(E$9)+10))),
SUMIF(INDIRECT(Equipo!$G$4&amp;"!B10:B1000"),$B118,INDIRECT(Equipo!$G$4&amp;"!"&amp;ADDRESS(10,COLUMN(E$9)+10)&amp;":"&amp;ADDRESS(1000,COLUMN(E$9)+10)))
))</f>
        <v>-</v>
      </c>
      <c r="F118" s="19" t="str">
        <f t="array" ref="F118">IF(ISBLANK(Tareas!$B114),"-",
SUM(
SUMIF(INDIRECT(Equipo!$C$4&amp;"!B10:B1000"),$B118,INDIRECT(Equipo!$C$4&amp;"!"&amp;ADDRESS(10,COLUMN(F$9)+10)&amp;":"&amp;ADDRESS(1000,COLUMN(F$9)+10))),
SUMIF(INDIRECT(Equipo!$D$4&amp;"!B10:B1000"),$B118,INDIRECT(Equipo!$D$4&amp;"!"&amp;ADDRESS(10,COLUMN(F$9)+10)&amp;":"&amp;ADDRESS(1000,COLUMN(F$9)+10))),
SUMIF(INDIRECT(Equipo!$E$4&amp;"!B10:B1000"),$B118,INDIRECT(Equipo!$E$4&amp;"!"&amp;ADDRESS(10,COLUMN(F$9)+10)&amp;":"&amp;ADDRESS(1000,COLUMN(F$9)+10))),
SUMIF(INDIRECT(Equipo!$F$4&amp;"!B10:B1000"),$B118,INDIRECT(Equipo!$F$4&amp;"!"&amp;ADDRESS(10,COLUMN(F$9)+10)&amp;":"&amp;ADDRESS(1000,COLUMN(F$9)+10))),
SUMIF(INDIRECT(Equipo!$G$4&amp;"!B10:B1000"),$B118,INDIRECT(Equipo!$G$4&amp;"!"&amp;ADDRESS(10,COLUMN(F$9)+10)&amp;":"&amp;ADDRESS(1000,COLUMN(F$9)+10)))
))</f>
        <v>-</v>
      </c>
      <c r="G118" s="19" t="str">
        <f t="array" ref="G118">IF(ISBLANK(Tareas!$B114),"-",
SUM(
SUMIF(INDIRECT(Equipo!$C$4&amp;"!B10:B1000"),$B118,INDIRECT(Equipo!$C$4&amp;"!"&amp;ADDRESS(10,COLUMN(G$9)+10)&amp;":"&amp;ADDRESS(1000,COLUMN(G$9)+10))),
SUMIF(INDIRECT(Equipo!$D$4&amp;"!B10:B1000"),$B118,INDIRECT(Equipo!$D$4&amp;"!"&amp;ADDRESS(10,COLUMN(G$9)+10)&amp;":"&amp;ADDRESS(1000,COLUMN(G$9)+10))),
SUMIF(INDIRECT(Equipo!$E$4&amp;"!B10:B1000"),$B118,INDIRECT(Equipo!$E$4&amp;"!"&amp;ADDRESS(10,COLUMN(G$9)+10)&amp;":"&amp;ADDRESS(1000,COLUMN(G$9)+10))),
SUMIF(INDIRECT(Equipo!$F$4&amp;"!B10:B1000"),$B118,INDIRECT(Equipo!$F$4&amp;"!"&amp;ADDRESS(10,COLUMN(G$9)+10)&amp;":"&amp;ADDRESS(1000,COLUMN(G$9)+10))),
SUMIF(INDIRECT(Equipo!$G$4&amp;"!B10:B1000"),$B118,INDIRECT(Equipo!$G$4&amp;"!"&amp;ADDRESS(10,COLUMN(G$9)+10)&amp;":"&amp;ADDRESS(1000,COLUMN(G$9)+10)))
))</f>
        <v>-</v>
      </c>
      <c r="H118" s="19" t="str">
        <f t="array" ref="H118">IF(ISBLANK(Tareas!$B114),"-",
SUM(
SUMIF(INDIRECT(Equipo!$C$4&amp;"!B10:B1000"),$B118,INDIRECT(Equipo!$C$4&amp;"!"&amp;ADDRESS(10,COLUMN(H$9)+10)&amp;":"&amp;ADDRESS(1000,COLUMN(H$9)+10))),
SUMIF(INDIRECT(Equipo!$D$4&amp;"!B10:B1000"),$B118,INDIRECT(Equipo!$D$4&amp;"!"&amp;ADDRESS(10,COLUMN(H$9)+10)&amp;":"&amp;ADDRESS(1000,COLUMN(H$9)+10))),
SUMIF(INDIRECT(Equipo!$E$4&amp;"!B10:B1000"),$B118,INDIRECT(Equipo!$E$4&amp;"!"&amp;ADDRESS(10,COLUMN(H$9)+10)&amp;":"&amp;ADDRESS(1000,COLUMN(H$9)+10))),
SUMIF(INDIRECT(Equipo!$F$4&amp;"!B10:B1000"),$B118,INDIRECT(Equipo!$F$4&amp;"!"&amp;ADDRESS(10,COLUMN(H$9)+10)&amp;":"&amp;ADDRESS(1000,COLUMN(H$9)+10))),
SUMIF(INDIRECT(Equipo!$G$4&amp;"!B10:B1000"),$B118,INDIRECT(Equipo!$G$4&amp;"!"&amp;ADDRESS(10,COLUMN(H$9)+10)&amp;":"&amp;ADDRESS(1000,COLUMN(H$9)+10)))
))</f>
        <v>-</v>
      </c>
      <c r="I118" s="19" t="str">
        <f t="array" ref="I118">IF(ISBLANK(Tareas!$B114),"-",
SUM(
SUMIF(INDIRECT(Equipo!$C$4&amp;"!B10:B1000"),$B118,INDIRECT(Equipo!$C$4&amp;"!"&amp;ADDRESS(10,COLUMN(I$9)+10)&amp;":"&amp;ADDRESS(1000,COLUMN(I$9)+10))),
SUMIF(INDIRECT(Equipo!$D$4&amp;"!B10:B1000"),$B118,INDIRECT(Equipo!$D$4&amp;"!"&amp;ADDRESS(10,COLUMN(I$9)+10)&amp;":"&amp;ADDRESS(1000,COLUMN(I$9)+10))),
SUMIF(INDIRECT(Equipo!$E$4&amp;"!B10:B1000"),$B118,INDIRECT(Equipo!$E$4&amp;"!"&amp;ADDRESS(10,COLUMN(I$9)+10)&amp;":"&amp;ADDRESS(1000,COLUMN(I$9)+10))),
SUMIF(INDIRECT(Equipo!$F$4&amp;"!B10:B1000"),$B118,INDIRECT(Equipo!$F$4&amp;"!"&amp;ADDRESS(10,COLUMN(I$9)+10)&amp;":"&amp;ADDRESS(1000,COLUMN(I$9)+10))),
SUMIF(INDIRECT(Equipo!$G$4&amp;"!B10:B1000"),$B118,INDIRECT(Equipo!$G$4&amp;"!"&amp;ADDRESS(10,COLUMN(I$9)+10)&amp;":"&amp;ADDRESS(1000,COLUMN(I$9)+10)))
))</f>
        <v>-</v>
      </c>
      <c r="J118" s="19" t="str">
        <f t="array" ref="J118">IF(ISBLANK(Tareas!$B114),"-",
SUM(
SUMIF(INDIRECT(Equipo!$C$4&amp;"!B10:B1000"),$B118,INDIRECT(Equipo!$C$4&amp;"!"&amp;ADDRESS(10,COLUMN(J$9)+10)&amp;":"&amp;ADDRESS(1000,COLUMN(J$9)+10))),
SUMIF(INDIRECT(Equipo!$D$4&amp;"!B10:B1000"),$B118,INDIRECT(Equipo!$D$4&amp;"!"&amp;ADDRESS(10,COLUMN(J$9)+10)&amp;":"&amp;ADDRESS(1000,COLUMN(J$9)+10))),
SUMIF(INDIRECT(Equipo!$E$4&amp;"!B10:B1000"),$B118,INDIRECT(Equipo!$E$4&amp;"!"&amp;ADDRESS(10,COLUMN(J$9)+10)&amp;":"&amp;ADDRESS(1000,COLUMN(J$9)+10))),
SUMIF(INDIRECT(Equipo!$F$4&amp;"!B10:B1000"),$B118,INDIRECT(Equipo!$F$4&amp;"!"&amp;ADDRESS(10,COLUMN(J$9)+10)&amp;":"&amp;ADDRESS(1000,COLUMN(J$9)+10))),
SUMIF(INDIRECT(Equipo!$G$4&amp;"!B10:B1000"),$B118,INDIRECT(Equipo!$G$4&amp;"!"&amp;ADDRESS(10,COLUMN(J$9)+10)&amp;":"&amp;ADDRESS(1000,COLUMN(J$9)+10)))
))</f>
        <v>-</v>
      </c>
      <c r="K118" s="19" t="str">
        <f t="array" ref="K118">IF(ISBLANK(Tareas!$B114),"-",
SUM(
SUMIF(INDIRECT(Equipo!$C$4&amp;"!B10:B1000"),$B118,INDIRECT(Equipo!$C$4&amp;"!"&amp;ADDRESS(10,COLUMN(K$9)+10)&amp;":"&amp;ADDRESS(1000,COLUMN(K$9)+10))),
SUMIF(INDIRECT(Equipo!$D$4&amp;"!B10:B1000"),$B118,INDIRECT(Equipo!$D$4&amp;"!"&amp;ADDRESS(10,COLUMN(K$9)+10)&amp;":"&amp;ADDRESS(1000,COLUMN(K$9)+10))),
SUMIF(INDIRECT(Equipo!$E$4&amp;"!B10:B1000"),$B118,INDIRECT(Equipo!$E$4&amp;"!"&amp;ADDRESS(10,COLUMN(K$9)+10)&amp;":"&amp;ADDRESS(1000,COLUMN(K$9)+10))),
SUMIF(INDIRECT(Equipo!$F$4&amp;"!B10:B1000"),$B118,INDIRECT(Equipo!$F$4&amp;"!"&amp;ADDRESS(10,COLUMN(K$9)+10)&amp;":"&amp;ADDRESS(1000,COLUMN(K$9)+10))),
SUMIF(INDIRECT(Equipo!$G$4&amp;"!B10:B1000"),$B118,INDIRECT(Equipo!$G$4&amp;"!"&amp;ADDRESS(10,COLUMN(K$9)+10)&amp;":"&amp;ADDRESS(1000,COLUMN(K$9)+10)))
))</f>
        <v>-</v>
      </c>
    </row>
    <row r="119" ht="15.75" customHeight="1">
      <c r="C119" s="19" t="str">
        <f>IF(ISBLANK(Tareas!$B115),"-",SUM(D119:K119))</f>
        <v>-</v>
      </c>
      <c r="D119" s="19" t="str">
        <f t="array" ref="D119">IF(ISBLANK(Tareas!$B115),"-",
SUM(
SUMIF(INDIRECT(Equipo!$C$4&amp;"!B10:B1000"),$B119,INDIRECT(Equipo!$C$4&amp;"!"&amp;ADDRESS(10,COLUMN(D$9)+10)&amp;":"&amp;ADDRESS(1000,COLUMN(D$9)+10))),
SUMIF(INDIRECT(Equipo!$D$4&amp;"!B10:B1000"),$B119,INDIRECT(Equipo!$D$4&amp;"!"&amp;ADDRESS(10,COLUMN(D$9)+10)&amp;":"&amp;ADDRESS(1000,COLUMN(D$9)+10))),
SUMIF(INDIRECT(Equipo!$E$4&amp;"!B10:B1000"),$B119,INDIRECT(Equipo!$E$4&amp;"!"&amp;ADDRESS(10,COLUMN(D$9)+10)&amp;":"&amp;ADDRESS(1000,COLUMN(D$9)+10))),
SUMIF(INDIRECT(Equipo!$F$4&amp;"!B10:B1000"),$B119,INDIRECT(Equipo!$F$4&amp;"!"&amp;ADDRESS(10,COLUMN(D$9)+10)&amp;":"&amp;ADDRESS(1000,COLUMN(D$9)+10))),
SUMIF(INDIRECT(Equipo!$G$4&amp;"!B10:B1000"),$B119,INDIRECT(Equipo!$G$4&amp;"!"&amp;ADDRESS(10,COLUMN(D$9)+10)&amp;":"&amp;ADDRESS(1000,COLUMN(D$9)+10)))
))</f>
        <v>-</v>
      </c>
      <c r="E119" s="19" t="str">
        <f t="array" ref="E119">IF(ISBLANK(Tareas!$B115),"-",
SUM(
SUMIF(INDIRECT(Equipo!$C$4&amp;"!B10:B1000"),$B119,INDIRECT(Equipo!$C$4&amp;"!"&amp;ADDRESS(10,COLUMN(E$9)+10)&amp;":"&amp;ADDRESS(1000,COLUMN(E$9)+10))),
SUMIF(INDIRECT(Equipo!$D$4&amp;"!B10:B1000"),$B119,INDIRECT(Equipo!$D$4&amp;"!"&amp;ADDRESS(10,COLUMN(E$9)+10)&amp;":"&amp;ADDRESS(1000,COLUMN(E$9)+10))),
SUMIF(INDIRECT(Equipo!$E$4&amp;"!B10:B1000"),$B119,INDIRECT(Equipo!$E$4&amp;"!"&amp;ADDRESS(10,COLUMN(E$9)+10)&amp;":"&amp;ADDRESS(1000,COLUMN(E$9)+10))),
SUMIF(INDIRECT(Equipo!$F$4&amp;"!B10:B1000"),$B119,INDIRECT(Equipo!$F$4&amp;"!"&amp;ADDRESS(10,COLUMN(E$9)+10)&amp;":"&amp;ADDRESS(1000,COLUMN(E$9)+10))),
SUMIF(INDIRECT(Equipo!$G$4&amp;"!B10:B1000"),$B119,INDIRECT(Equipo!$G$4&amp;"!"&amp;ADDRESS(10,COLUMN(E$9)+10)&amp;":"&amp;ADDRESS(1000,COLUMN(E$9)+10)))
))</f>
        <v>-</v>
      </c>
      <c r="F119" s="19" t="str">
        <f t="array" ref="F119">IF(ISBLANK(Tareas!$B115),"-",
SUM(
SUMIF(INDIRECT(Equipo!$C$4&amp;"!B10:B1000"),$B119,INDIRECT(Equipo!$C$4&amp;"!"&amp;ADDRESS(10,COLUMN(F$9)+10)&amp;":"&amp;ADDRESS(1000,COLUMN(F$9)+10))),
SUMIF(INDIRECT(Equipo!$D$4&amp;"!B10:B1000"),$B119,INDIRECT(Equipo!$D$4&amp;"!"&amp;ADDRESS(10,COLUMN(F$9)+10)&amp;":"&amp;ADDRESS(1000,COLUMN(F$9)+10))),
SUMIF(INDIRECT(Equipo!$E$4&amp;"!B10:B1000"),$B119,INDIRECT(Equipo!$E$4&amp;"!"&amp;ADDRESS(10,COLUMN(F$9)+10)&amp;":"&amp;ADDRESS(1000,COLUMN(F$9)+10))),
SUMIF(INDIRECT(Equipo!$F$4&amp;"!B10:B1000"),$B119,INDIRECT(Equipo!$F$4&amp;"!"&amp;ADDRESS(10,COLUMN(F$9)+10)&amp;":"&amp;ADDRESS(1000,COLUMN(F$9)+10))),
SUMIF(INDIRECT(Equipo!$G$4&amp;"!B10:B1000"),$B119,INDIRECT(Equipo!$G$4&amp;"!"&amp;ADDRESS(10,COLUMN(F$9)+10)&amp;":"&amp;ADDRESS(1000,COLUMN(F$9)+10)))
))</f>
        <v>-</v>
      </c>
      <c r="G119" s="19" t="str">
        <f t="array" ref="G119">IF(ISBLANK(Tareas!$B115),"-",
SUM(
SUMIF(INDIRECT(Equipo!$C$4&amp;"!B10:B1000"),$B119,INDIRECT(Equipo!$C$4&amp;"!"&amp;ADDRESS(10,COLUMN(G$9)+10)&amp;":"&amp;ADDRESS(1000,COLUMN(G$9)+10))),
SUMIF(INDIRECT(Equipo!$D$4&amp;"!B10:B1000"),$B119,INDIRECT(Equipo!$D$4&amp;"!"&amp;ADDRESS(10,COLUMN(G$9)+10)&amp;":"&amp;ADDRESS(1000,COLUMN(G$9)+10))),
SUMIF(INDIRECT(Equipo!$E$4&amp;"!B10:B1000"),$B119,INDIRECT(Equipo!$E$4&amp;"!"&amp;ADDRESS(10,COLUMN(G$9)+10)&amp;":"&amp;ADDRESS(1000,COLUMN(G$9)+10))),
SUMIF(INDIRECT(Equipo!$F$4&amp;"!B10:B1000"),$B119,INDIRECT(Equipo!$F$4&amp;"!"&amp;ADDRESS(10,COLUMN(G$9)+10)&amp;":"&amp;ADDRESS(1000,COLUMN(G$9)+10))),
SUMIF(INDIRECT(Equipo!$G$4&amp;"!B10:B1000"),$B119,INDIRECT(Equipo!$G$4&amp;"!"&amp;ADDRESS(10,COLUMN(G$9)+10)&amp;":"&amp;ADDRESS(1000,COLUMN(G$9)+10)))
))</f>
        <v>-</v>
      </c>
      <c r="H119" s="19" t="str">
        <f t="array" ref="H119">IF(ISBLANK(Tareas!$B115),"-",
SUM(
SUMIF(INDIRECT(Equipo!$C$4&amp;"!B10:B1000"),$B119,INDIRECT(Equipo!$C$4&amp;"!"&amp;ADDRESS(10,COLUMN(H$9)+10)&amp;":"&amp;ADDRESS(1000,COLUMN(H$9)+10))),
SUMIF(INDIRECT(Equipo!$D$4&amp;"!B10:B1000"),$B119,INDIRECT(Equipo!$D$4&amp;"!"&amp;ADDRESS(10,COLUMN(H$9)+10)&amp;":"&amp;ADDRESS(1000,COLUMN(H$9)+10))),
SUMIF(INDIRECT(Equipo!$E$4&amp;"!B10:B1000"),$B119,INDIRECT(Equipo!$E$4&amp;"!"&amp;ADDRESS(10,COLUMN(H$9)+10)&amp;":"&amp;ADDRESS(1000,COLUMN(H$9)+10))),
SUMIF(INDIRECT(Equipo!$F$4&amp;"!B10:B1000"),$B119,INDIRECT(Equipo!$F$4&amp;"!"&amp;ADDRESS(10,COLUMN(H$9)+10)&amp;":"&amp;ADDRESS(1000,COLUMN(H$9)+10))),
SUMIF(INDIRECT(Equipo!$G$4&amp;"!B10:B1000"),$B119,INDIRECT(Equipo!$G$4&amp;"!"&amp;ADDRESS(10,COLUMN(H$9)+10)&amp;":"&amp;ADDRESS(1000,COLUMN(H$9)+10)))
))</f>
        <v>-</v>
      </c>
      <c r="I119" s="19" t="str">
        <f t="array" ref="I119">IF(ISBLANK(Tareas!$B115),"-",
SUM(
SUMIF(INDIRECT(Equipo!$C$4&amp;"!B10:B1000"),$B119,INDIRECT(Equipo!$C$4&amp;"!"&amp;ADDRESS(10,COLUMN(I$9)+10)&amp;":"&amp;ADDRESS(1000,COLUMN(I$9)+10))),
SUMIF(INDIRECT(Equipo!$D$4&amp;"!B10:B1000"),$B119,INDIRECT(Equipo!$D$4&amp;"!"&amp;ADDRESS(10,COLUMN(I$9)+10)&amp;":"&amp;ADDRESS(1000,COLUMN(I$9)+10))),
SUMIF(INDIRECT(Equipo!$E$4&amp;"!B10:B1000"),$B119,INDIRECT(Equipo!$E$4&amp;"!"&amp;ADDRESS(10,COLUMN(I$9)+10)&amp;":"&amp;ADDRESS(1000,COLUMN(I$9)+10))),
SUMIF(INDIRECT(Equipo!$F$4&amp;"!B10:B1000"),$B119,INDIRECT(Equipo!$F$4&amp;"!"&amp;ADDRESS(10,COLUMN(I$9)+10)&amp;":"&amp;ADDRESS(1000,COLUMN(I$9)+10))),
SUMIF(INDIRECT(Equipo!$G$4&amp;"!B10:B1000"),$B119,INDIRECT(Equipo!$G$4&amp;"!"&amp;ADDRESS(10,COLUMN(I$9)+10)&amp;":"&amp;ADDRESS(1000,COLUMN(I$9)+10)))
))</f>
        <v>-</v>
      </c>
      <c r="J119" s="19" t="str">
        <f t="array" ref="J119">IF(ISBLANK(Tareas!$B115),"-",
SUM(
SUMIF(INDIRECT(Equipo!$C$4&amp;"!B10:B1000"),$B119,INDIRECT(Equipo!$C$4&amp;"!"&amp;ADDRESS(10,COLUMN(J$9)+10)&amp;":"&amp;ADDRESS(1000,COLUMN(J$9)+10))),
SUMIF(INDIRECT(Equipo!$D$4&amp;"!B10:B1000"),$B119,INDIRECT(Equipo!$D$4&amp;"!"&amp;ADDRESS(10,COLUMN(J$9)+10)&amp;":"&amp;ADDRESS(1000,COLUMN(J$9)+10))),
SUMIF(INDIRECT(Equipo!$E$4&amp;"!B10:B1000"),$B119,INDIRECT(Equipo!$E$4&amp;"!"&amp;ADDRESS(10,COLUMN(J$9)+10)&amp;":"&amp;ADDRESS(1000,COLUMN(J$9)+10))),
SUMIF(INDIRECT(Equipo!$F$4&amp;"!B10:B1000"),$B119,INDIRECT(Equipo!$F$4&amp;"!"&amp;ADDRESS(10,COLUMN(J$9)+10)&amp;":"&amp;ADDRESS(1000,COLUMN(J$9)+10))),
SUMIF(INDIRECT(Equipo!$G$4&amp;"!B10:B1000"),$B119,INDIRECT(Equipo!$G$4&amp;"!"&amp;ADDRESS(10,COLUMN(J$9)+10)&amp;":"&amp;ADDRESS(1000,COLUMN(J$9)+10)))
))</f>
        <v>-</v>
      </c>
      <c r="K119" s="19" t="str">
        <f t="array" ref="K119">IF(ISBLANK(Tareas!$B115),"-",
SUM(
SUMIF(INDIRECT(Equipo!$C$4&amp;"!B10:B1000"),$B119,INDIRECT(Equipo!$C$4&amp;"!"&amp;ADDRESS(10,COLUMN(K$9)+10)&amp;":"&amp;ADDRESS(1000,COLUMN(K$9)+10))),
SUMIF(INDIRECT(Equipo!$D$4&amp;"!B10:B1000"),$B119,INDIRECT(Equipo!$D$4&amp;"!"&amp;ADDRESS(10,COLUMN(K$9)+10)&amp;":"&amp;ADDRESS(1000,COLUMN(K$9)+10))),
SUMIF(INDIRECT(Equipo!$E$4&amp;"!B10:B1000"),$B119,INDIRECT(Equipo!$E$4&amp;"!"&amp;ADDRESS(10,COLUMN(K$9)+10)&amp;":"&amp;ADDRESS(1000,COLUMN(K$9)+10))),
SUMIF(INDIRECT(Equipo!$F$4&amp;"!B10:B1000"),$B119,INDIRECT(Equipo!$F$4&amp;"!"&amp;ADDRESS(10,COLUMN(K$9)+10)&amp;":"&amp;ADDRESS(1000,COLUMN(K$9)+10))),
SUMIF(INDIRECT(Equipo!$G$4&amp;"!B10:B1000"),$B119,INDIRECT(Equipo!$G$4&amp;"!"&amp;ADDRESS(10,COLUMN(K$9)+10)&amp;":"&amp;ADDRESS(1000,COLUMN(K$9)+10)))
))</f>
        <v>-</v>
      </c>
    </row>
    <row r="120" ht="15.75" customHeight="1">
      <c r="C120" s="19" t="str">
        <f>IF(ISBLANK(Tareas!$B116),"-",SUM(D120:K120))</f>
        <v>-</v>
      </c>
      <c r="D120" s="19" t="str">
        <f t="array" ref="D120">IF(ISBLANK(Tareas!$B116),"-",
SUM(
SUMIF(INDIRECT(Equipo!$C$4&amp;"!B10:B1000"),$B120,INDIRECT(Equipo!$C$4&amp;"!"&amp;ADDRESS(10,COLUMN(D$9)+10)&amp;":"&amp;ADDRESS(1000,COLUMN(D$9)+10))),
SUMIF(INDIRECT(Equipo!$D$4&amp;"!B10:B1000"),$B120,INDIRECT(Equipo!$D$4&amp;"!"&amp;ADDRESS(10,COLUMN(D$9)+10)&amp;":"&amp;ADDRESS(1000,COLUMN(D$9)+10))),
SUMIF(INDIRECT(Equipo!$E$4&amp;"!B10:B1000"),$B120,INDIRECT(Equipo!$E$4&amp;"!"&amp;ADDRESS(10,COLUMN(D$9)+10)&amp;":"&amp;ADDRESS(1000,COLUMN(D$9)+10))),
SUMIF(INDIRECT(Equipo!$F$4&amp;"!B10:B1000"),$B120,INDIRECT(Equipo!$F$4&amp;"!"&amp;ADDRESS(10,COLUMN(D$9)+10)&amp;":"&amp;ADDRESS(1000,COLUMN(D$9)+10))),
SUMIF(INDIRECT(Equipo!$G$4&amp;"!B10:B1000"),$B120,INDIRECT(Equipo!$G$4&amp;"!"&amp;ADDRESS(10,COLUMN(D$9)+10)&amp;":"&amp;ADDRESS(1000,COLUMN(D$9)+10)))
))</f>
        <v>-</v>
      </c>
      <c r="E120" s="19" t="str">
        <f t="array" ref="E120">IF(ISBLANK(Tareas!$B116),"-",
SUM(
SUMIF(INDIRECT(Equipo!$C$4&amp;"!B10:B1000"),$B120,INDIRECT(Equipo!$C$4&amp;"!"&amp;ADDRESS(10,COLUMN(E$9)+10)&amp;":"&amp;ADDRESS(1000,COLUMN(E$9)+10))),
SUMIF(INDIRECT(Equipo!$D$4&amp;"!B10:B1000"),$B120,INDIRECT(Equipo!$D$4&amp;"!"&amp;ADDRESS(10,COLUMN(E$9)+10)&amp;":"&amp;ADDRESS(1000,COLUMN(E$9)+10))),
SUMIF(INDIRECT(Equipo!$E$4&amp;"!B10:B1000"),$B120,INDIRECT(Equipo!$E$4&amp;"!"&amp;ADDRESS(10,COLUMN(E$9)+10)&amp;":"&amp;ADDRESS(1000,COLUMN(E$9)+10))),
SUMIF(INDIRECT(Equipo!$F$4&amp;"!B10:B1000"),$B120,INDIRECT(Equipo!$F$4&amp;"!"&amp;ADDRESS(10,COLUMN(E$9)+10)&amp;":"&amp;ADDRESS(1000,COLUMN(E$9)+10))),
SUMIF(INDIRECT(Equipo!$G$4&amp;"!B10:B1000"),$B120,INDIRECT(Equipo!$G$4&amp;"!"&amp;ADDRESS(10,COLUMN(E$9)+10)&amp;":"&amp;ADDRESS(1000,COLUMN(E$9)+10)))
))</f>
        <v>-</v>
      </c>
      <c r="F120" s="19" t="str">
        <f t="array" ref="F120">IF(ISBLANK(Tareas!$B116),"-",
SUM(
SUMIF(INDIRECT(Equipo!$C$4&amp;"!B10:B1000"),$B120,INDIRECT(Equipo!$C$4&amp;"!"&amp;ADDRESS(10,COLUMN(F$9)+10)&amp;":"&amp;ADDRESS(1000,COLUMN(F$9)+10))),
SUMIF(INDIRECT(Equipo!$D$4&amp;"!B10:B1000"),$B120,INDIRECT(Equipo!$D$4&amp;"!"&amp;ADDRESS(10,COLUMN(F$9)+10)&amp;":"&amp;ADDRESS(1000,COLUMN(F$9)+10))),
SUMIF(INDIRECT(Equipo!$E$4&amp;"!B10:B1000"),$B120,INDIRECT(Equipo!$E$4&amp;"!"&amp;ADDRESS(10,COLUMN(F$9)+10)&amp;":"&amp;ADDRESS(1000,COLUMN(F$9)+10))),
SUMIF(INDIRECT(Equipo!$F$4&amp;"!B10:B1000"),$B120,INDIRECT(Equipo!$F$4&amp;"!"&amp;ADDRESS(10,COLUMN(F$9)+10)&amp;":"&amp;ADDRESS(1000,COLUMN(F$9)+10))),
SUMIF(INDIRECT(Equipo!$G$4&amp;"!B10:B1000"),$B120,INDIRECT(Equipo!$G$4&amp;"!"&amp;ADDRESS(10,COLUMN(F$9)+10)&amp;":"&amp;ADDRESS(1000,COLUMN(F$9)+10)))
))</f>
        <v>-</v>
      </c>
      <c r="G120" s="19" t="str">
        <f t="array" ref="G120">IF(ISBLANK(Tareas!$B116),"-",
SUM(
SUMIF(INDIRECT(Equipo!$C$4&amp;"!B10:B1000"),$B120,INDIRECT(Equipo!$C$4&amp;"!"&amp;ADDRESS(10,COLUMN(G$9)+10)&amp;":"&amp;ADDRESS(1000,COLUMN(G$9)+10))),
SUMIF(INDIRECT(Equipo!$D$4&amp;"!B10:B1000"),$B120,INDIRECT(Equipo!$D$4&amp;"!"&amp;ADDRESS(10,COLUMN(G$9)+10)&amp;":"&amp;ADDRESS(1000,COLUMN(G$9)+10))),
SUMIF(INDIRECT(Equipo!$E$4&amp;"!B10:B1000"),$B120,INDIRECT(Equipo!$E$4&amp;"!"&amp;ADDRESS(10,COLUMN(G$9)+10)&amp;":"&amp;ADDRESS(1000,COLUMN(G$9)+10))),
SUMIF(INDIRECT(Equipo!$F$4&amp;"!B10:B1000"),$B120,INDIRECT(Equipo!$F$4&amp;"!"&amp;ADDRESS(10,COLUMN(G$9)+10)&amp;":"&amp;ADDRESS(1000,COLUMN(G$9)+10))),
SUMIF(INDIRECT(Equipo!$G$4&amp;"!B10:B1000"),$B120,INDIRECT(Equipo!$G$4&amp;"!"&amp;ADDRESS(10,COLUMN(G$9)+10)&amp;":"&amp;ADDRESS(1000,COLUMN(G$9)+10)))
))</f>
        <v>-</v>
      </c>
      <c r="H120" s="19" t="str">
        <f t="array" ref="H120">IF(ISBLANK(Tareas!$B116),"-",
SUM(
SUMIF(INDIRECT(Equipo!$C$4&amp;"!B10:B1000"),$B120,INDIRECT(Equipo!$C$4&amp;"!"&amp;ADDRESS(10,COLUMN(H$9)+10)&amp;":"&amp;ADDRESS(1000,COLUMN(H$9)+10))),
SUMIF(INDIRECT(Equipo!$D$4&amp;"!B10:B1000"),$B120,INDIRECT(Equipo!$D$4&amp;"!"&amp;ADDRESS(10,COLUMN(H$9)+10)&amp;":"&amp;ADDRESS(1000,COLUMN(H$9)+10))),
SUMIF(INDIRECT(Equipo!$E$4&amp;"!B10:B1000"),$B120,INDIRECT(Equipo!$E$4&amp;"!"&amp;ADDRESS(10,COLUMN(H$9)+10)&amp;":"&amp;ADDRESS(1000,COLUMN(H$9)+10))),
SUMIF(INDIRECT(Equipo!$F$4&amp;"!B10:B1000"),$B120,INDIRECT(Equipo!$F$4&amp;"!"&amp;ADDRESS(10,COLUMN(H$9)+10)&amp;":"&amp;ADDRESS(1000,COLUMN(H$9)+10))),
SUMIF(INDIRECT(Equipo!$G$4&amp;"!B10:B1000"),$B120,INDIRECT(Equipo!$G$4&amp;"!"&amp;ADDRESS(10,COLUMN(H$9)+10)&amp;":"&amp;ADDRESS(1000,COLUMN(H$9)+10)))
))</f>
        <v>-</v>
      </c>
      <c r="I120" s="19" t="str">
        <f t="array" ref="I120">IF(ISBLANK(Tareas!$B116),"-",
SUM(
SUMIF(INDIRECT(Equipo!$C$4&amp;"!B10:B1000"),$B120,INDIRECT(Equipo!$C$4&amp;"!"&amp;ADDRESS(10,COLUMN(I$9)+10)&amp;":"&amp;ADDRESS(1000,COLUMN(I$9)+10))),
SUMIF(INDIRECT(Equipo!$D$4&amp;"!B10:B1000"),$B120,INDIRECT(Equipo!$D$4&amp;"!"&amp;ADDRESS(10,COLUMN(I$9)+10)&amp;":"&amp;ADDRESS(1000,COLUMN(I$9)+10))),
SUMIF(INDIRECT(Equipo!$E$4&amp;"!B10:B1000"),$B120,INDIRECT(Equipo!$E$4&amp;"!"&amp;ADDRESS(10,COLUMN(I$9)+10)&amp;":"&amp;ADDRESS(1000,COLUMN(I$9)+10))),
SUMIF(INDIRECT(Equipo!$F$4&amp;"!B10:B1000"),$B120,INDIRECT(Equipo!$F$4&amp;"!"&amp;ADDRESS(10,COLUMN(I$9)+10)&amp;":"&amp;ADDRESS(1000,COLUMN(I$9)+10))),
SUMIF(INDIRECT(Equipo!$G$4&amp;"!B10:B1000"),$B120,INDIRECT(Equipo!$G$4&amp;"!"&amp;ADDRESS(10,COLUMN(I$9)+10)&amp;":"&amp;ADDRESS(1000,COLUMN(I$9)+10)))
))</f>
        <v>-</v>
      </c>
      <c r="J120" s="19" t="str">
        <f t="array" ref="J120">IF(ISBLANK(Tareas!$B116),"-",
SUM(
SUMIF(INDIRECT(Equipo!$C$4&amp;"!B10:B1000"),$B120,INDIRECT(Equipo!$C$4&amp;"!"&amp;ADDRESS(10,COLUMN(J$9)+10)&amp;":"&amp;ADDRESS(1000,COLUMN(J$9)+10))),
SUMIF(INDIRECT(Equipo!$D$4&amp;"!B10:B1000"),$B120,INDIRECT(Equipo!$D$4&amp;"!"&amp;ADDRESS(10,COLUMN(J$9)+10)&amp;":"&amp;ADDRESS(1000,COLUMN(J$9)+10))),
SUMIF(INDIRECT(Equipo!$E$4&amp;"!B10:B1000"),$B120,INDIRECT(Equipo!$E$4&amp;"!"&amp;ADDRESS(10,COLUMN(J$9)+10)&amp;":"&amp;ADDRESS(1000,COLUMN(J$9)+10))),
SUMIF(INDIRECT(Equipo!$F$4&amp;"!B10:B1000"),$B120,INDIRECT(Equipo!$F$4&amp;"!"&amp;ADDRESS(10,COLUMN(J$9)+10)&amp;":"&amp;ADDRESS(1000,COLUMN(J$9)+10))),
SUMIF(INDIRECT(Equipo!$G$4&amp;"!B10:B1000"),$B120,INDIRECT(Equipo!$G$4&amp;"!"&amp;ADDRESS(10,COLUMN(J$9)+10)&amp;":"&amp;ADDRESS(1000,COLUMN(J$9)+10)))
))</f>
        <v>-</v>
      </c>
      <c r="K120" s="19" t="str">
        <f t="array" ref="K120">IF(ISBLANK(Tareas!$B116),"-",
SUM(
SUMIF(INDIRECT(Equipo!$C$4&amp;"!B10:B1000"),$B120,INDIRECT(Equipo!$C$4&amp;"!"&amp;ADDRESS(10,COLUMN(K$9)+10)&amp;":"&amp;ADDRESS(1000,COLUMN(K$9)+10))),
SUMIF(INDIRECT(Equipo!$D$4&amp;"!B10:B1000"),$B120,INDIRECT(Equipo!$D$4&amp;"!"&amp;ADDRESS(10,COLUMN(K$9)+10)&amp;":"&amp;ADDRESS(1000,COLUMN(K$9)+10))),
SUMIF(INDIRECT(Equipo!$E$4&amp;"!B10:B1000"),$B120,INDIRECT(Equipo!$E$4&amp;"!"&amp;ADDRESS(10,COLUMN(K$9)+10)&amp;":"&amp;ADDRESS(1000,COLUMN(K$9)+10))),
SUMIF(INDIRECT(Equipo!$F$4&amp;"!B10:B1000"),$B120,INDIRECT(Equipo!$F$4&amp;"!"&amp;ADDRESS(10,COLUMN(K$9)+10)&amp;":"&amp;ADDRESS(1000,COLUMN(K$9)+10))),
SUMIF(INDIRECT(Equipo!$G$4&amp;"!B10:B1000"),$B120,INDIRECT(Equipo!$G$4&amp;"!"&amp;ADDRESS(10,COLUMN(K$9)+10)&amp;":"&amp;ADDRESS(1000,COLUMN(K$9)+10)))
))</f>
        <v>-</v>
      </c>
    </row>
    <row r="121" ht="15.75" customHeight="1">
      <c r="C121" s="19" t="str">
        <f>IF(ISBLANK(Tareas!$B117),"-",SUM(D121:K121))</f>
        <v>-</v>
      </c>
      <c r="D121" s="19" t="str">
        <f t="array" ref="D121">IF(ISBLANK(Tareas!$B117),"-",
SUM(
SUMIF(INDIRECT(Equipo!$C$4&amp;"!B10:B1000"),$B121,INDIRECT(Equipo!$C$4&amp;"!"&amp;ADDRESS(10,COLUMN(D$9)+10)&amp;":"&amp;ADDRESS(1000,COLUMN(D$9)+10))),
SUMIF(INDIRECT(Equipo!$D$4&amp;"!B10:B1000"),$B121,INDIRECT(Equipo!$D$4&amp;"!"&amp;ADDRESS(10,COLUMN(D$9)+10)&amp;":"&amp;ADDRESS(1000,COLUMN(D$9)+10))),
SUMIF(INDIRECT(Equipo!$E$4&amp;"!B10:B1000"),$B121,INDIRECT(Equipo!$E$4&amp;"!"&amp;ADDRESS(10,COLUMN(D$9)+10)&amp;":"&amp;ADDRESS(1000,COLUMN(D$9)+10))),
SUMIF(INDIRECT(Equipo!$F$4&amp;"!B10:B1000"),$B121,INDIRECT(Equipo!$F$4&amp;"!"&amp;ADDRESS(10,COLUMN(D$9)+10)&amp;":"&amp;ADDRESS(1000,COLUMN(D$9)+10))),
SUMIF(INDIRECT(Equipo!$G$4&amp;"!B10:B1000"),$B121,INDIRECT(Equipo!$G$4&amp;"!"&amp;ADDRESS(10,COLUMN(D$9)+10)&amp;":"&amp;ADDRESS(1000,COLUMN(D$9)+10)))
))</f>
        <v>-</v>
      </c>
      <c r="E121" s="19" t="str">
        <f t="array" ref="E121">IF(ISBLANK(Tareas!$B117),"-",
SUM(
SUMIF(INDIRECT(Equipo!$C$4&amp;"!B10:B1000"),$B121,INDIRECT(Equipo!$C$4&amp;"!"&amp;ADDRESS(10,COLUMN(E$9)+10)&amp;":"&amp;ADDRESS(1000,COLUMN(E$9)+10))),
SUMIF(INDIRECT(Equipo!$D$4&amp;"!B10:B1000"),$B121,INDIRECT(Equipo!$D$4&amp;"!"&amp;ADDRESS(10,COLUMN(E$9)+10)&amp;":"&amp;ADDRESS(1000,COLUMN(E$9)+10))),
SUMIF(INDIRECT(Equipo!$E$4&amp;"!B10:B1000"),$B121,INDIRECT(Equipo!$E$4&amp;"!"&amp;ADDRESS(10,COLUMN(E$9)+10)&amp;":"&amp;ADDRESS(1000,COLUMN(E$9)+10))),
SUMIF(INDIRECT(Equipo!$F$4&amp;"!B10:B1000"),$B121,INDIRECT(Equipo!$F$4&amp;"!"&amp;ADDRESS(10,COLUMN(E$9)+10)&amp;":"&amp;ADDRESS(1000,COLUMN(E$9)+10))),
SUMIF(INDIRECT(Equipo!$G$4&amp;"!B10:B1000"),$B121,INDIRECT(Equipo!$G$4&amp;"!"&amp;ADDRESS(10,COLUMN(E$9)+10)&amp;":"&amp;ADDRESS(1000,COLUMN(E$9)+10)))
))</f>
        <v>-</v>
      </c>
      <c r="F121" s="19" t="str">
        <f t="array" ref="F121">IF(ISBLANK(Tareas!$B117),"-",
SUM(
SUMIF(INDIRECT(Equipo!$C$4&amp;"!B10:B1000"),$B121,INDIRECT(Equipo!$C$4&amp;"!"&amp;ADDRESS(10,COLUMN(F$9)+10)&amp;":"&amp;ADDRESS(1000,COLUMN(F$9)+10))),
SUMIF(INDIRECT(Equipo!$D$4&amp;"!B10:B1000"),$B121,INDIRECT(Equipo!$D$4&amp;"!"&amp;ADDRESS(10,COLUMN(F$9)+10)&amp;":"&amp;ADDRESS(1000,COLUMN(F$9)+10))),
SUMIF(INDIRECT(Equipo!$E$4&amp;"!B10:B1000"),$B121,INDIRECT(Equipo!$E$4&amp;"!"&amp;ADDRESS(10,COLUMN(F$9)+10)&amp;":"&amp;ADDRESS(1000,COLUMN(F$9)+10))),
SUMIF(INDIRECT(Equipo!$F$4&amp;"!B10:B1000"),$B121,INDIRECT(Equipo!$F$4&amp;"!"&amp;ADDRESS(10,COLUMN(F$9)+10)&amp;":"&amp;ADDRESS(1000,COLUMN(F$9)+10))),
SUMIF(INDIRECT(Equipo!$G$4&amp;"!B10:B1000"),$B121,INDIRECT(Equipo!$G$4&amp;"!"&amp;ADDRESS(10,COLUMN(F$9)+10)&amp;":"&amp;ADDRESS(1000,COLUMN(F$9)+10)))
))</f>
        <v>-</v>
      </c>
      <c r="G121" s="19" t="str">
        <f t="array" ref="G121">IF(ISBLANK(Tareas!$B117),"-",
SUM(
SUMIF(INDIRECT(Equipo!$C$4&amp;"!B10:B1000"),$B121,INDIRECT(Equipo!$C$4&amp;"!"&amp;ADDRESS(10,COLUMN(G$9)+10)&amp;":"&amp;ADDRESS(1000,COLUMN(G$9)+10))),
SUMIF(INDIRECT(Equipo!$D$4&amp;"!B10:B1000"),$B121,INDIRECT(Equipo!$D$4&amp;"!"&amp;ADDRESS(10,COLUMN(G$9)+10)&amp;":"&amp;ADDRESS(1000,COLUMN(G$9)+10))),
SUMIF(INDIRECT(Equipo!$E$4&amp;"!B10:B1000"),$B121,INDIRECT(Equipo!$E$4&amp;"!"&amp;ADDRESS(10,COLUMN(G$9)+10)&amp;":"&amp;ADDRESS(1000,COLUMN(G$9)+10))),
SUMIF(INDIRECT(Equipo!$F$4&amp;"!B10:B1000"),$B121,INDIRECT(Equipo!$F$4&amp;"!"&amp;ADDRESS(10,COLUMN(G$9)+10)&amp;":"&amp;ADDRESS(1000,COLUMN(G$9)+10))),
SUMIF(INDIRECT(Equipo!$G$4&amp;"!B10:B1000"),$B121,INDIRECT(Equipo!$G$4&amp;"!"&amp;ADDRESS(10,COLUMN(G$9)+10)&amp;":"&amp;ADDRESS(1000,COLUMN(G$9)+10)))
))</f>
        <v>-</v>
      </c>
      <c r="H121" s="19" t="str">
        <f t="array" ref="H121">IF(ISBLANK(Tareas!$B117),"-",
SUM(
SUMIF(INDIRECT(Equipo!$C$4&amp;"!B10:B1000"),$B121,INDIRECT(Equipo!$C$4&amp;"!"&amp;ADDRESS(10,COLUMN(H$9)+10)&amp;":"&amp;ADDRESS(1000,COLUMN(H$9)+10))),
SUMIF(INDIRECT(Equipo!$D$4&amp;"!B10:B1000"),$B121,INDIRECT(Equipo!$D$4&amp;"!"&amp;ADDRESS(10,COLUMN(H$9)+10)&amp;":"&amp;ADDRESS(1000,COLUMN(H$9)+10))),
SUMIF(INDIRECT(Equipo!$E$4&amp;"!B10:B1000"),$B121,INDIRECT(Equipo!$E$4&amp;"!"&amp;ADDRESS(10,COLUMN(H$9)+10)&amp;":"&amp;ADDRESS(1000,COLUMN(H$9)+10))),
SUMIF(INDIRECT(Equipo!$F$4&amp;"!B10:B1000"),$B121,INDIRECT(Equipo!$F$4&amp;"!"&amp;ADDRESS(10,COLUMN(H$9)+10)&amp;":"&amp;ADDRESS(1000,COLUMN(H$9)+10))),
SUMIF(INDIRECT(Equipo!$G$4&amp;"!B10:B1000"),$B121,INDIRECT(Equipo!$G$4&amp;"!"&amp;ADDRESS(10,COLUMN(H$9)+10)&amp;":"&amp;ADDRESS(1000,COLUMN(H$9)+10)))
))</f>
        <v>-</v>
      </c>
      <c r="I121" s="19" t="str">
        <f t="array" ref="I121">IF(ISBLANK(Tareas!$B117),"-",
SUM(
SUMIF(INDIRECT(Equipo!$C$4&amp;"!B10:B1000"),$B121,INDIRECT(Equipo!$C$4&amp;"!"&amp;ADDRESS(10,COLUMN(I$9)+10)&amp;":"&amp;ADDRESS(1000,COLUMN(I$9)+10))),
SUMIF(INDIRECT(Equipo!$D$4&amp;"!B10:B1000"),$B121,INDIRECT(Equipo!$D$4&amp;"!"&amp;ADDRESS(10,COLUMN(I$9)+10)&amp;":"&amp;ADDRESS(1000,COLUMN(I$9)+10))),
SUMIF(INDIRECT(Equipo!$E$4&amp;"!B10:B1000"),$B121,INDIRECT(Equipo!$E$4&amp;"!"&amp;ADDRESS(10,COLUMN(I$9)+10)&amp;":"&amp;ADDRESS(1000,COLUMN(I$9)+10))),
SUMIF(INDIRECT(Equipo!$F$4&amp;"!B10:B1000"),$B121,INDIRECT(Equipo!$F$4&amp;"!"&amp;ADDRESS(10,COLUMN(I$9)+10)&amp;":"&amp;ADDRESS(1000,COLUMN(I$9)+10))),
SUMIF(INDIRECT(Equipo!$G$4&amp;"!B10:B1000"),$B121,INDIRECT(Equipo!$G$4&amp;"!"&amp;ADDRESS(10,COLUMN(I$9)+10)&amp;":"&amp;ADDRESS(1000,COLUMN(I$9)+10)))
))</f>
        <v>-</v>
      </c>
      <c r="J121" s="19" t="str">
        <f t="array" ref="J121">IF(ISBLANK(Tareas!$B117),"-",
SUM(
SUMIF(INDIRECT(Equipo!$C$4&amp;"!B10:B1000"),$B121,INDIRECT(Equipo!$C$4&amp;"!"&amp;ADDRESS(10,COLUMN(J$9)+10)&amp;":"&amp;ADDRESS(1000,COLUMN(J$9)+10))),
SUMIF(INDIRECT(Equipo!$D$4&amp;"!B10:B1000"),$B121,INDIRECT(Equipo!$D$4&amp;"!"&amp;ADDRESS(10,COLUMN(J$9)+10)&amp;":"&amp;ADDRESS(1000,COLUMN(J$9)+10))),
SUMIF(INDIRECT(Equipo!$E$4&amp;"!B10:B1000"),$B121,INDIRECT(Equipo!$E$4&amp;"!"&amp;ADDRESS(10,COLUMN(J$9)+10)&amp;":"&amp;ADDRESS(1000,COLUMN(J$9)+10))),
SUMIF(INDIRECT(Equipo!$F$4&amp;"!B10:B1000"),$B121,INDIRECT(Equipo!$F$4&amp;"!"&amp;ADDRESS(10,COLUMN(J$9)+10)&amp;":"&amp;ADDRESS(1000,COLUMN(J$9)+10))),
SUMIF(INDIRECT(Equipo!$G$4&amp;"!B10:B1000"),$B121,INDIRECT(Equipo!$G$4&amp;"!"&amp;ADDRESS(10,COLUMN(J$9)+10)&amp;":"&amp;ADDRESS(1000,COLUMN(J$9)+10)))
))</f>
        <v>-</v>
      </c>
      <c r="K121" s="19" t="str">
        <f t="array" ref="K121">IF(ISBLANK(Tareas!$B117),"-",
SUM(
SUMIF(INDIRECT(Equipo!$C$4&amp;"!B10:B1000"),$B121,INDIRECT(Equipo!$C$4&amp;"!"&amp;ADDRESS(10,COLUMN(K$9)+10)&amp;":"&amp;ADDRESS(1000,COLUMN(K$9)+10))),
SUMIF(INDIRECT(Equipo!$D$4&amp;"!B10:B1000"),$B121,INDIRECT(Equipo!$D$4&amp;"!"&amp;ADDRESS(10,COLUMN(K$9)+10)&amp;":"&amp;ADDRESS(1000,COLUMN(K$9)+10))),
SUMIF(INDIRECT(Equipo!$E$4&amp;"!B10:B1000"),$B121,INDIRECT(Equipo!$E$4&amp;"!"&amp;ADDRESS(10,COLUMN(K$9)+10)&amp;":"&amp;ADDRESS(1000,COLUMN(K$9)+10))),
SUMIF(INDIRECT(Equipo!$F$4&amp;"!B10:B1000"),$B121,INDIRECT(Equipo!$F$4&amp;"!"&amp;ADDRESS(10,COLUMN(K$9)+10)&amp;":"&amp;ADDRESS(1000,COLUMN(K$9)+10))),
SUMIF(INDIRECT(Equipo!$G$4&amp;"!B10:B1000"),$B121,INDIRECT(Equipo!$G$4&amp;"!"&amp;ADDRESS(10,COLUMN(K$9)+10)&amp;":"&amp;ADDRESS(1000,COLUMN(K$9)+10)))
))</f>
        <v>-</v>
      </c>
    </row>
    <row r="122" ht="15.75" customHeight="1">
      <c r="C122" s="19" t="str">
        <f>IF(ISBLANK(Tareas!$B118),"-",SUM(D122:K122))</f>
        <v>-</v>
      </c>
      <c r="D122" s="19" t="str">
        <f t="array" ref="D122">IF(ISBLANK(Tareas!$B118),"-",
SUM(
SUMIF(INDIRECT(Equipo!$C$4&amp;"!B10:B1000"),$B122,INDIRECT(Equipo!$C$4&amp;"!"&amp;ADDRESS(10,COLUMN(D$9)+10)&amp;":"&amp;ADDRESS(1000,COLUMN(D$9)+10))),
SUMIF(INDIRECT(Equipo!$D$4&amp;"!B10:B1000"),$B122,INDIRECT(Equipo!$D$4&amp;"!"&amp;ADDRESS(10,COLUMN(D$9)+10)&amp;":"&amp;ADDRESS(1000,COLUMN(D$9)+10))),
SUMIF(INDIRECT(Equipo!$E$4&amp;"!B10:B1000"),$B122,INDIRECT(Equipo!$E$4&amp;"!"&amp;ADDRESS(10,COLUMN(D$9)+10)&amp;":"&amp;ADDRESS(1000,COLUMN(D$9)+10))),
SUMIF(INDIRECT(Equipo!$F$4&amp;"!B10:B1000"),$B122,INDIRECT(Equipo!$F$4&amp;"!"&amp;ADDRESS(10,COLUMN(D$9)+10)&amp;":"&amp;ADDRESS(1000,COLUMN(D$9)+10))),
SUMIF(INDIRECT(Equipo!$G$4&amp;"!B10:B1000"),$B122,INDIRECT(Equipo!$G$4&amp;"!"&amp;ADDRESS(10,COLUMN(D$9)+10)&amp;":"&amp;ADDRESS(1000,COLUMN(D$9)+10)))
))</f>
        <v>-</v>
      </c>
      <c r="E122" s="19" t="str">
        <f t="array" ref="E122">IF(ISBLANK(Tareas!$B118),"-",
SUM(
SUMIF(INDIRECT(Equipo!$C$4&amp;"!B10:B1000"),$B122,INDIRECT(Equipo!$C$4&amp;"!"&amp;ADDRESS(10,COLUMN(E$9)+10)&amp;":"&amp;ADDRESS(1000,COLUMN(E$9)+10))),
SUMIF(INDIRECT(Equipo!$D$4&amp;"!B10:B1000"),$B122,INDIRECT(Equipo!$D$4&amp;"!"&amp;ADDRESS(10,COLUMN(E$9)+10)&amp;":"&amp;ADDRESS(1000,COLUMN(E$9)+10))),
SUMIF(INDIRECT(Equipo!$E$4&amp;"!B10:B1000"),$B122,INDIRECT(Equipo!$E$4&amp;"!"&amp;ADDRESS(10,COLUMN(E$9)+10)&amp;":"&amp;ADDRESS(1000,COLUMN(E$9)+10))),
SUMIF(INDIRECT(Equipo!$F$4&amp;"!B10:B1000"),$B122,INDIRECT(Equipo!$F$4&amp;"!"&amp;ADDRESS(10,COLUMN(E$9)+10)&amp;":"&amp;ADDRESS(1000,COLUMN(E$9)+10))),
SUMIF(INDIRECT(Equipo!$G$4&amp;"!B10:B1000"),$B122,INDIRECT(Equipo!$G$4&amp;"!"&amp;ADDRESS(10,COLUMN(E$9)+10)&amp;":"&amp;ADDRESS(1000,COLUMN(E$9)+10)))
))</f>
        <v>-</v>
      </c>
      <c r="F122" s="19" t="str">
        <f t="array" ref="F122">IF(ISBLANK(Tareas!$B118),"-",
SUM(
SUMIF(INDIRECT(Equipo!$C$4&amp;"!B10:B1000"),$B122,INDIRECT(Equipo!$C$4&amp;"!"&amp;ADDRESS(10,COLUMN(F$9)+10)&amp;":"&amp;ADDRESS(1000,COLUMN(F$9)+10))),
SUMIF(INDIRECT(Equipo!$D$4&amp;"!B10:B1000"),$B122,INDIRECT(Equipo!$D$4&amp;"!"&amp;ADDRESS(10,COLUMN(F$9)+10)&amp;":"&amp;ADDRESS(1000,COLUMN(F$9)+10))),
SUMIF(INDIRECT(Equipo!$E$4&amp;"!B10:B1000"),$B122,INDIRECT(Equipo!$E$4&amp;"!"&amp;ADDRESS(10,COLUMN(F$9)+10)&amp;":"&amp;ADDRESS(1000,COLUMN(F$9)+10))),
SUMIF(INDIRECT(Equipo!$F$4&amp;"!B10:B1000"),$B122,INDIRECT(Equipo!$F$4&amp;"!"&amp;ADDRESS(10,COLUMN(F$9)+10)&amp;":"&amp;ADDRESS(1000,COLUMN(F$9)+10))),
SUMIF(INDIRECT(Equipo!$G$4&amp;"!B10:B1000"),$B122,INDIRECT(Equipo!$G$4&amp;"!"&amp;ADDRESS(10,COLUMN(F$9)+10)&amp;":"&amp;ADDRESS(1000,COLUMN(F$9)+10)))
))</f>
        <v>-</v>
      </c>
      <c r="G122" s="19" t="str">
        <f t="array" ref="G122">IF(ISBLANK(Tareas!$B118),"-",
SUM(
SUMIF(INDIRECT(Equipo!$C$4&amp;"!B10:B1000"),$B122,INDIRECT(Equipo!$C$4&amp;"!"&amp;ADDRESS(10,COLUMN(G$9)+10)&amp;":"&amp;ADDRESS(1000,COLUMN(G$9)+10))),
SUMIF(INDIRECT(Equipo!$D$4&amp;"!B10:B1000"),$B122,INDIRECT(Equipo!$D$4&amp;"!"&amp;ADDRESS(10,COLUMN(G$9)+10)&amp;":"&amp;ADDRESS(1000,COLUMN(G$9)+10))),
SUMIF(INDIRECT(Equipo!$E$4&amp;"!B10:B1000"),$B122,INDIRECT(Equipo!$E$4&amp;"!"&amp;ADDRESS(10,COLUMN(G$9)+10)&amp;":"&amp;ADDRESS(1000,COLUMN(G$9)+10))),
SUMIF(INDIRECT(Equipo!$F$4&amp;"!B10:B1000"),$B122,INDIRECT(Equipo!$F$4&amp;"!"&amp;ADDRESS(10,COLUMN(G$9)+10)&amp;":"&amp;ADDRESS(1000,COLUMN(G$9)+10))),
SUMIF(INDIRECT(Equipo!$G$4&amp;"!B10:B1000"),$B122,INDIRECT(Equipo!$G$4&amp;"!"&amp;ADDRESS(10,COLUMN(G$9)+10)&amp;":"&amp;ADDRESS(1000,COLUMN(G$9)+10)))
))</f>
        <v>-</v>
      </c>
      <c r="H122" s="19" t="str">
        <f t="array" ref="H122">IF(ISBLANK(Tareas!$B118),"-",
SUM(
SUMIF(INDIRECT(Equipo!$C$4&amp;"!B10:B1000"),$B122,INDIRECT(Equipo!$C$4&amp;"!"&amp;ADDRESS(10,COLUMN(H$9)+10)&amp;":"&amp;ADDRESS(1000,COLUMN(H$9)+10))),
SUMIF(INDIRECT(Equipo!$D$4&amp;"!B10:B1000"),$B122,INDIRECT(Equipo!$D$4&amp;"!"&amp;ADDRESS(10,COLUMN(H$9)+10)&amp;":"&amp;ADDRESS(1000,COLUMN(H$9)+10))),
SUMIF(INDIRECT(Equipo!$E$4&amp;"!B10:B1000"),$B122,INDIRECT(Equipo!$E$4&amp;"!"&amp;ADDRESS(10,COLUMN(H$9)+10)&amp;":"&amp;ADDRESS(1000,COLUMN(H$9)+10))),
SUMIF(INDIRECT(Equipo!$F$4&amp;"!B10:B1000"),$B122,INDIRECT(Equipo!$F$4&amp;"!"&amp;ADDRESS(10,COLUMN(H$9)+10)&amp;":"&amp;ADDRESS(1000,COLUMN(H$9)+10))),
SUMIF(INDIRECT(Equipo!$G$4&amp;"!B10:B1000"),$B122,INDIRECT(Equipo!$G$4&amp;"!"&amp;ADDRESS(10,COLUMN(H$9)+10)&amp;":"&amp;ADDRESS(1000,COLUMN(H$9)+10)))
))</f>
        <v>-</v>
      </c>
      <c r="I122" s="19" t="str">
        <f t="array" ref="I122">IF(ISBLANK(Tareas!$B118),"-",
SUM(
SUMIF(INDIRECT(Equipo!$C$4&amp;"!B10:B1000"),$B122,INDIRECT(Equipo!$C$4&amp;"!"&amp;ADDRESS(10,COLUMN(I$9)+10)&amp;":"&amp;ADDRESS(1000,COLUMN(I$9)+10))),
SUMIF(INDIRECT(Equipo!$D$4&amp;"!B10:B1000"),$B122,INDIRECT(Equipo!$D$4&amp;"!"&amp;ADDRESS(10,COLUMN(I$9)+10)&amp;":"&amp;ADDRESS(1000,COLUMN(I$9)+10))),
SUMIF(INDIRECT(Equipo!$E$4&amp;"!B10:B1000"),$B122,INDIRECT(Equipo!$E$4&amp;"!"&amp;ADDRESS(10,COLUMN(I$9)+10)&amp;":"&amp;ADDRESS(1000,COLUMN(I$9)+10))),
SUMIF(INDIRECT(Equipo!$F$4&amp;"!B10:B1000"),$B122,INDIRECT(Equipo!$F$4&amp;"!"&amp;ADDRESS(10,COLUMN(I$9)+10)&amp;":"&amp;ADDRESS(1000,COLUMN(I$9)+10))),
SUMIF(INDIRECT(Equipo!$G$4&amp;"!B10:B1000"),$B122,INDIRECT(Equipo!$G$4&amp;"!"&amp;ADDRESS(10,COLUMN(I$9)+10)&amp;":"&amp;ADDRESS(1000,COLUMN(I$9)+10)))
))</f>
        <v>-</v>
      </c>
      <c r="J122" s="19" t="str">
        <f t="array" ref="J122">IF(ISBLANK(Tareas!$B118),"-",
SUM(
SUMIF(INDIRECT(Equipo!$C$4&amp;"!B10:B1000"),$B122,INDIRECT(Equipo!$C$4&amp;"!"&amp;ADDRESS(10,COLUMN(J$9)+10)&amp;":"&amp;ADDRESS(1000,COLUMN(J$9)+10))),
SUMIF(INDIRECT(Equipo!$D$4&amp;"!B10:B1000"),$B122,INDIRECT(Equipo!$D$4&amp;"!"&amp;ADDRESS(10,COLUMN(J$9)+10)&amp;":"&amp;ADDRESS(1000,COLUMN(J$9)+10))),
SUMIF(INDIRECT(Equipo!$E$4&amp;"!B10:B1000"),$B122,INDIRECT(Equipo!$E$4&amp;"!"&amp;ADDRESS(10,COLUMN(J$9)+10)&amp;":"&amp;ADDRESS(1000,COLUMN(J$9)+10))),
SUMIF(INDIRECT(Equipo!$F$4&amp;"!B10:B1000"),$B122,INDIRECT(Equipo!$F$4&amp;"!"&amp;ADDRESS(10,COLUMN(J$9)+10)&amp;":"&amp;ADDRESS(1000,COLUMN(J$9)+10))),
SUMIF(INDIRECT(Equipo!$G$4&amp;"!B10:B1000"),$B122,INDIRECT(Equipo!$G$4&amp;"!"&amp;ADDRESS(10,COLUMN(J$9)+10)&amp;":"&amp;ADDRESS(1000,COLUMN(J$9)+10)))
))</f>
        <v>-</v>
      </c>
      <c r="K122" s="19" t="str">
        <f t="array" ref="K122">IF(ISBLANK(Tareas!$B118),"-",
SUM(
SUMIF(INDIRECT(Equipo!$C$4&amp;"!B10:B1000"),$B122,INDIRECT(Equipo!$C$4&amp;"!"&amp;ADDRESS(10,COLUMN(K$9)+10)&amp;":"&amp;ADDRESS(1000,COLUMN(K$9)+10))),
SUMIF(INDIRECT(Equipo!$D$4&amp;"!B10:B1000"),$B122,INDIRECT(Equipo!$D$4&amp;"!"&amp;ADDRESS(10,COLUMN(K$9)+10)&amp;":"&amp;ADDRESS(1000,COLUMN(K$9)+10))),
SUMIF(INDIRECT(Equipo!$E$4&amp;"!B10:B1000"),$B122,INDIRECT(Equipo!$E$4&amp;"!"&amp;ADDRESS(10,COLUMN(K$9)+10)&amp;":"&amp;ADDRESS(1000,COLUMN(K$9)+10))),
SUMIF(INDIRECT(Equipo!$F$4&amp;"!B10:B1000"),$B122,INDIRECT(Equipo!$F$4&amp;"!"&amp;ADDRESS(10,COLUMN(K$9)+10)&amp;":"&amp;ADDRESS(1000,COLUMN(K$9)+10))),
SUMIF(INDIRECT(Equipo!$G$4&amp;"!B10:B1000"),$B122,INDIRECT(Equipo!$G$4&amp;"!"&amp;ADDRESS(10,COLUMN(K$9)+10)&amp;":"&amp;ADDRESS(1000,COLUMN(K$9)+10)))
))</f>
        <v>-</v>
      </c>
    </row>
    <row r="123" ht="15.75" customHeight="1">
      <c r="C123" s="19" t="str">
        <f>IF(ISBLANK(Tareas!$B119),"-",SUM(D123:K123))</f>
        <v>-</v>
      </c>
      <c r="D123" s="19" t="str">
        <f t="array" ref="D123">IF(ISBLANK(Tareas!$B119),"-",
SUM(
SUMIF(INDIRECT(Equipo!$C$4&amp;"!B10:B1000"),$B123,INDIRECT(Equipo!$C$4&amp;"!"&amp;ADDRESS(10,COLUMN(D$9)+10)&amp;":"&amp;ADDRESS(1000,COLUMN(D$9)+10))),
SUMIF(INDIRECT(Equipo!$D$4&amp;"!B10:B1000"),$B123,INDIRECT(Equipo!$D$4&amp;"!"&amp;ADDRESS(10,COLUMN(D$9)+10)&amp;":"&amp;ADDRESS(1000,COLUMN(D$9)+10))),
SUMIF(INDIRECT(Equipo!$E$4&amp;"!B10:B1000"),$B123,INDIRECT(Equipo!$E$4&amp;"!"&amp;ADDRESS(10,COLUMN(D$9)+10)&amp;":"&amp;ADDRESS(1000,COLUMN(D$9)+10))),
SUMIF(INDIRECT(Equipo!$F$4&amp;"!B10:B1000"),$B123,INDIRECT(Equipo!$F$4&amp;"!"&amp;ADDRESS(10,COLUMN(D$9)+10)&amp;":"&amp;ADDRESS(1000,COLUMN(D$9)+10))),
SUMIF(INDIRECT(Equipo!$G$4&amp;"!B10:B1000"),$B123,INDIRECT(Equipo!$G$4&amp;"!"&amp;ADDRESS(10,COLUMN(D$9)+10)&amp;":"&amp;ADDRESS(1000,COLUMN(D$9)+10)))
))</f>
        <v>-</v>
      </c>
      <c r="E123" s="19" t="str">
        <f t="array" ref="E123">IF(ISBLANK(Tareas!$B119),"-",
SUM(
SUMIF(INDIRECT(Equipo!$C$4&amp;"!B10:B1000"),$B123,INDIRECT(Equipo!$C$4&amp;"!"&amp;ADDRESS(10,COLUMN(E$9)+10)&amp;":"&amp;ADDRESS(1000,COLUMN(E$9)+10))),
SUMIF(INDIRECT(Equipo!$D$4&amp;"!B10:B1000"),$B123,INDIRECT(Equipo!$D$4&amp;"!"&amp;ADDRESS(10,COLUMN(E$9)+10)&amp;":"&amp;ADDRESS(1000,COLUMN(E$9)+10))),
SUMIF(INDIRECT(Equipo!$E$4&amp;"!B10:B1000"),$B123,INDIRECT(Equipo!$E$4&amp;"!"&amp;ADDRESS(10,COLUMN(E$9)+10)&amp;":"&amp;ADDRESS(1000,COLUMN(E$9)+10))),
SUMIF(INDIRECT(Equipo!$F$4&amp;"!B10:B1000"),$B123,INDIRECT(Equipo!$F$4&amp;"!"&amp;ADDRESS(10,COLUMN(E$9)+10)&amp;":"&amp;ADDRESS(1000,COLUMN(E$9)+10))),
SUMIF(INDIRECT(Equipo!$G$4&amp;"!B10:B1000"),$B123,INDIRECT(Equipo!$G$4&amp;"!"&amp;ADDRESS(10,COLUMN(E$9)+10)&amp;":"&amp;ADDRESS(1000,COLUMN(E$9)+10)))
))</f>
        <v>-</v>
      </c>
      <c r="F123" s="19" t="str">
        <f t="array" ref="F123">IF(ISBLANK(Tareas!$B119),"-",
SUM(
SUMIF(INDIRECT(Equipo!$C$4&amp;"!B10:B1000"),$B123,INDIRECT(Equipo!$C$4&amp;"!"&amp;ADDRESS(10,COLUMN(F$9)+10)&amp;":"&amp;ADDRESS(1000,COLUMN(F$9)+10))),
SUMIF(INDIRECT(Equipo!$D$4&amp;"!B10:B1000"),$B123,INDIRECT(Equipo!$D$4&amp;"!"&amp;ADDRESS(10,COLUMN(F$9)+10)&amp;":"&amp;ADDRESS(1000,COLUMN(F$9)+10))),
SUMIF(INDIRECT(Equipo!$E$4&amp;"!B10:B1000"),$B123,INDIRECT(Equipo!$E$4&amp;"!"&amp;ADDRESS(10,COLUMN(F$9)+10)&amp;":"&amp;ADDRESS(1000,COLUMN(F$9)+10))),
SUMIF(INDIRECT(Equipo!$F$4&amp;"!B10:B1000"),$B123,INDIRECT(Equipo!$F$4&amp;"!"&amp;ADDRESS(10,COLUMN(F$9)+10)&amp;":"&amp;ADDRESS(1000,COLUMN(F$9)+10))),
SUMIF(INDIRECT(Equipo!$G$4&amp;"!B10:B1000"),$B123,INDIRECT(Equipo!$G$4&amp;"!"&amp;ADDRESS(10,COLUMN(F$9)+10)&amp;":"&amp;ADDRESS(1000,COLUMN(F$9)+10)))
))</f>
        <v>-</v>
      </c>
      <c r="G123" s="19" t="str">
        <f t="array" ref="G123">IF(ISBLANK(Tareas!$B119),"-",
SUM(
SUMIF(INDIRECT(Equipo!$C$4&amp;"!B10:B1000"),$B123,INDIRECT(Equipo!$C$4&amp;"!"&amp;ADDRESS(10,COLUMN(G$9)+10)&amp;":"&amp;ADDRESS(1000,COLUMN(G$9)+10))),
SUMIF(INDIRECT(Equipo!$D$4&amp;"!B10:B1000"),$B123,INDIRECT(Equipo!$D$4&amp;"!"&amp;ADDRESS(10,COLUMN(G$9)+10)&amp;":"&amp;ADDRESS(1000,COLUMN(G$9)+10))),
SUMIF(INDIRECT(Equipo!$E$4&amp;"!B10:B1000"),$B123,INDIRECT(Equipo!$E$4&amp;"!"&amp;ADDRESS(10,COLUMN(G$9)+10)&amp;":"&amp;ADDRESS(1000,COLUMN(G$9)+10))),
SUMIF(INDIRECT(Equipo!$F$4&amp;"!B10:B1000"),$B123,INDIRECT(Equipo!$F$4&amp;"!"&amp;ADDRESS(10,COLUMN(G$9)+10)&amp;":"&amp;ADDRESS(1000,COLUMN(G$9)+10))),
SUMIF(INDIRECT(Equipo!$G$4&amp;"!B10:B1000"),$B123,INDIRECT(Equipo!$G$4&amp;"!"&amp;ADDRESS(10,COLUMN(G$9)+10)&amp;":"&amp;ADDRESS(1000,COLUMN(G$9)+10)))
))</f>
        <v>-</v>
      </c>
      <c r="H123" s="19" t="str">
        <f t="array" ref="H123">IF(ISBLANK(Tareas!$B119),"-",
SUM(
SUMIF(INDIRECT(Equipo!$C$4&amp;"!B10:B1000"),$B123,INDIRECT(Equipo!$C$4&amp;"!"&amp;ADDRESS(10,COLUMN(H$9)+10)&amp;":"&amp;ADDRESS(1000,COLUMN(H$9)+10))),
SUMIF(INDIRECT(Equipo!$D$4&amp;"!B10:B1000"),$B123,INDIRECT(Equipo!$D$4&amp;"!"&amp;ADDRESS(10,COLUMN(H$9)+10)&amp;":"&amp;ADDRESS(1000,COLUMN(H$9)+10))),
SUMIF(INDIRECT(Equipo!$E$4&amp;"!B10:B1000"),$B123,INDIRECT(Equipo!$E$4&amp;"!"&amp;ADDRESS(10,COLUMN(H$9)+10)&amp;":"&amp;ADDRESS(1000,COLUMN(H$9)+10))),
SUMIF(INDIRECT(Equipo!$F$4&amp;"!B10:B1000"),$B123,INDIRECT(Equipo!$F$4&amp;"!"&amp;ADDRESS(10,COLUMN(H$9)+10)&amp;":"&amp;ADDRESS(1000,COLUMN(H$9)+10))),
SUMIF(INDIRECT(Equipo!$G$4&amp;"!B10:B1000"),$B123,INDIRECT(Equipo!$G$4&amp;"!"&amp;ADDRESS(10,COLUMN(H$9)+10)&amp;":"&amp;ADDRESS(1000,COLUMN(H$9)+10)))
))</f>
        <v>-</v>
      </c>
      <c r="I123" s="19" t="str">
        <f t="array" ref="I123">IF(ISBLANK(Tareas!$B119),"-",
SUM(
SUMIF(INDIRECT(Equipo!$C$4&amp;"!B10:B1000"),$B123,INDIRECT(Equipo!$C$4&amp;"!"&amp;ADDRESS(10,COLUMN(I$9)+10)&amp;":"&amp;ADDRESS(1000,COLUMN(I$9)+10))),
SUMIF(INDIRECT(Equipo!$D$4&amp;"!B10:B1000"),$B123,INDIRECT(Equipo!$D$4&amp;"!"&amp;ADDRESS(10,COLUMN(I$9)+10)&amp;":"&amp;ADDRESS(1000,COLUMN(I$9)+10))),
SUMIF(INDIRECT(Equipo!$E$4&amp;"!B10:B1000"),$B123,INDIRECT(Equipo!$E$4&amp;"!"&amp;ADDRESS(10,COLUMN(I$9)+10)&amp;":"&amp;ADDRESS(1000,COLUMN(I$9)+10))),
SUMIF(INDIRECT(Equipo!$F$4&amp;"!B10:B1000"),$B123,INDIRECT(Equipo!$F$4&amp;"!"&amp;ADDRESS(10,COLUMN(I$9)+10)&amp;":"&amp;ADDRESS(1000,COLUMN(I$9)+10))),
SUMIF(INDIRECT(Equipo!$G$4&amp;"!B10:B1000"),$B123,INDIRECT(Equipo!$G$4&amp;"!"&amp;ADDRESS(10,COLUMN(I$9)+10)&amp;":"&amp;ADDRESS(1000,COLUMN(I$9)+10)))
))</f>
        <v>-</v>
      </c>
      <c r="J123" s="19" t="str">
        <f t="array" ref="J123">IF(ISBLANK(Tareas!$B119),"-",
SUM(
SUMIF(INDIRECT(Equipo!$C$4&amp;"!B10:B1000"),$B123,INDIRECT(Equipo!$C$4&amp;"!"&amp;ADDRESS(10,COLUMN(J$9)+10)&amp;":"&amp;ADDRESS(1000,COLUMN(J$9)+10))),
SUMIF(INDIRECT(Equipo!$D$4&amp;"!B10:B1000"),$B123,INDIRECT(Equipo!$D$4&amp;"!"&amp;ADDRESS(10,COLUMN(J$9)+10)&amp;":"&amp;ADDRESS(1000,COLUMN(J$9)+10))),
SUMIF(INDIRECT(Equipo!$E$4&amp;"!B10:B1000"),$B123,INDIRECT(Equipo!$E$4&amp;"!"&amp;ADDRESS(10,COLUMN(J$9)+10)&amp;":"&amp;ADDRESS(1000,COLUMN(J$9)+10))),
SUMIF(INDIRECT(Equipo!$F$4&amp;"!B10:B1000"),$B123,INDIRECT(Equipo!$F$4&amp;"!"&amp;ADDRESS(10,COLUMN(J$9)+10)&amp;":"&amp;ADDRESS(1000,COLUMN(J$9)+10))),
SUMIF(INDIRECT(Equipo!$G$4&amp;"!B10:B1000"),$B123,INDIRECT(Equipo!$G$4&amp;"!"&amp;ADDRESS(10,COLUMN(J$9)+10)&amp;":"&amp;ADDRESS(1000,COLUMN(J$9)+10)))
))</f>
        <v>-</v>
      </c>
      <c r="K123" s="19" t="str">
        <f t="array" ref="K123">IF(ISBLANK(Tareas!$B119),"-",
SUM(
SUMIF(INDIRECT(Equipo!$C$4&amp;"!B10:B1000"),$B123,INDIRECT(Equipo!$C$4&amp;"!"&amp;ADDRESS(10,COLUMN(K$9)+10)&amp;":"&amp;ADDRESS(1000,COLUMN(K$9)+10))),
SUMIF(INDIRECT(Equipo!$D$4&amp;"!B10:B1000"),$B123,INDIRECT(Equipo!$D$4&amp;"!"&amp;ADDRESS(10,COLUMN(K$9)+10)&amp;":"&amp;ADDRESS(1000,COLUMN(K$9)+10))),
SUMIF(INDIRECT(Equipo!$E$4&amp;"!B10:B1000"),$B123,INDIRECT(Equipo!$E$4&amp;"!"&amp;ADDRESS(10,COLUMN(K$9)+10)&amp;":"&amp;ADDRESS(1000,COLUMN(K$9)+10))),
SUMIF(INDIRECT(Equipo!$F$4&amp;"!B10:B1000"),$B123,INDIRECT(Equipo!$F$4&amp;"!"&amp;ADDRESS(10,COLUMN(K$9)+10)&amp;":"&amp;ADDRESS(1000,COLUMN(K$9)+10))),
SUMIF(INDIRECT(Equipo!$G$4&amp;"!B10:B1000"),$B123,INDIRECT(Equipo!$G$4&amp;"!"&amp;ADDRESS(10,COLUMN(K$9)+10)&amp;":"&amp;ADDRESS(1000,COLUMN(K$9)+10)))
))</f>
        <v>-</v>
      </c>
    </row>
    <row r="124" ht="15.75" customHeight="1">
      <c r="C124" s="19" t="str">
        <f>IF(ISBLANK(Tareas!$B120),"-",SUM(D124:K124))</f>
        <v>-</v>
      </c>
      <c r="D124" s="19" t="str">
        <f t="array" ref="D124">IF(ISBLANK(Tareas!$B120),"-",
SUM(
SUMIF(INDIRECT(Equipo!$C$4&amp;"!B10:B1000"),$B124,INDIRECT(Equipo!$C$4&amp;"!"&amp;ADDRESS(10,COLUMN(D$9)+10)&amp;":"&amp;ADDRESS(1000,COLUMN(D$9)+10))),
SUMIF(INDIRECT(Equipo!$D$4&amp;"!B10:B1000"),$B124,INDIRECT(Equipo!$D$4&amp;"!"&amp;ADDRESS(10,COLUMN(D$9)+10)&amp;":"&amp;ADDRESS(1000,COLUMN(D$9)+10))),
SUMIF(INDIRECT(Equipo!$E$4&amp;"!B10:B1000"),$B124,INDIRECT(Equipo!$E$4&amp;"!"&amp;ADDRESS(10,COLUMN(D$9)+10)&amp;":"&amp;ADDRESS(1000,COLUMN(D$9)+10))),
SUMIF(INDIRECT(Equipo!$F$4&amp;"!B10:B1000"),$B124,INDIRECT(Equipo!$F$4&amp;"!"&amp;ADDRESS(10,COLUMN(D$9)+10)&amp;":"&amp;ADDRESS(1000,COLUMN(D$9)+10))),
SUMIF(INDIRECT(Equipo!$G$4&amp;"!B10:B1000"),$B124,INDIRECT(Equipo!$G$4&amp;"!"&amp;ADDRESS(10,COLUMN(D$9)+10)&amp;":"&amp;ADDRESS(1000,COLUMN(D$9)+10)))
))</f>
        <v>-</v>
      </c>
      <c r="E124" s="19" t="str">
        <f t="array" ref="E124">IF(ISBLANK(Tareas!$B120),"-",
SUM(
SUMIF(INDIRECT(Equipo!$C$4&amp;"!B10:B1000"),$B124,INDIRECT(Equipo!$C$4&amp;"!"&amp;ADDRESS(10,COLUMN(E$9)+10)&amp;":"&amp;ADDRESS(1000,COLUMN(E$9)+10))),
SUMIF(INDIRECT(Equipo!$D$4&amp;"!B10:B1000"),$B124,INDIRECT(Equipo!$D$4&amp;"!"&amp;ADDRESS(10,COLUMN(E$9)+10)&amp;":"&amp;ADDRESS(1000,COLUMN(E$9)+10))),
SUMIF(INDIRECT(Equipo!$E$4&amp;"!B10:B1000"),$B124,INDIRECT(Equipo!$E$4&amp;"!"&amp;ADDRESS(10,COLUMN(E$9)+10)&amp;":"&amp;ADDRESS(1000,COLUMN(E$9)+10))),
SUMIF(INDIRECT(Equipo!$F$4&amp;"!B10:B1000"),$B124,INDIRECT(Equipo!$F$4&amp;"!"&amp;ADDRESS(10,COLUMN(E$9)+10)&amp;":"&amp;ADDRESS(1000,COLUMN(E$9)+10))),
SUMIF(INDIRECT(Equipo!$G$4&amp;"!B10:B1000"),$B124,INDIRECT(Equipo!$G$4&amp;"!"&amp;ADDRESS(10,COLUMN(E$9)+10)&amp;":"&amp;ADDRESS(1000,COLUMN(E$9)+10)))
))</f>
        <v>-</v>
      </c>
      <c r="F124" s="19" t="str">
        <f t="array" ref="F124">IF(ISBLANK(Tareas!$B120),"-",
SUM(
SUMIF(INDIRECT(Equipo!$C$4&amp;"!B10:B1000"),$B124,INDIRECT(Equipo!$C$4&amp;"!"&amp;ADDRESS(10,COLUMN(F$9)+10)&amp;":"&amp;ADDRESS(1000,COLUMN(F$9)+10))),
SUMIF(INDIRECT(Equipo!$D$4&amp;"!B10:B1000"),$B124,INDIRECT(Equipo!$D$4&amp;"!"&amp;ADDRESS(10,COLUMN(F$9)+10)&amp;":"&amp;ADDRESS(1000,COLUMN(F$9)+10))),
SUMIF(INDIRECT(Equipo!$E$4&amp;"!B10:B1000"),$B124,INDIRECT(Equipo!$E$4&amp;"!"&amp;ADDRESS(10,COLUMN(F$9)+10)&amp;":"&amp;ADDRESS(1000,COLUMN(F$9)+10))),
SUMIF(INDIRECT(Equipo!$F$4&amp;"!B10:B1000"),$B124,INDIRECT(Equipo!$F$4&amp;"!"&amp;ADDRESS(10,COLUMN(F$9)+10)&amp;":"&amp;ADDRESS(1000,COLUMN(F$9)+10))),
SUMIF(INDIRECT(Equipo!$G$4&amp;"!B10:B1000"),$B124,INDIRECT(Equipo!$G$4&amp;"!"&amp;ADDRESS(10,COLUMN(F$9)+10)&amp;":"&amp;ADDRESS(1000,COLUMN(F$9)+10)))
))</f>
        <v>-</v>
      </c>
      <c r="G124" s="19" t="str">
        <f t="array" ref="G124">IF(ISBLANK(Tareas!$B120),"-",
SUM(
SUMIF(INDIRECT(Equipo!$C$4&amp;"!B10:B1000"),$B124,INDIRECT(Equipo!$C$4&amp;"!"&amp;ADDRESS(10,COLUMN(G$9)+10)&amp;":"&amp;ADDRESS(1000,COLUMN(G$9)+10))),
SUMIF(INDIRECT(Equipo!$D$4&amp;"!B10:B1000"),$B124,INDIRECT(Equipo!$D$4&amp;"!"&amp;ADDRESS(10,COLUMN(G$9)+10)&amp;":"&amp;ADDRESS(1000,COLUMN(G$9)+10))),
SUMIF(INDIRECT(Equipo!$E$4&amp;"!B10:B1000"),$B124,INDIRECT(Equipo!$E$4&amp;"!"&amp;ADDRESS(10,COLUMN(G$9)+10)&amp;":"&amp;ADDRESS(1000,COLUMN(G$9)+10))),
SUMIF(INDIRECT(Equipo!$F$4&amp;"!B10:B1000"),$B124,INDIRECT(Equipo!$F$4&amp;"!"&amp;ADDRESS(10,COLUMN(G$9)+10)&amp;":"&amp;ADDRESS(1000,COLUMN(G$9)+10))),
SUMIF(INDIRECT(Equipo!$G$4&amp;"!B10:B1000"),$B124,INDIRECT(Equipo!$G$4&amp;"!"&amp;ADDRESS(10,COLUMN(G$9)+10)&amp;":"&amp;ADDRESS(1000,COLUMN(G$9)+10)))
))</f>
        <v>-</v>
      </c>
      <c r="H124" s="19" t="str">
        <f t="array" ref="H124">IF(ISBLANK(Tareas!$B120),"-",
SUM(
SUMIF(INDIRECT(Equipo!$C$4&amp;"!B10:B1000"),$B124,INDIRECT(Equipo!$C$4&amp;"!"&amp;ADDRESS(10,COLUMN(H$9)+10)&amp;":"&amp;ADDRESS(1000,COLUMN(H$9)+10))),
SUMIF(INDIRECT(Equipo!$D$4&amp;"!B10:B1000"),$B124,INDIRECT(Equipo!$D$4&amp;"!"&amp;ADDRESS(10,COLUMN(H$9)+10)&amp;":"&amp;ADDRESS(1000,COLUMN(H$9)+10))),
SUMIF(INDIRECT(Equipo!$E$4&amp;"!B10:B1000"),$B124,INDIRECT(Equipo!$E$4&amp;"!"&amp;ADDRESS(10,COLUMN(H$9)+10)&amp;":"&amp;ADDRESS(1000,COLUMN(H$9)+10))),
SUMIF(INDIRECT(Equipo!$F$4&amp;"!B10:B1000"),$B124,INDIRECT(Equipo!$F$4&amp;"!"&amp;ADDRESS(10,COLUMN(H$9)+10)&amp;":"&amp;ADDRESS(1000,COLUMN(H$9)+10))),
SUMIF(INDIRECT(Equipo!$G$4&amp;"!B10:B1000"),$B124,INDIRECT(Equipo!$G$4&amp;"!"&amp;ADDRESS(10,COLUMN(H$9)+10)&amp;":"&amp;ADDRESS(1000,COLUMN(H$9)+10)))
))</f>
        <v>-</v>
      </c>
      <c r="I124" s="19" t="str">
        <f t="array" ref="I124">IF(ISBLANK(Tareas!$B120),"-",
SUM(
SUMIF(INDIRECT(Equipo!$C$4&amp;"!B10:B1000"),$B124,INDIRECT(Equipo!$C$4&amp;"!"&amp;ADDRESS(10,COLUMN(I$9)+10)&amp;":"&amp;ADDRESS(1000,COLUMN(I$9)+10))),
SUMIF(INDIRECT(Equipo!$D$4&amp;"!B10:B1000"),$B124,INDIRECT(Equipo!$D$4&amp;"!"&amp;ADDRESS(10,COLUMN(I$9)+10)&amp;":"&amp;ADDRESS(1000,COLUMN(I$9)+10))),
SUMIF(INDIRECT(Equipo!$E$4&amp;"!B10:B1000"),$B124,INDIRECT(Equipo!$E$4&amp;"!"&amp;ADDRESS(10,COLUMN(I$9)+10)&amp;":"&amp;ADDRESS(1000,COLUMN(I$9)+10))),
SUMIF(INDIRECT(Equipo!$F$4&amp;"!B10:B1000"),$B124,INDIRECT(Equipo!$F$4&amp;"!"&amp;ADDRESS(10,COLUMN(I$9)+10)&amp;":"&amp;ADDRESS(1000,COLUMN(I$9)+10))),
SUMIF(INDIRECT(Equipo!$G$4&amp;"!B10:B1000"),$B124,INDIRECT(Equipo!$G$4&amp;"!"&amp;ADDRESS(10,COLUMN(I$9)+10)&amp;":"&amp;ADDRESS(1000,COLUMN(I$9)+10)))
))</f>
        <v>-</v>
      </c>
      <c r="J124" s="19" t="str">
        <f t="array" ref="J124">IF(ISBLANK(Tareas!$B120),"-",
SUM(
SUMIF(INDIRECT(Equipo!$C$4&amp;"!B10:B1000"),$B124,INDIRECT(Equipo!$C$4&amp;"!"&amp;ADDRESS(10,COLUMN(J$9)+10)&amp;":"&amp;ADDRESS(1000,COLUMN(J$9)+10))),
SUMIF(INDIRECT(Equipo!$D$4&amp;"!B10:B1000"),$B124,INDIRECT(Equipo!$D$4&amp;"!"&amp;ADDRESS(10,COLUMN(J$9)+10)&amp;":"&amp;ADDRESS(1000,COLUMN(J$9)+10))),
SUMIF(INDIRECT(Equipo!$E$4&amp;"!B10:B1000"),$B124,INDIRECT(Equipo!$E$4&amp;"!"&amp;ADDRESS(10,COLUMN(J$9)+10)&amp;":"&amp;ADDRESS(1000,COLUMN(J$9)+10))),
SUMIF(INDIRECT(Equipo!$F$4&amp;"!B10:B1000"),$B124,INDIRECT(Equipo!$F$4&amp;"!"&amp;ADDRESS(10,COLUMN(J$9)+10)&amp;":"&amp;ADDRESS(1000,COLUMN(J$9)+10))),
SUMIF(INDIRECT(Equipo!$G$4&amp;"!B10:B1000"),$B124,INDIRECT(Equipo!$G$4&amp;"!"&amp;ADDRESS(10,COLUMN(J$9)+10)&amp;":"&amp;ADDRESS(1000,COLUMN(J$9)+10)))
))</f>
        <v>-</v>
      </c>
      <c r="K124" s="19" t="str">
        <f t="array" ref="K124">IF(ISBLANK(Tareas!$B120),"-",
SUM(
SUMIF(INDIRECT(Equipo!$C$4&amp;"!B10:B1000"),$B124,INDIRECT(Equipo!$C$4&amp;"!"&amp;ADDRESS(10,COLUMN(K$9)+10)&amp;":"&amp;ADDRESS(1000,COLUMN(K$9)+10))),
SUMIF(INDIRECT(Equipo!$D$4&amp;"!B10:B1000"),$B124,INDIRECT(Equipo!$D$4&amp;"!"&amp;ADDRESS(10,COLUMN(K$9)+10)&amp;":"&amp;ADDRESS(1000,COLUMN(K$9)+10))),
SUMIF(INDIRECT(Equipo!$E$4&amp;"!B10:B1000"),$B124,INDIRECT(Equipo!$E$4&amp;"!"&amp;ADDRESS(10,COLUMN(K$9)+10)&amp;":"&amp;ADDRESS(1000,COLUMN(K$9)+10))),
SUMIF(INDIRECT(Equipo!$F$4&amp;"!B10:B1000"),$B124,INDIRECT(Equipo!$F$4&amp;"!"&amp;ADDRESS(10,COLUMN(K$9)+10)&amp;":"&amp;ADDRESS(1000,COLUMN(K$9)+10))),
SUMIF(INDIRECT(Equipo!$G$4&amp;"!B10:B1000"),$B124,INDIRECT(Equipo!$G$4&amp;"!"&amp;ADDRESS(10,COLUMN(K$9)+10)&amp;":"&amp;ADDRESS(1000,COLUMN(K$9)+10)))
))</f>
        <v>-</v>
      </c>
    </row>
    <row r="125" ht="15.75" customHeight="1">
      <c r="C125" s="19" t="str">
        <f>IF(ISBLANK(Tareas!$B121),"-",SUM(D125:K125))</f>
        <v>-</v>
      </c>
      <c r="D125" s="19" t="str">
        <f t="array" ref="D125">IF(ISBLANK(Tareas!$B121),"-",
SUM(
SUMIF(INDIRECT(Equipo!$C$4&amp;"!B10:B1000"),$B125,INDIRECT(Equipo!$C$4&amp;"!"&amp;ADDRESS(10,COLUMN(D$9)+10)&amp;":"&amp;ADDRESS(1000,COLUMN(D$9)+10))),
SUMIF(INDIRECT(Equipo!$D$4&amp;"!B10:B1000"),$B125,INDIRECT(Equipo!$D$4&amp;"!"&amp;ADDRESS(10,COLUMN(D$9)+10)&amp;":"&amp;ADDRESS(1000,COLUMN(D$9)+10))),
SUMIF(INDIRECT(Equipo!$E$4&amp;"!B10:B1000"),$B125,INDIRECT(Equipo!$E$4&amp;"!"&amp;ADDRESS(10,COLUMN(D$9)+10)&amp;":"&amp;ADDRESS(1000,COLUMN(D$9)+10))),
SUMIF(INDIRECT(Equipo!$F$4&amp;"!B10:B1000"),$B125,INDIRECT(Equipo!$F$4&amp;"!"&amp;ADDRESS(10,COLUMN(D$9)+10)&amp;":"&amp;ADDRESS(1000,COLUMN(D$9)+10))),
SUMIF(INDIRECT(Equipo!$G$4&amp;"!B10:B1000"),$B125,INDIRECT(Equipo!$G$4&amp;"!"&amp;ADDRESS(10,COLUMN(D$9)+10)&amp;":"&amp;ADDRESS(1000,COLUMN(D$9)+10)))
))</f>
        <v>-</v>
      </c>
      <c r="E125" s="19" t="str">
        <f t="array" ref="E125">IF(ISBLANK(Tareas!$B121),"-",
SUM(
SUMIF(INDIRECT(Equipo!$C$4&amp;"!B10:B1000"),$B125,INDIRECT(Equipo!$C$4&amp;"!"&amp;ADDRESS(10,COLUMN(E$9)+10)&amp;":"&amp;ADDRESS(1000,COLUMN(E$9)+10))),
SUMIF(INDIRECT(Equipo!$D$4&amp;"!B10:B1000"),$B125,INDIRECT(Equipo!$D$4&amp;"!"&amp;ADDRESS(10,COLUMN(E$9)+10)&amp;":"&amp;ADDRESS(1000,COLUMN(E$9)+10))),
SUMIF(INDIRECT(Equipo!$E$4&amp;"!B10:B1000"),$B125,INDIRECT(Equipo!$E$4&amp;"!"&amp;ADDRESS(10,COLUMN(E$9)+10)&amp;":"&amp;ADDRESS(1000,COLUMN(E$9)+10))),
SUMIF(INDIRECT(Equipo!$F$4&amp;"!B10:B1000"),$B125,INDIRECT(Equipo!$F$4&amp;"!"&amp;ADDRESS(10,COLUMN(E$9)+10)&amp;":"&amp;ADDRESS(1000,COLUMN(E$9)+10))),
SUMIF(INDIRECT(Equipo!$G$4&amp;"!B10:B1000"),$B125,INDIRECT(Equipo!$G$4&amp;"!"&amp;ADDRESS(10,COLUMN(E$9)+10)&amp;":"&amp;ADDRESS(1000,COLUMN(E$9)+10)))
))</f>
        <v>-</v>
      </c>
      <c r="F125" s="19" t="str">
        <f t="array" ref="F125">IF(ISBLANK(Tareas!$B121),"-",
SUM(
SUMIF(INDIRECT(Equipo!$C$4&amp;"!B10:B1000"),$B125,INDIRECT(Equipo!$C$4&amp;"!"&amp;ADDRESS(10,COLUMN(F$9)+10)&amp;":"&amp;ADDRESS(1000,COLUMN(F$9)+10))),
SUMIF(INDIRECT(Equipo!$D$4&amp;"!B10:B1000"),$B125,INDIRECT(Equipo!$D$4&amp;"!"&amp;ADDRESS(10,COLUMN(F$9)+10)&amp;":"&amp;ADDRESS(1000,COLUMN(F$9)+10))),
SUMIF(INDIRECT(Equipo!$E$4&amp;"!B10:B1000"),$B125,INDIRECT(Equipo!$E$4&amp;"!"&amp;ADDRESS(10,COLUMN(F$9)+10)&amp;":"&amp;ADDRESS(1000,COLUMN(F$9)+10))),
SUMIF(INDIRECT(Equipo!$F$4&amp;"!B10:B1000"),$B125,INDIRECT(Equipo!$F$4&amp;"!"&amp;ADDRESS(10,COLUMN(F$9)+10)&amp;":"&amp;ADDRESS(1000,COLUMN(F$9)+10))),
SUMIF(INDIRECT(Equipo!$G$4&amp;"!B10:B1000"),$B125,INDIRECT(Equipo!$G$4&amp;"!"&amp;ADDRESS(10,COLUMN(F$9)+10)&amp;":"&amp;ADDRESS(1000,COLUMN(F$9)+10)))
))</f>
        <v>-</v>
      </c>
      <c r="G125" s="19" t="str">
        <f t="array" ref="G125">IF(ISBLANK(Tareas!$B121),"-",
SUM(
SUMIF(INDIRECT(Equipo!$C$4&amp;"!B10:B1000"),$B125,INDIRECT(Equipo!$C$4&amp;"!"&amp;ADDRESS(10,COLUMN(G$9)+10)&amp;":"&amp;ADDRESS(1000,COLUMN(G$9)+10))),
SUMIF(INDIRECT(Equipo!$D$4&amp;"!B10:B1000"),$B125,INDIRECT(Equipo!$D$4&amp;"!"&amp;ADDRESS(10,COLUMN(G$9)+10)&amp;":"&amp;ADDRESS(1000,COLUMN(G$9)+10))),
SUMIF(INDIRECT(Equipo!$E$4&amp;"!B10:B1000"),$B125,INDIRECT(Equipo!$E$4&amp;"!"&amp;ADDRESS(10,COLUMN(G$9)+10)&amp;":"&amp;ADDRESS(1000,COLUMN(G$9)+10))),
SUMIF(INDIRECT(Equipo!$F$4&amp;"!B10:B1000"),$B125,INDIRECT(Equipo!$F$4&amp;"!"&amp;ADDRESS(10,COLUMN(G$9)+10)&amp;":"&amp;ADDRESS(1000,COLUMN(G$9)+10))),
SUMIF(INDIRECT(Equipo!$G$4&amp;"!B10:B1000"),$B125,INDIRECT(Equipo!$G$4&amp;"!"&amp;ADDRESS(10,COLUMN(G$9)+10)&amp;":"&amp;ADDRESS(1000,COLUMN(G$9)+10)))
))</f>
        <v>-</v>
      </c>
      <c r="H125" s="19" t="str">
        <f t="array" ref="H125">IF(ISBLANK(Tareas!$B121),"-",
SUM(
SUMIF(INDIRECT(Equipo!$C$4&amp;"!B10:B1000"),$B125,INDIRECT(Equipo!$C$4&amp;"!"&amp;ADDRESS(10,COLUMN(H$9)+10)&amp;":"&amp;ADDRESS(1000,COLUMN(H$9)+10))),
SUMIF(INDIRECT(Equipo!$D$4&amp;"!B10:B1000"),$B125,INDIRECT(Equipo!$D$4&amp;"!"&amp;ADDRESS(10,COLUMN(H$9)+10)&amp;":"&amp;ADDRESS(1000,COLUMN(H$9)+10))),
SUMIF(INDIRECT(Equipo!$E$4&amp;"!B10:B1000"),$B125,INDIRECT(Equipo!$E$4&amp;"!"&amp;ADDRESS(10,COLUMN(H$9)+10)&amp;":"&amp;ADDRESS(1000,COLUMN(H$9)+10))),
SUMIF(INDIRECT(Equipo!$F$4&amp;"!B10:B1000"),$B125,INDIRECT(Equipo!$F$4&amp;"!"&amp;ADDRESS(10,COLUMN(H$9)+10)&amp;":"&amp;ADDRESS(1000,COLUMN(H$9)+10))),
SUMIF(INDIRECT(Equipo!$G$4&amp;"!B10:B1000"),$B125,INDIRECT(Equipo!$G$4&amp;"!"&amp;ADDRESS(10,COLUMN(H$9)+10)&amp;":"&amp;ADDRESS(1000,COLUMN(H$9)+10)))
))</f>
        <v>-</v>
      </c>
      <c r="I125" s="19" t="str">
        <f t="array" ref="I125">IF(ISBLANK(Tareas!$B121),"-",
SUM(
SUMIF(INDIRECT(Equipo!$C$4&amp;"!B10:B1000"),$B125,INDIRECT(Equipo!$C$4&amp;"!"&amp;ADDRESS(10,COLUMN(I$9)+10)&amp;":"&amp;ADDRESS(1000,COLUMN(I$9)+10))),
SUMIF(INDIRECT(Equipo!$D$4&amp;"!B10:B1000"),$B125,INDIRECT(Equipo!$D$4&amp;"!"&amp;ADDRESS(10,COLUMN(I$9)+10)&amp;":"&amp;ADDRESS(1000,COLUMN(I$9)+10))),
SUMIF(INDIRECT(Equipo!$E$4&amp;"!B10:B1000"),$B125,INDIRECT(Equipo!$E$4&amp;"!"&amp;ADDRESS(10,COLUMN(I$9)+10)&amp;":"&amp;ADDRESS(1000,COLUMN(I$9)+10))),
SUMIF(INDIRECT(Equipo!$F$4&amp;"!B10:B1000"),$B125,INDIRECT(Equipo!$F$4&amp;"!"&amp;ADDRESS(10,COLUMN(I$9)+10)&amp;":"&amp;ADDRESS(1000,COLUMN(I$9)+10))),
SUMIF(INDIRECT(Equipo!$G$4&amp;"!B10:B1000"),$B125,INDIRECT(Equipo!$G$4&amp;"!"&amp;ADDRESS(10,COLUMN(I$9)+10)&amp;":"&amp;ADDRESS(1000,COLUMN(I$9)+10)))
))</f>
        <v>-</v>
      </c>
      <c r="J125" s="19" t="str">
        <f t="array" ref="J125">IF(ISBLANK(Tareas!$B121),"-",
SUM(
SUMIF(INDIRECT(Equipo!$C$4&amp;"!B10:B1000"),$B125,INDIRECT(Equipo!$C$4&amp;"!"&amp;ADDRESS(10,COLUMN(J$9)+10)&amp;":"&amp;ADDRESS(1000,COLUMN(J$9)+10))),
SUMIF(INDIRECT(Equipo!$D$4&amp;"!B10:B1000"),$B125,INDIRECT(Equipo!$D$4&amp;"!"&amp;ADDRESS(10,COLUMN(J$9)+10)&amp;":"&amp;ADDRESS(1000,COLUMN(J$9)+10))),
SUMIF(INDIRECT(Equipo!$E$4&amp;"!B10:B1000"),$B125,INDIRECT(Equipo!$E$4&amp;"!"&amp;ADDRESS(10,COLUMN(J$9)+10)&amp;":"&amp;ADDRESS(1000,COLUMN(J$9)+10))),
SUMIF(INDIRECT(Equipo!$F$4&amp;"!B10:B1000"),$B125,INDIRECT(Equipo!$F$4&amp;"!"&amp;ADDRESS(10,COLUMN(J$9)+10)&amp;":"&amp;ADDRESS(1000,COLUMN(J$9)+10))),
SUMIF(INDIRECT(Equipo!$G$4&amp;"!B10:B1000"),$B125,INDIRECT(Equipo!$G$4&amp;"!"&amp;ADDRESS(10,COLUMN(J$9)+10)&amp;":"&amp;ADDRESS(1000,COLUMN(J$9)+10)))
))</f>
        <v>-</v>
      </c>
      <c r="K125" s="19" t="str">
        <f t="array" ref="K125">IF(ISBLANK(Tareas!$B121),"-",
SUM(
SUMIF(INDIRECT(Equipo!$C$4&amp;"!B10:B1000"),$B125,INDIRECT(Equipo!$C$4&amp;"!"&amp;ADDRESS(10,COLUMN(K$9)+10)&amp;":"&amp;ADDRESS(1000,COLUMN(K$9)+10))),
SUMIF(INDIRECT(Equipo!$D$4&amp;"!B10:B1000"),$B125,INDIRECT(Equipo!$D$4&amp;"!"&amp;ADDRESS(10,COLUMN(K$9)+10)&amp;":"&amp;ADDRESS(1000,COLUMN(K$9)+10))),
SUMIF(INDIRECT(Equipo!$E$4&amp;"!B10:B1000"),$B125,INDIRECT(Equipo!$E$4&amp;"!"&amp;ADDRESS(10,COLUMN(K$9)+10)&amp;":"&amp;ADDRESS(1000,COLUMN(K$9)+10))),
SUMIF(INDIRECT(Equipo!$F$4&amp;"!B10:B1000"),$B125,INDIRECT(Equipo!$F$4&amp;"!"&amp;ADDRESS(10,COLUMN(K$9)+10)&amp;":"&amp;ADDRESS(1000,COLUMN(K$9)+10))),
SUMIF(INDIRECT(Equipo!$G$4&amp;"!B10:B1000"),$B125,INDIRECT(Equipo!$G$4&amp;"!"&amp;ADDRESS(10,COLUMN(K$9)+10)&amp;":"&amp;ADDRESS(1000,COLUMN(K$9)+10)))
))</f>
        <v>-</v>
      </c>
    </row>
    <row r="126" ht="15.75" customHeight="1">
      <c r="C126" s="19" t="str">
        <f>IF(ISBLANK(Tareas!$B122),"-",SUM(D126:K126))</f>
        <v>-</v>
      </c>
      <c r="D126" s="19" t="str">
        <f t="array" ref="D126">IF(ISBLANK(Tareas!$B122),"-",
SUM(
SUMIF(INDIRECT(Equipo!$C$4&amp;"!B10:B1000"),$B126,INDIRECT(Equipo!$C$4&amp;"!"&amp;ADDRESS(10,COLUMN(D$9)+10)&amp;":"&amp;ADDRESS(1000,COLUMN(D$9)+10))),
SUMIF(INDIRECT(Equipo!$D$4&amp;"!B10:B1000"),$B126,INDIRECT(Equipo!$D$4&amp;"!"&amp;ADDRESS(10,COLUMN(D$9)+10)&amp;":"&amp;ADDRESS(1000,COLUMN(D$9)+10))),
SUMIF(INDIRECT(Equipo!$E$4&amp;"!B10:B1000"),$B126,INDIRECT(Equipo!$E$4&amp;"!"&amp;ADDRESS(10,COLUMN(D$9)+10)&amp;":"&amp;ADDRESS(1000,COLUMN(D$9)+10))),
SUMIF(INDIRECT(Equipo!$F$4&amp;"!B10:B1000"),$B126,INDIRECT(Equipo!$F$4&amp;"!"&amp;ADDRESS(10,COLUMN(D$9)+10)&amp;":"&amp;ADDRESS(1000,COLUMN(D$9)+10))),
SUMIF(INDIRECT(Equipo!$G$4&amp;"!B10:B1000"),$B126,INDIRECT(Equipo!$G$4&amp;"!"&amp;ADDRESS(10,COLUMN(D$9)+10)&amp;":"&amp;ADDRESS(1000,COLUMN(D$9)+10)))
))</f>
        <v>-</v>
      </c>
      <c r="E126" s="19" t="str">
        <f t="array" ref="E126">IF(ISBLANK(Tareas!$B122),"-",
SUM(
SUMIF(INDIRECT(Equipo!$C$4&amp;"!B10:B1000"),$B126,INDIRECT(Equipo!$C$4&amp;"!"&amp;ADDRESS(10,COLUMN(E$9)+10)&amp;":"&amp;ADDRESS(1000,COLUMN(E$9)+10))),
SUMIF(INDIRECT(Equipo!$D$4&amp;"!B10:B1000"),$B126,INDIRECT(Equipo!$D$4&amp;"!"&amp;ADDRESS(10,COLUMN(E$9)+10)&amp;":"&amp;ADDRESS(1000,COLUMN(E$9)+10))),
SUMIF(INDIRECT(Equipo!$E$4&amp;"!B10:B1000"),$B126,INDIRECT(Equipo!$E$4&amp;"!"&amp;ADDRESS(10,COLUMN(E$9)+10)&amp;":"&amp;ADDRESS(1000,COLUMN(E$9)+10))),
SUMIF(INDIRECT(Equipo!$F$4&amp;"!B10:B1000"),$B126,INDIRECT(Equipo!$F$4&amp;"!"&amp;ADDRESS(10,COLUMN(E$9)+10)&amp;":"&amp;ADDRESS(1000,COLUMN(E$9)+10))),
SUMIF(INDIRECT(Equipo!$G$4&amp;"!B10:B1000"),$B126,INDIRECT(Equipo!$G$4&amp;"!"&amp;ADDRESS(10,COLUMN(E$9)+10)&amp;":"&amp;ADDRESS(1000,COLUMN(E$9)+10)))
))</f>
        <v>-</v>
      </c>
      <c r="F126" s="19" t="str">
        <f t="array" ref="F126">IF(ISBLANK(Tareas!$B122),"-",
SUM(
SUMIF(INDIRECT(Equipo!$C$4&amp;"!B10:B1000"),$B126,INDIRECT(Equipo!$C$4&amp;"!"&amp;ADDRESS(10,COLUMN(F$9)+10)&amp;":"&amp;ADDRESS(1000,COLUMN(F$9)+10))),
SUMIF(INDIRECT(Equipo!$D$4&amp;"!B10:B1000"),$B126,INDIRECT(Equipo!$D$4&amp;"!"&amp;ADDRESS(10,COLUMN(F$9)+10)&amp;":"&amp;ADDRESS(1000,COLUMN(F$9)+10))),
SUMIF(INDIRECT(Equipo!$E$4&amp;"!B10:B1000"),$B126,INDIRECT(Equipo!$E$4&amp;"!"&amp;ADDRESS(10,COLUMN(F$9)+10)&amp;":"&amp;ADDRESS(1000,COLUMN(F$9)+10))),
SUMIF(INDIRECT(Equipo!$F$4&amp;"!B10:B1000"),$B126,INDIRECT(Equipo!$F$4&amp;"!"&amp;ADDRESS(10,COLUMN(F$9)+10)&amp;":"&amp;ADDRESS(1000,COLUMN(F$9)+10))),
SUMIF(INDIRECT(Equipo!$G$4&amp;"!B10:B1000"),$B126,INDIRECT(Equipo!$G$4&amp;"!"&amp;ADDRESS(10,COLUMN(F$9)+10)&amp;":"&amp;ADDRESS(1000,COLUMN(F$9)+10)))
))</f>
        <v>-</v>
      </c>
      <c r="G126" s="19" t="str">
        <f t="array" ref="G126">IF(ISBLANK(Tareas!$B122),"-",
SUM(
SUMIF(INDIRECT(Equipo!$C$4&amp;"!B10:B1000"),$B126,INDIRECT(Equipo!$C$4&amp;"!"&amp;ADDRESS(10,COLUMN(G$9)+10)&amp;":"&amp;ADDRESS(1000,COLUMN(G$9)+10))),
SUMIF(INDIRECT(Equipo!$D$4&amp;"!B10:B1000"),$B126,INDIRECT(Equipo!$D$4&amp;"!"&amp;ADDRESS(10,COLUMN(G$9)+10)&amp;":"&amp;ADDRESS(1000,COLUMN(G$9)+10))),
SUMIF(INDIRECT(Equipo!$E$4&amp;"!B10:B1000"),$B126,INDIRECT(Equipo!$E$4&amp;"!"&amp;ADDRESS(10,COLUMN(G$9)+10)&amp;":"&amp;ADDRESS(1000,COLUMN(G$9)+10))),
SUMIF(INDIRECT(Equipo!$F$4&amp;"!B10:B1000"),$B126,INDIRECT(Equipo!$F$4&amp;"!"&amp;ADDRESS(10,COLUMN(G$9)+10)&amp;":"&amp;ADDRESS(1000,COLUMN(G$9)+10))),
SUMIF(INDIRECT(Equipo!$G$4&amp;"!B10:B1000"),$B126,INDIRECT(Equipo!$G$4&amp;"!"&amp;ADDRESS(10,COLUMN(G$9)+10)&amp;":"&amp;ADDRESS(1000,COLUMN(G$9)+10)))
))</f>
        <v>-</v>
      </c>
      <c r="H126" s="19" t="str">
        <f t="array" ref="H126">IF(ISBLANK(Tareas!$B122),"-",
SUM(
SUMIF(INDIRECT(Equipo!$C$4&amp;"!B10:B1000"),$B126,INDIRECT(Equipo!$C$4&amp;"!"&amp;ADDRESS(10,COLUMN(H$9)+10)&amp;":"&amp;ADDRESS(1000,COLUMN(H$9)+10))),
SUMIF(INDIRECT(Equipo!$D$4&amp;"!B10:B1000"),$B126,INDIRECT(Equipo!$D$4&amp;"!"&amp;ADDRESS(10,COLUMN(H$9)+10)&amp;":"&amp;ADDRESS(1000,COLUMN(H$9)+10))),
SUMIF(INDIRECT(Equipo!$E$4&amp;"!B10:B1000"),$B126,INDIRECT(Equipo!$E$4&amp;"!"&amp;ADDRESS(10,COLUMN(H$9)+10)&amp;":"&amp;ADDRESS(1000,COLUMN(H$9)+10))),
SUMIF(INDIRECT(Equipo!$F$4&amp;"!B10:B1000"),$B126,INDIRECT(Equipo!$F$4&amp;"!"&amp;ADDRESS(10,COLUMN(H$9)+10)&amp;":"&amp;ADDRESS(1000,COLUMN(H$9)+10))),
SUMIF(INDIRECT(Equipo!$G$4&amp;"!B10:B1000"),$B126,INDIRECT(Equipo!$G$4&amp;"!"&amp;ADDRESS(10,COLUMN(H$9)+10)&amp;":"&amp;ADDRESS(1000,COLUMN(H$9)+10)))
))</f>
        <v>-</v>
      </c>
      <c r="I126" s="19" t="str">
        <f t="array" ref="I126">IF(ISBLANK(Tareas!$B122),"-",
SUM(
SUMIF(INDIRECT(Equipo!$C$4&amp;"!B10:B1000"),$B126,INDIRECT(Equipo!$C$4&amp;"!"&amp;ADDRESS(10,COLUMN(I$9)+10)&amp;":"&amp;ADDRESS(1000,COLUMN(I$9)+10))),
SUMIF(INDIRECT(Equipo!$D$4&amp;"!B10:B1000"),$B126,INDIRECT(Equipo!$D$4&amp;"!"&amp;ADDRESS(10,COLUMN(I$9)+10)&amp;":"&amp;ADDRESS(1000,COLUMN(I$9)+10))),
SUMIF(INDIRECT(Equipo!$E$4&amp;"!B10:B1000"),$B126,INDIRECT(Equipo!$E$4&amp;"!"&amp;ADDRESS(10,COLUMN(I$9)+10)&amp;":"&amp;ADDRESS(1000,COLUMN(I$9)+10))),
SUMIF(INDIRECT(Equipo!$F$4&amp;"!B10:B1000"),$B126,INDIRECT(Equipo!$F$4&amp;"!"&amp;ADDRESS(10,COLUMN(I$9)+10)&amp;":"&amp;ADDRESS(1000,COLUMN(I$9)+10))),
SUMIF(INDIRECT(Equipo!$G$4&amp;"!B10:B1000"),$B126,INDIRECT(Equipo!$G$4&amp;"!"&amp;ADDRESS(10,COLUMN(I$9)+10)&amp;":"&amp;ADDRESS(1000,COLUMN(I$9)+10)))
))</f>
        <v>-</v>
      </c>
      <c r="J126" s="19" t="str">
        <f t="array" ref="J126">IF(ISBLANK(Tareas!$B122),"-",
SUM(
SUMIF(INDIRECT(Equipo!$C$4&amp;"!B10:B1000"),$B126,INDIRECT(Equipo!$C$4&amp;"!"&amp;ADDRESS(10,COLUMN(J$9)+10)&amp;":"&amp;ADDRESS(1000,COLUMN(J$9)+10))),
SUMIF(INDIRECT(Equipo!$D$4&amp;"!B10:B1000"),$B126,INDIRECT(Equipo!$D$4&amp;"!"&amp;ADDRESS(10,COLUMN(J$9)+10)&amp;":"&amp;ADDRESS(1000,COLUMN(J$9)+10))),
SUMIF(INDIRECT(Equipo!$E$4&amp;"!B10:B1000"),$B126,INDIRECT(Equipo!$E$4&amp;"!"&amp;ADDRESS(10,COLUMN(J$9)+10)&amp;":"&amp;ADDRESS(1000,COLUMN(J$9)+10))),
SUMIF(INDIRECT(Equipo!$F$4&amp;"!B10:B1000"),$B126,INDIRECT(Equipo!$F$4&amp;"!"&amp;ADDRESS(10,COLUMN(J$9)+10)&amp;":"&amp;ADDRESS(1000,COLUMN(J$9)+10))),
SUMIF(INDIRECT(Equipo!$G$4&amp;"!B10:B1000"),$B126,INDIRECT(Equipo!$G$4&amp;"!"&amp;ADDRESS(10,COLUMN(J$9)+10)&amp;":"&amp;ADDRESS(1000,COLUMN(J$9)+10)))
))</f>
        <v>-</v>
      </c>
      <c r="K126" s="19" t="str">
        <f t="array" ref="K126">IF(ISBLANK(Tareas!$B122),"-",
SUM(
SUMIF(INDIRECT(Equipo!$C$4&amp;"!B10:B1000"),$B126,INDIRECT(Equipo!$C$4&amp;"!"&amp;ADDRESS(10,COLUMN(K$9)+10)&amp;":"&amp;ADDRESS(1000,COLUMN(K$9)+10))),
SUMIF(INDIRECT(Equipo!$D$4&amp;"!B10:B1000"),$B126,INDIRECT(Equipo!$D$4&amp;"!"&amp;ADDRESS(10,COLUMN(K$9)+10)&amp;":"&amp;ADDRESS(1000,COLUMN(K$9)+10))),
SUMIF(INDIRECT(Equipo!$E$4&amp;"!B10:B1000"),$B126,INDIRECT(Equipo!$E$4&amp;"!"&amp;ADDRESS(10,COLUMN(K$9)+10)&amp;":"&amp;ADDRESS(1000,COLUMN(K$9)+10))),
SUMIF(INDIRECT(Equipo!$F$4&amp;"!B10:B1000"),$B126,INDIRECT(Equipo!$F$4&amp;"!"&amp;ADDRESS(10,COLUMN(K$9)+10)&amp;":"&amp;ADDRESS(1000,COLUMN(K$9)+10))),
SUMIF(INDIRECT(Equipo!$G$4&amp;"!B10:B1000"),$B126,INDIRECT(Equipo!$G$4&amp;"!"&amp;ADDRESS(10,COLUMN(K$9)+10)&amp;":"&amp;ADDRESS(1000,COLUMN(K$9)+10)))
))</f>
        <v>-</v>
      </c>
    </row>
    <row r="127" ht="15.75" customHeight="1">
      <c r="C127" s="19" t="str">
        <f>IF(ISBLANK(Tareas!$B123),"-",SUM(D127:K127))</f>
        <v>-</v>
      </c>
      <c r="D127" s="19" t="str">
        <f t="array" ref="D127">IF(ISBLANK(Tareas!$B123),"-",
SUM(
SUMIF(INDIRECT(Equipo!$C$4&amp;"!B10:B1000"),$B127,INDIRECT(Equipo!$C$4&amp;"!"&amp;ADDRESS(10,COLUMN(D$9)+10)&amp;":"&amp;ADDRESS(1000,COLUMN(D$9)+10))),
SUMIF(INDIRECT(Equipo!$D$4&amp;"!B10:B1000"),$B127,INDIRECT(Equipo!$D$4&amp;"!"&amp;ADDRESS(10,COLUMN(D$9)+10)&amp;":"&amp;ADDRESS(1000,COLUMN(D$9)+10))),
SUMIF(INDIRECT(Equipo!$E$4&amp;"!B10:B1000"),$B127,INDIRECT(Equipo!$E$4&amp;"!"&amp;ADDRESS(10,COLUMN(D$9)+10)&amp;":"&amp;ADDRESS(1000,COLUMN(D$9)+10))),
SUMIF(INDIRECT(Equipo!$F$4&amp;"!B10:B1000"),$B127,INDIRECT(Equipo!$F$4&amp;"!"&amp;ADDRESS(10,COLUMN(D$9)+10)&amp;":"&amp;ADDRESS(1000,COLUMN(D$9)+10))),
SUMIF(INDIRECT(Equipo!$G$4&amp;"!B10:B1000"),$B127,INDIRECT(Equipo!$G$4&amp;"!"&amp;ADDRESS(10,COLUMN(D$9)+10)&amp;":"&amp;ADDRESS(1000,COLUMN(D$9)+10)))
))</f>
        <v>-</v>
      </c>
      <c r="E127" s="19" t="str">
        <f t="array" ref="E127">IF(ISBLANK(Tareas!$B123),"-",
SUM(
SUMIF(INDIRECT(Equipo!$C$4&amp;"!B10:B1000"),$B127,INDIRECT(Equipo!$C$4&amp;"!"&amp;ADDRESS(10,COLUMN(E$9)+10)&amp;":"&amp;ADDRESS(1000,COLUMN(E$9)+10))),
SUMIF(INDIRECT(Equipo!$D$4&amp;"!B10:B1000"),$B127,INDIRECT(Equipo!$D$4&amp;"!"&amp;ADDRESS(10,COLUMN(E$9)+10)&amp;":"&amp;ADDRESS(1000,COLUMN(E$9)+10))),
SUMIF(INDIRECT(Equipo!$E$4&amp;"!B10:B1000"),$B127,INDIRECT(Equipo!$E$4&amp;"!"&amp;ADDRESS(10,COLUMN(E$9)+10)&amp;":"&amp;ADDRESS(1000,COLUMN(E$9)+10))),
SUMIF(INDIRECT(Equipo!$F$4&amp;"!B10:B1000"),$B127,INDIRECT(Equipo!$F$4&amp;"!"&amp;ADDRESS(10,COLUMN(E$9)+10)&amp;":"&amp;ADDRESS(1000,COLUMN(E$9)+10))),
SUMIF(INDIRECT(Equipo!$G$4&amp;"!B10:B1000"),$B127,INDIRECT(Equipo!$G$4&amp;"!"&amp;ADDRESS(10,COLUMN(E$9)+10)&amp;":"&amp;ADDRESS(1000,COLUMN(E$9)+10)))
))</f>
        <v>-</v>
      </c>
      <c r="F127" s="19" t="str">
        <f t="array" ref="F127">IF(ISBLANK(Tareas!$B123),"-",
SUM(
SUMIF(INDIRECT(Equipo!$C$4&amp;"!B10:B1000"),$B127,INDIRECT(Equipo!$C$4&amp;"!"&amp;ADDRESS(10,COLUMN(F$9)+10)&amp;":"&amp;ADDRESS(1000,COLUMN(F$9)+10))),
SUMIF(INDIRECT(Equipo!$D$4&amp;"!B10:B1000"),$B127,INDIRECT(Equipo!$D$4&amp;"!"&amp;ADDRESS(10,COLUMN(F$9)+10)&amp;":"&amp;ADDRESS(1000,COLUMN(F$9)+10))),
SUMIF(INDIRECT(Equipo!$E$4&amp;"!B10:B1000"),$B127,INDIRECT(Equipo!$E$4&amp;"!"&amp;ADDRESS(10,COLUMN(F$9)+10)&amp;":"&amp;ADDRESS(1000,COLUMN(F$9)+10))),
SUMIF(INDIRECT(Equipo!$F$4&amp;"!B10:B1000"),$B127,INDIRECT(Equipo!$F$4&amp;"!"&amp;ADDRESS(10,COLUMN(F$9)+10)&amp;":"&amp;ADDRESS(1000,COLUMN(F$9)+10))),
SUMIF(INDIRECT(Equipo!$G$4&amp;"!B10:B1000"),$B127,INDIRECT(Equipo!$G$4&amp;"!"&amp;ADDRESS(10,COLUMN(F$9)+10)&amp;":"&amp;ADDRESS(1000,COLUMN(F$9)+10)))
))</f>
        <v>-</v>
      </c>
      <c r="G127" s="19" t="str">
        <f t="array" ref="G127">IF(ISBLANK(Tareas!$B123),"-",
SUM(
SUMIF(INDIRECT(Equipo!$C$4&amp;"!B10:B1000"),$B127,INDIRECT(Equipo!$C$4&amp;"!"&amp;ADDRESS(10,COLUMN(G$9)+10)&amp;":"&amp;ADDRESS(1000,COLUMN(G$9)+10))),
SUMIF(INDIRECT(Equipo!$D$4&amp;"!B10:B1000"),$B127,INDIRECT(Equipo!$D$4&amp;"!"&amp;ADDRESS(10,COLUMN(G$9)+10)&amp;":"&amp;ADDRESS(1000,COLUMN(G$9)+10))),
SUMIF(INDIRECT(Equipo!$E$4&amp;"!B10:B1000"),$B127,INDIRECT(Equipo!$E$4&amp;"!"&amp;ADDRESS(10,COLUMN(G$9)+10)&amp;":"&amp;ADDRESS(1000,COLUMN(G$9)+10))),
SUMIF(INDIRECT(Equipo!$F$4&amp;"!B10:B1000"),$B127,INDIRECT(Equipo!$F$4&amp;"!"&amp;ADDRESS(10,COLUMN(G$9)+10)&amp;":"&amp;ADDRESS(1000,COLUMN(G$9)+10))),
SUMIF(INDIRECT(Equipo!$G$4&amp;"!B10:B1000"),$B127,INDIRECT(Equipo!$G$4&amp;"!"&amp;ADDRESS(10,COLUMN(G$9)+10)&amp;":"&amp;ADDRESS(1000,COLUMN(G$9)+10)))
))</f>
        <v>-</v>
      </c>
      <c r="H127" s="19" t="str">
        <f t="array" ref="H127">IF(ISBLANK(Tareas!$B123),"-",
SUM(
SUMIF(INDIRECT(Equipo!$C$4&amp;"!B10:B1000"),$B127,INDIRECT(Equipo!$C$4&amp;"!"&amp;ADDRESS(10,COLUMN(H$9)+10)&amp;":"&amp;ADDRESS(1000,COLUMN(H$9)+10))),
SUMIF(INDIRECT(Equipo!$D$4&amp;"!B10:B1000"),$B127,INDIRECT(Equipo!$D$4&amp;"!"&amp;ADDRESS(10,COLUMN(H$9)+10)&amp;":"&amp;ADDRESS(1000,COLUMN(H$9)+10))),
SUMIF(INDIRECT(Equipo!$E$4&amp;"!B10:B1000"),$B127,INDIRECT(Equipo!$E$4&amp;"!"&amp;ADDRESS(10,COLUMN(H$9)+10)&amp;":"&amp;ADDRESS(1000,COLUMN(H$9)+10))),
SUMIF(INDIRECT(Equipo!$F$4&amp;"!B10:B1000"),$B127,INDIRECT(Equipo!$F$4&amp;"!"&amp;ADDRESS(10,COLUMN(H$9)+10)&amp;":"&amp;ADDRESS(1000,COLUMN(H$9)+10))),
SUMIF(INDIRECT(Equipo!$G$4&amp;"!B10:B1000"),$B127,INDIRECT(Equipo!$G$4&amp;"!"&amp;ADDRESS(10,COLUMN(H$9)+10)&amp;":"&amp;ADDRESS(1000,COLUMN(H$9)+10)))
))</f>
        <v>-</v>
      </c>
      <c r="I127" s="19" t="str">
        <f t="array" ref="I127">IF(ISBLANK(Tareas!$B123),"-",
SUM(
SUMIF(INDIRECT(Equipo!$C$4&amp;"!B10:B1000"),$B127,INDIRECT(Equipo!$C$4&amp;"!"&amp;ADDRESS(10,COLUMN(I$9)+10)&amp;":"&amp;ADDRESS(1000,COLUMN(I$9)+10))),
SUMIF(INDIRECT(Equipo!$D$4&amp;"!B10:B1000"),$B127,INDIRECT(Equipo!$D$4&amp;"!"&amp;ADDRESS(10,COLUMN(I$9)+10)&amp;":"&amp;ADDRESS(1000,COLUMN(I$9)+10))),
SUMIF(INDIRECT(Equipo!$E$4&amp;"!B10:B1000"),$B127,INDIRECT(Equipo!$E$4&amp;"!"&amp;ADDRESS(10,COLUMN(I$9)+10)&amp;":"&amp;ADDRESS(1000,COLUMN(I$9)+10))),
SUMIF(INDIRECT(Equipo!$F$4&amp;"!B10:B1000"),$B127,INDIRECT(Equipo!$F$4&amp;"!"&amp;ADDRESS(10,COLUMN(I$9)+10)&amp;":"&amp;ADDRESS(1000,COLUMN(I$9)+10))),
SUMIF(INDIRECT(Equipo!$G$4&amp;"!B10:B1000"),$B127,INDIRECT(Equipo!$G$4&amp;"!"&amp;ADDRESS(10,COLUMN(I$9)+10)&amp;":"&amp;ADDRESS(1000,COLUMN(I$9)+10)))
))</f>
        <v>-</v>
      </c>
      <c r="J127" s="19" t="str">
        <f t="array" ref="J127">IF(ISBLANK(Tareas!$B123),"-",
SUM(
SUMIF(INDIRECT(Equipo!$C$4&amp;"!B10:B1000"),$B127,INDIRECT(Equipo!$C$4&amp;"!"&amp;ADDRESS(10,COLUMN(J$9)+10)&amp;":"&amp;ADDRESS(1000,COLUMN(J$9)+10))),
SUMIF(INDIRECT(Equipo!$D$4&amp;"!B10:B1000"),$B127,INDIRECT(Equipo!$D$4&amp;"!"&amp;ADDRESS(10,COLUMN(J$9)+10)&amp;":"&amp;ADDRESS(1000,COLUMN(J$9)+10))),
SUMIF(INDIRECT(Equipo!$E$4&amp;"!B10:B1000"),$B127,INDIRECT(Equipo!$E$4&amp;"!"&amp;ADDRESS(10,COLUMN(J$9)+10)&amp;":"&amp;ADDRESS(1000,COLUMN(J$9)+10))),
SUMIF(INDIRECT(Equipo!$F$4&amp;"!B10:B1000"),$B127,INDIRECT(Equipo!$F$4&amp;"!"&amp;ADDRESS(10,COLUMN(J$9)+10)&amp;":"&amp;ADDRESS(1000,COLUMN(J$9)+10))),
SUMIF(INDIRECT(Equipo!$G$4&amp;"!B10:B1000"),$B127,INDIRECT(Equipo!$G$4&amp;"!"&amp;ADDRESS(10,COLUMN(J$9)+10)&amp;":"&amp;ADDRESS(1000,COLUMN(J$9)+10)))
))</f>
        <v>-</v>
      </c>
      <c r="K127" s="19" t="str">
        <f t="array" ref="K127">IF(ISBLANK(Tareas!$B123),"-",
SUM(
SUMIF(INDIRECT(Equipo!$C$4&amp;"!B10:B1000"),$B127,INDIRECT(Equipo!$C$4&amp;"!"&amp;ADDRESS(10,COLUMN(K$9)+10)&amp;":"&amp;ADDRESS(1000,COLUMN(K$9)+10))),
SUMIF(INDIRECT(Equipo!$D$4&amp;"!B10:B1000"),$B127,INDIRECT(Equipo!$D$4&amp;"!"&amp;ADDRESS(10,COLUMN(K$9)+10)&amp;":"&amp;ADDRESS(1000,COLUMN(K$9)+10))),
SUMIF(INDIRECT(Equipo!$E$4&amp;"!B10:B1000"),$B127,INDIRECT(Equipo!$E$4&amp;"!"&amp;ADDRESS(10,COLUMN(K$9)+10)&amp;":"&amp;ADDRESS(1000,COLUMN(K$9)+10))),
SUMIF(INDIRECT(Equipo!$F$4&amp;"!B10:B1000"),$B127,INDIRECT(Equipo!$F$4&amp;"!"&amp;ADDRESS(10,COLUMN(K$9)+10)&amp;":"&amp;ADDRESS(1000,COLUMN(K$9)+10))),
SUMIF(INDIRECT(Equipo!$G$4&amp;"!B10:B1000"),$B127,INDIRECT(Equipo!$G$4&amp;"!"&amp;ADDRESS(10,COLUMN(K$9)+10)&amp;":"&amp;ADDRESS(1000,COLUMN(K$9)+10)))
))</f>
        <v>-</v>
      </c>
    </row>
    <row r="128" ht="15.75" customHeight="1">
      <c r="C128" s="19" t="str">
        <f>IF(ISBLANK(Tareas!$B124),"-",SUM(D128:K128))</f>
        <v>-</v>
      </c>
      <c r="D128" s="19" t="str">
        <f t="array" ref="D128">IF(ISBLANK(Tareas!$B124),"-",
SUM(
SUMIF(INDIRECT(Equipo!$C$4&amp;"!B10:B1000"),$B128,INDIRECT(Equipo!$C$4&amp;"!"&amp;ADDRESS(10,COLUMN(D$9)+10)&amp;":"&amp;ADDRESS(1000,COLUMN(D$9)+10))),
SUMIF(INDIRECT(Equipo!$D$4&amp;"!B10:B1000"),$B128,INDIRECT(Equipo!$D$4&amp;"!"&amp;ADDRESS(10,COLUMN(D$9)+10)&amp;":"&amp;ADDRESS(1000,COLUMN(D$9)+10))),
SUMIF(INDIRECT(Equipo!$E$4&amp;"!B10:B1000"),$B128,INDIRECT(Equipo!$E$4&amp;"!"&amp;ADDRESS(10,COLUMN(D$9)+10)&amp;":"&amp;ADDRESS(1000,COLUMN(D$9)+10))),
SUMIF(INDIRECT(Equipo!$F$4&amp;"!B10:B1000"),$B128,INDIRECT(Equipo!$F$4&amp;"!"&amp;ADDRESS(10,COLUMN(D$9)+10)&amp;":"&amp;ADDRESS(1000,COLUMN(D$9)+10))),
SUMIF(INDIRECT(Equipo!$G$4&amp;"!B10:B1000"),$B128,INDIRECT(Equipo!$G$4&amp;"!"&amp;ADDRESS(10,COLUMN(D$9)+10)&amp;":"&amp;ADDRESS(1000,COLUMN(D$9)+10)))
))</f>
        <v>-</v>
      </c>
      <c r="E128" s="19" t="str">
        <f t="array" ref="E128">IF(ISBLANK(Tareas!$B124),"-",
SUM(
SUMIF(INDIRECT(Equipo!$C$4&amp;"!B10:B1000"),$B128,INDIRECT(Equipo!$C$4&amp;"!"&amp;ADDRESS(10,COLUMN(E$9)+10)&amp;":"&amp;ADDRESS(1000,COLUMN(E$9)+10))),
SUMIF(INDIRECT(Equipo!$D$4&amp;"!B10:B1000"),$B128,INDIRECT(Equipo!$D$4&amp;"!"&amp;ADDRESS(10,COLUMN(E$9)+10)&amp;":"&amp;ADDRESS(1000,COLUMN(E$9)+10))),
SUMIF(INDIRECT(Equipo!$E$4&amp;"!B10:B1000"),$B128,INDIRECT(Equipo!$E$4&amp;"!"&amp;ADDRESS(10,COLUMN(E$9)+10)&amp;":"&amp;ADDRESS(1000,COLUMN(E$9)+10))),
SUMIF(INDIRECT(Equipo!$F$4&amp;"!B10:B1000"),$B128,INDIRECT(Equipo!$F$4&amp;"!"&amp;ADDRESS(10,COLUMN(E$9)+10)&amp;":"&amp;ADDRESS(1000,COLUMN(E$9)+10))),
SUMIF(INDIRECT(Equipo!$G$4&amp;"!B10:B1000"),$B128,INDIRECT(Equipo!$G$4&amp;"!"&amp;ADDRESS(10,COLUMN(E$9)+10)&amp;":"&amp;ADDRESS(1000,COLUMN(E$9)+10)))
))</f>
        <v>-</v>
      </c>
      <c r="F128" s="19" t="str">
        <f t="array" ref="F128">IF(ISBLANK(Tareas!$B124),"-",
SUM(
SUMIF(INDIRECT(Equipo!$C$4&amp;"!B10:B1000"),$B128,INDIRECT(Equipo!$C$4&amp;"!"&amp;ADDRESS(10,COLUMN(F$9)+10)&amp;":"&amp;ADDRESS(1000,COLUMN(F$9)+10))),
SUMIF(INDIRECT(Equipo!$D$4&amp;"!B10:B1000"),$B128,INDIRECT(Equipo!$D$4&amp;"!"&amp;ADDRESS(10,COLUMN(F$9)+10)&amp;":"&amp;ADDRESS(1000,COLUMN(F$9)+10))),
SUMIF(INDIRECT(Equipo!$E$4&amp;"!B10:B1000"),$B128,INDIRECT(Equipo!$E$4&amp;"!"&amp;ADDRESS(10,COLUMN(F$9)+10)&amp;":"&amp;ADDRESS(1000,COLUMN(F$9)+10))),
SUMIF(INDIRECT(Equipo!$F$4&amp;"!B10:B1000"),$B128,INDIRECT(Equipo!$F$4&amp;"!"&amp;ADDRESS(10,COLUMN(F$9)+10)&amp;":"&amp;ADDRESS(1000,COLUMN(F$9)+10))),
SUMIF(INDIRECT(Equipo!$G$4&amp;"!B10:B1000"),$B128,INDIRECT(Equipo!$G$4&amp;"!"&amp;ADDRESS(10,COLUMN(F$9)+10)&amp;":"&amp;ADDRESS(1000,COLUMN(F$9)+10)))
))</f>
        <v>-</v>
      </c>
      <c r="G128" s="19" t="str">
        <f t="array" ref="G128">IF(ISBLANK(Tareas!$B124),"-",
SUM(
SUMIF(INDIRECT(Equipo!$C$4&amp;"!B10:B1000"),$B128,INDIRECT(Equipo!$C$4&amp;"!"&amp;ADDRESS(10,COLUMN(G$9)+10)&amp;":"&amp;ADDRESS(1000,COLUMN(G$9)+10))),
SUMIF(INDIRECT(Equipo!$D$4&amp;"!B10:B1000"),$B128,INDIRECT(Equipo!$D$4&amp;"!"&amp;ADDRESS(10,COLUMN(G$9)+10)&amp;":"&amp;ADDRESS(1000,COLUMN(G$9)+10))),
SUMIF(INDIRECT(Equipo!$E$4&amp;"!B10:B1000"),$B128,INDIRECT(Equipo!$E$4&amp;"!"&amp;ADDRESS(10,COLUMN(G$9)+10)&amp;":"&amp;ADDRESS(1000,COLUMN(G$9)+10))),
SUMIF(INDIRECT(Equipo!$F$4&amp;"!B10:B1000"),$B128,INDIRECT(Equipo!$F$4&amp;"!"&amp;ADDRESS(10,COLUMN(G$9)+10)&amp;":"&amp;ADDRESS(1000,COLUMN(G$9)+10))),
SUMIF(INDIRECT(Equipo!$G$4&amp;"!B10:B1000"),$B128,INDIRECT(Equipo!$G$4&amp;"!"&amp;ADDRESS(10,COLUMN(G$9)+10)&amp;":"&amp;ADDRESS(1000,COLUMN(G$9)+10)))
))</f>
        <v>-</v>
      </c>
      <c r="H128" s="19" t="str">
        <f t="array" ref="H128">IF(ISBLANK(Tareas!$B124),"-",
SUM(
SUMIF(INDIRECT(Equipo!$C$4&amp;"!B10:B1000"),$B128,INDIRECT(Equipo!$C$4&amp;"!"&amp;ADDRESS(10,COLUMN(H$9)+10)&amp;":"&amp;ADDRESS(1000,COLUMN(H$9)+10))),
SUMIF(INDIRECT(Equipo!$D$4&amp;"!B10:B1000"),$B128,INDIRECT(Equipo!$D$4&amp;"!"&amp;ADDRESS(10,COLUMN(H$9)+10)&amp;":"&amp;ADDRESS(1000,COLUMN(H$9)+10))),
SUMIF(INDIRECT(Equipo!$E$4&amp;"!B10:B1000"),$B128,INDIRECT(Equipo!$E$4&amp;"!"&amp;ADDRESS(10,COLUMN(H$9)+10)&amp;":"&amp;ADDRESS(1000,COLUMN(H$9)+10))),
SUMIF(INDIRECT(Equipo!$F$4&amp;"!B10:B1000"),$B128,INDIRECT(Equipo!$F$4&amp;"!"&amp;ADDRESS(10,COLUMN(H$9)+10)&amp;":"&amp;ADDRESS(1000,COLUMN(H$9)+10))),
SUMIF(INDIRECT(Equipo!$G$4&amp;"!B10:B1000"),$B128,INDIRECT(Equipo!$G$4&amp;"!"&amp;ADDRESS(10,COLUMN(H$9)+10)&amp;":"&amp;ADDRESS(1000,COLUMN(H$9)+10)))
))</f>
        <v>-</v>
      </c>
      <c r="I128" s="19" t="str">
        <f t="array" ref="I128">IF(ISBLANK(Tareas!$B124),"-",
SUM(
SUMIF(INDIRECT(Equipo!$C$4&amp;"!B10:B1000"),$B128,INDIRECT(Equipo!$C$4&amp;"!"&amp;ADDRESS(10,COLUMN(I$9)+10)&amp;":"&amp;ADDRESS(1000,COLUMN(I$9)+10))),
SUMIF(INDIRECT(Equipo!$D$4&amp;"!B10:B1000"),$B128,INDIRECT(Equipo!$D$4&amp;"!"&amp;ADDRESS(10,COLUMN(I$9)+10)&amp;":"&amp;ADDRESS(1000,COLUMN(I$9)+10))),
SUMIF(INDIRECT(Equipo!$E$4&amp;"!B10:B1000"),$B128,INDIRECT(Equipo!$E$4&amp;"!"&amp;ADDRESS(10,COLUMN(I$9)+10)&amp;":"&amp;ADDRESS(1000,COLUMN(I$9)+10))),
SUMIF(INDIRECT(Equipo!$F$4&amp;"!B10:B1000"),$B128,INDIRECT(Equipo!$F$4&amp;"!"&amp;ADDRESS(10,COLUMN(I$9)+10)&amp;":"&amp;ADDRESS(1000,COLUMN(I$9)+10))),
SUMIF(INDIRECT(Equipo!$G$4&amp;"!B10:B1000"),$B128,INDIRECT(Equipo!$G$4&amp;"!"&amp;ADDRESS(10,COLUMN(I$9)+10)&amp;":"&amp;ADDRESS(1000,COLUMN(I$9)+10)))
))</f>
        <v>-</v>
      </c>
      <c r="J128" s="19" t="str">
        <f t="array" ref="J128">IF(ISBLANK(Tareas!$B124),"-",
SUM(
SUMIF(INDIRECT(Equipo!$C$4&amp;"!B10:B1000"),$B128,INDIRECT(Equipo!$C$4&amp;"!"&amp;ADDRESS(10,COLUMN(J$9)+10)&amp;":"&amp;ADDRESS(1000,COLUMN(J$9)+10))),
SUMIF(INDIRECT(Equipo!$D$4&amp;"!B10:B1000"),$B128,INDIRECT(Equipo!$D$4&amp;"!"&amp;ADDRESS(10,COLUMN(J$9)+10)&amp;":"&amp;ADDRESS(1000,COLUMN(J$9)+10))),
SUMIF(INDIRECT(Equipo!$E$4&amp;"!B10:B1000"),$B128,INDIRECT(Equipo!$E$4&amp;"!"&amp;ADDRESS(10,COLUMN(J$9)+10)&amp;":"&amp;ADDRESS(1000,COLUMN(J$9)+10))),
SUMIF(INDIRECT(Equipo!$F$4&amp;"!B10:B1000"),$B128,INDIRECT(Equipo!$F$4&amp;"!"&amp;ADDRESS(10,COLUMN(J$9)+10)&amp;":"&amp;ADDRESS(1000,COLUMN(J$9)+10))),
SUMIF(INDIRECT(Equipo!$G$4&amp;"!B10:B1000"),$B128,INDIRECT(Equipo!$G$4&amp;"!"&amp;ADDRESS(10,COLUMN(J$9)+10)&amp;":"&amp;ADDRESS(1000,COLUMN(J$9)+10)))
))</f>
        <v>-</v>
      </c>
      <c r="K128" s="19" t="str">
        <f t="array" ref="K128">IF(ISBLANK(Tareas!$B124),"-",
SUM(
SUMIF(INDIRECT(Equipo!$C$4&amp;"!B10:B1000"),$B128,INDIRECT(Equipo!$C$4&amp;"!"&amp;ADDRESS(10,COLUMN(K$9)+10)&amp;":"&amp;ADDRESS(1000,COLUMN(K$9)+10))),
SUMIF(INDIRECT(Equipo!$D$4&amp;"!B10:B1000"),$B128,INDIRECT(Equipo!$D$4&amp;"!"&amp;ADDRESS(10,COLUMN(K$9)+10)&amp;":"&amp;ADDRESS(1000,COLUMN(K$9)+10))),
SUMIF(INDIRECT(Equipo!$E$4&amp;"!B10:B1000"),$B128,INDIRECT(Equipo!$E$4&amp;"!"&amp;ADDRESS(10,COLUMN(K$9)+10)&amp;":"&amp;ADDRESS(1000,COLUMN(K$9)+10))),
SUMIF(INDIRECT(Equipo!$F$4&amp;"!B10:B1000"),$B128,INDIRECT(Equipo!$F$4&amp;"!"&amp;ADDRESS(10,COLUMN(K$9)+10)&amp;":"&amp;ADDRESS(1000,COLUMN(K$9)+10))),
SUMIF(INDIRECT(Equipo!$G$4&amp;"!B10:B1000"),$B128,INDIRECT(Equipo!$G$4&amp;"!"&amp;ADDRESS(10,COLUMN(K$9)+10)&amp;":"&amp;ADDRESS(1000,COLUMN(K$9)+10)))
))</f>
        <v>-</v>
      </c>
    </row>
    <row r="129" ht="15.75" customHeight="1">
      <c r="C129" s="19" t="str">
        <f>IF(ISBLANK(Tareas!$B125),"-",SUM(D129:K129))</f>
        <v>-</v>
      </c>
      <c r="D129" s="19" t="str">
        <f t="array" ref="D129">IF(ISBLANK(Tareas!$B125),"-",
SUM(
SUMIF(INDIRECT(Equipo!$C$4&amp;"!B10:B1000"),$B129,INDIRECT(Equipo!$C$4&amp;"!"&amp;ADDRESS(10,COLUMN(D$9)+10)&amp;":"&amp;ADDRESS(1000,COLUMN(D$9)+10))),
SUMIF(INDIRECT(Equipo!$D$4&amp;"!B10:B1000"),$B129,INDIRECT(Equipo!$D$4&amp;"!"&amp;ADDRESS(10,COLUMN(D$9)+10)&amp;":"&amp;ADDRESS(1000,COLUMN(D$9)+10))),
SUMIF(INDIRECT(Equipo!$E$4&amp;"!B10:B1000"),$B129,INDIRECT(Equipo!$E$4&amp;"!"&amp;ADDRESS(10,COLUMN(D$9)+10)&amp;":"&amp;ADDRESS(1000,COLUMN(D$9)+10))),
SUMIF(INDIRECT(Equipo!$F$4&amp;"!B10:B1000"),$B129,INDIRECT(Equipo!$F$4&amp;"!"&amp;ADDRESS(10,COLUMN(D$9)+10)&amp;":"&amp;ADDRESS(1000,COLUMN(D$9)+10))),
SUMIF(INDIRECT(Equipo!$G$4&amp;"!B10:B1000"),$B129,INDIRECT(Equipo!$G$4&amp;"!"&amp;ADDRESS(10,COLUMN(D$9)+10)&amp;":"&amp;ADDRESS(1000,COLUMN(D$9)+10)))
))</f>
        <v>-</v>
      </c>
      <c r="E129" s="19" t="str">
        <f t="array" ref="E129">IF(ISBLANK(Tareas!$B125),"-",
SUM(
SUMIF(INDIRECT(Equipo!$C$4&amp;"!B10:B1000"),$B129,INDIRECT(Equipo!$C$4&amp;"!"&amp;ADDRESS(10,COLUMN(E$9)+10)&amp;":"&amp;ADDRESS(1000,COLUMN(E$9)+10))),
SUMIF(INDIRECT(Equipo!$D$4&amp;"!B10:B1000"),$B129,INDIRECT(Equipo!$D$4&amp;"!"&amp;ADDRESS(10,COLUMN(E$9)+10)&amp;":"&amp;ADDRESS(1000,COLUMN(E$9)+10))),
SUMIF(INDIRECT(Equipo!$E$4&amp;"!B10:B1000"),$B129,INDIRECT(Equipo!$E$4&amp;"!"&amp;ADDRESS(10,COLUMN(E$9)+10)&amp;":"&amp;ADDRESS(1000,COLUMN(E$9)+10))),
SUMIF(INDIRECT(Equipo!$F$4&amp;"!B10:B1000"),$B129,INDIRECT(Equipo!$F$4&amp;"!"&amp;ADDRESS(10,COLUMN(E$9)+10)&amp;":"&amp;ADDRESS(1000,COLUMN(E$9)+10))),
SUMIF(INDIRECT(Equipo!$G$4&amp;"!B10:B1000"),$B129,INDIRECT(Equipo!$G$4&amp;"!"&amp;ADDRESS(10,COLUMN(E$9)+10)&amp;":"&amp;ADDRESS(1000,COLUMN(E$9)+10)))
))</f>
        <v>-</v>
      </c>
      <c r="F129" s="19" t="str">
        <f t="array" ref="F129">IF(ISBLANK(Tareas!$B125),"-",
SUM(
SUMIF(INDIRECT(Equipo!$C$4&amp;"!B10:B1000"),$B129,INDIRECT(Equipo!$C$4&amp;"!"&amp;ADDRESS(10,COLUMN(F$9)+10)&amp;":"&amp;ADDRESS(1000,COLUMN(F$9)+10))),
SUMIF(INDIRECT(Equipo!$D$4&amp;"!B10:B1000"),$B129,INDIRECT(Equipo!$D$4&amp;"!"&amp;ADDRESS(10,COLUMN(F$9)+10)&amp;":"&amp;ADDRESS(1000,COLUMN(F$9)+10))),
SUMIF(INDIRECT(Equipo!$E$4&amp;"!B10:B1000"),$B129,INDIRECT(Equipo!$E$4&amp;"!"&amp;ADDRESS(10,COLUMN(F$9)+10)&amp;":"&amp;ADDRESS(1000,COLUMN(F$9)+10))),
SUMIF(INDIRECT(Equipo!$F$4&amp;"!B10:B1000"),$B129,INDIRECT(Equipo!$F$4&amp;"!"&amp;ADDRESS(10,COLUMN(F$9)+10)&amp;":"&amp;ADDRESS(1000,COLUMN(F$9)+10))),
SUMIF(INDIRECT(Equipo!$G$4&amp;"!B10:B1000"),$B129,INDIRECT(Equipo!$G$4&amp;"!"&amp;ADDRESS(10,COLUMN(F$9)+10)&amp;":"&amp;ADDRESS(1000,COLUMN(F$9)+10)))
))</f>
        <v>-</v>
      </c>
      <c r="G129" s="19" t="str">
        <f t="array" ref="G129">IF(ISBLANK(Tareas!$B125),"-",
SUM(
SUMIF(INDIRECT(Equipo!$C$4&amp;"!B10:B1000"),$B129,INDIRECT(Equipo!$C$4&amp;"!"&amp;ADDRESS(10,COLUMN(G$9)+10)&amp;":"&amp;ADDRESS(1000,COLUMN(G$9)+10))),
SUMIF(INDIRECT(Equipo!$D$4&amp;"!B10:B1000"),$B129,INDIRECT(Equipo!$D$4&amp;"!"&amp;ADDRESS(10,COLUMN(G$9)+10)&amp;":"&amp;ADDRESS(1000,COLUMN(G$9)+10))),
SUMIF(INDIRECT(Equipo!$E$4&amp;"!B10:B1000"),$B129,INDIRECT(Equipo!$E$4&amp;"!"&amp;ADDRESS(10,COLUMN(G$9)+10)&amp;":"&amp;ADDRESS(1000,COLUMN(G$9)+10))),
SUMIF(INDIRECT(Equipo!$F$4&amp;"!B10:B1000"),$B129,INDIRECT(Equipo!$F$4&amp;"!"&amp;ADDRESS(10,COLUMN(G$9)+10)&amp;":"&amp;ADDRESS(1000,COLUMN(G$9)+10))),
SUMIF(INDIRECT(Equipo!$G$4&amp;"!B10:B1000"),$B129,INDIRECT(Equipo!$G$4&amp;"!"&amp;ADDRESS(10,COLUMN(G$9)+10)&amp;":"&amp;ADDRESS(1000,COLUMN(G$9)+10)))
))</f>
        <v>-</v>
      </c>
      <c r="H129" s="19" t="str">
        <f t="array" ref="H129">IF(ISBLANK(Tareas!$B125),"-",
SUM(
SUMIF(INDIRECT(Equipo!$C$4&amp;"!B10:B1000"),$B129,INDIRECT(Equipo!$C$4&amp;"!"&amp;ADDRESS(10,COLUMN(H$9)+10)&amp;":"&amp;ADDRESS(1000,COLUMN(H$9)+10))),
SUMIF(INDIRECT(Equipo!$D$4&amp;"!B10:B1000"),$B129,INDIRECT(Equipo!$D$4&amp;"!"&amp;ADDRESS(10,COLUMN(H$9)+10)&amp;":"&amp;ADDRESS(1000,COLUMN(H$9)+10))),
SUMIF(INDIRECT(Equipo!$E$4&amp;"!B10:B1000"),$B129,INDIRECT(Equipo!$E$4&amp;"!"&amp;ADDRESS(10,COLUMN(H$9)+10)&amp;":"&amp;ADDRESS(1000,COLUMN(H$9)+10))),
SUMIF(INDIRECT(Equipo!$F$4&amp;"!B10:B1000"),$B129,INDIRECT(Equipo!$F$4&amp;"!"&amp;ADDRESS(10,COLUMN(H$9)+10)&amp;":"&amp;ADDRESS(1000,COLUMN(H$9)+10))),
SUMIF(INDIRECT(Equipo!$G$4&amp;"!B10:B1000"),$B129,INDIRECT(Equipo!$G$4&amp;"!"&amp;ADDRESS(10,COLUMN(H$9)+10)&amp;":"&amp;ADDRESS(1000,COLUMN(H$9)+10)))
))</f>
        <v>-</v>
      </c>
      <c r="I129" s="19" t="str">
        <f t="array" ref="I129">IF(ISBLANK(Tareas!$B125),"-",
SUM(
SUMIF(INDIRECT(Equipo!$C$4&amp;"!B10:B1000"),$B129,INDIRECT(Equipo!$C$4&amp;"!"&amp;ADDRESS(10,COLUMN(I$9)+10)&amp;":"&amp;ADDRESS(1000,COLUMN(I$9)+10))),
SUMIF(INDIRECT(Equipo!$D$4&amp;"!B10:B1000"),$B129,INDIRECT(Equipo!$D$4&amp;"!"&amp;ADDRESS(10,COLUMN(I$9)+10)&amp;":"&amp;ADDRESS(1000,COLUMN(I$9)+10))),
SUMIF(INDIRECT(Equipo!$E$4&amp;"!B10:B1000"),$B129,INDIRECT(Equipo!$E$4&amp;"!"&amp;ADDRESS(10,COLUMN(I$9)+10)&amp;":"&amp;ADDRESS(1000,COLUMN(I$9)+10))),
SUMIF(INDIRECT(Equipo!$F$4&amp;"!B10:B1000"),$B129,INDIRECT(Equipo!$F$4&amp;"!"&amp;ADDRESS(10,COLUMN(I$9)+10)&amp;":"&amp;ADDRESS(1000,COLUMN(I$9)+10))),
SUMIF(INDIRECT(Equipo!$G$4&amp;"!B10:B1000"),$B129,INDIRECT(Equipo!$G$4&amp;"!"&amp;ADDRESS(10,COLUMN(I$9)+10)&amp;":"&amp;ADDRESS(1000,COLUMN(I$9)+10)))
))</f>
        <v>-</v>
      </c>
      <c r="J129" s="19" t="str">
        <f t="array" ref="J129">IF(ISBLANK(Tareas!$B125),"-",
SUM(
SUMIF(INDIRECT(Equipo!$C$4&amp;"!B10:B1000"),$B129,INDIRECT(Equipo!$C$4&amp;"!"&amp;ADDRESS(10,COLUMN(J$9)+10)&amp;":"&amp;ADDRESS(1000,COLUMN(J$9)+10))),
SUMIF(INDIRECT(Equipo!$D$4&amp;"!B10:B1000"),$B129,INDIRECT(Equipo!$D$4&amp;"!"&amp;ADDRESS(10,COLUMN(J$9)+10)&amp;":"&amp;ADDRESS(1000,COLUMN(J$9)+10))),
SUMIF(INDIRECT(Equipo!$E$4&amp;"!B10:B1000"),$B129,INDIRECT(Equipo!$E$4&amp;"!"&amp;ADDRESS(10,COLUMN(J$9)+10)&amp;":"&amp;ADDRESS(1000,COLUMN(J$9)+10))),
SUMIF(INDIRECT(Equipo!$F$4&amp;"!B10:B1000"),$B129,INDIRECT(Equipo!$F$4&amp;"!"&amp;ADDRESS(10,COLUMN(J$9)+10)&amp;":"&amp;ADDRESS(1000,COLUMN(J$9)+10))),
SUMIF(INDIRECT(Equipo!$G$4&amp;"!B10:B1000"),$B129,INDIRECT(Equipo!$G$4&amp;"!"&amp;ADDRESS(10,COLUMN(J$9)+10)&amp;":"&amp;ADDRESS(1000,COLUMN(J$9)+10)))
))</f>
        <v>-</v>
      </c>
      <c r="K129" s="19" t="str">
        <f t="array" ref="K129">IF(ISBLANK(Tareas!$B125),"-",
SUM(
SUMIF(INDIRECT(Equipo!$C$4&amp;"!B10:B1000"),$B129,INDIRECT(Equipo!$C$4&amp;"!"&amp;ADDRESS(10,COLUMN(K$9)+10)&amp;":"&amp;ADDRESS(1000,COLUMN(K$9)+10))),
SUMIF(INDIRECT(Equipo!$D$4&amp;"!B10:B1000"),$B129,INDIRECT(Equipo!$D$4&amp;"!"&amp;ADDRESS(10,COLUMN(K$9)+10)&amp;":"&amp;ADDRESS(1000,COLUMN(K$9)+10))),
SUMIF(INDIRECT(Equipo!$E$4&amp;"!B10:B1000"),$B129,INDIRECT(Equipo!$E$4&amp;"!"&amp;ADDRESS(10,COLUMN(K$9)+10)&amp;":"&amp;ADDRESS(1000,COLUMN(K$9)+10))),
SUMIF(INDIRECT(Equipo!$F$4&amp;"!B10:B1000"),$B129,INDIRECT(Equipo!$F$4&amp;"!"&amp;ADDRESS(10,COLUMN(K$9)+10)&amp;":"&amp;ADDRESS(1000,COLUMN(K$9)+10))),
SUMIF(INDIRECT(Equipo!$G$4&amp;"!B10:B1000"),$B129,INDIRECT(Equipo!$G$4&amp;"!"&amp;ADDRESS(10,COLUMN(K$9)+10)&amp;":"&amp;ADDRESS(1000,COLUMN(K$9)+10)))
))</f>
        <v>-</v>
      </c>
    </row>
    <row r="130" ht="15.75" customHeight="1">
      <c r="C130" s="19" t="str">
        <f>IF(ISBLANK(Tareas!$B126),"-",SUM(D130:K130))</f>
        <v>-</v>
      </c>
      <c r="D130" s="19" t="str">
        <f t="array" ref="D130">IF(ISBLANK(Tareas!$B126),"-",
SUM(
SUMIF(INDIRECT(Equipo!$C$4&amp;"!B10:B1000"),$B130,INDIRECT(Equipo!$C$4&amp;"!"&amp;ADDRESS(10,COLUMN(D$9)+10)&amp;":"&amp;ADDRESS(1000,COLUMN(D$9)+10))),
SUMIF(INDIRECT(Equipo!$D$4&amp;"!B10:B1000"),$B130,INDIRECT(Equipo!$D$4&amp;"!"&amp;ADDRESS(10,COLUMN(D$9)+10)&amp;":"&amp;ADDRESS(1000,COLUMN(D$9)+10))),
SUMIF(INDIRECT(Equipo!$E$4&amp;"!B10:B1000"),$B130,INDIRECT(Equipo!$E$4&amp;"!"&amp;ADDRESS(10,COLUMN(D$9)+10)&amp;":"&amp;ADDRESS(1000,COLUMN(D$9)+10))),
SUMIF(INDIRECT(Equipo!$F$4&amp;"!B10:B1000"),$B130,INDIRECT(Equipo!$F$4&amp;"!"&amp;ADDRESS(10,COLUMN(D$9)+10)&amp;":"&amp;ADDRESS(1000,COLUMN(D$9)+10))),
SUMIF(INDIRECT(Equipo!$G$4&amp;"!B10:B1000"),$B130,INDIRECT(Equipo!$G$4&amp;"!"&amp;ADDRESS(10,COLUMN(D$9)+10)&amp;":"&amp;ADDRESS(1000,COLUMN(D$9)+10)))
))</f>
        <v>-</v>
      </c>
      <c r="E130" s="19" t="str">
        <f t="array" ref="E130">IF(ISBLANK(Tareas!$B126),"-",
SUM(
SUMIF(INDIRECT(Equipo!$C$4&amp;"!B10:B1000"),$B130,INDIRECT(Equipo!$C$4&amp;"!"&amp;ADDRESS(10,COLUMN(E$9)+10)&amp;":"&amp;ADDRESS(1000,COLUMN(E$9)+10))),
SUMIF(INDIRECT(Equipo!$D$4&amp;"!B10:B1000"),$B130,INDIRECT(Equipo!$D$4&amp;"!"&amp;ADDRESS(10,COLUMN(E$9)+10)&amp;":"&amp;ADDRESS(1000,COLUMN(E$9)+10))),
SUMIF(INDIRECT(Equipo!$E$4&amp;"!B10:B1000"),$B130,INDIRECT(Equipo!$E$4&amp;"!"&amp;ADDRESS(10,COLUMN(E$9)+10)&amp;":"&amp;ADDRESS(1000,COLUMN(E$9)+10))),
SUMIF(INDIRECT(Equipo!$F$4&amp;"!B10:B1000"),$B130,INDIRECT(Equipo!$F$4&amp;"!"&amp;ADDRESS(10,COLUMN(E$9)+10)&amp;":"&amp;ADDRESS(1000,COLUMN(E$9)+10))),
SUMIF(INDIRECT(Equipo!$G$4&amp;"!B10:B1000"),$B130,INDIRECT(Equipo!$G$4&amp;"!"&amp;ADDRESS(10,COLUMN(E$9)+10)&amp;":"&amp;ADDRESS(1000,COLUMN(E$9)+10)))
))</f>
        <v>-</v>
      </c>
      <c r="F130" s="19" t="str">
        <f t="array" ref="F130">IF(ISBLANK(Tareas!$B126),"-",
SUM(
SUMIF(INDIRECT(Equipo!$C$4&amp;"!B10:B1000"),$B130,INDIRECT(Equipo!$C$4&amp;"!"&amp;ADDRESS(10,COLUMN(F$9)+10)&amp;":"&amp;ADDRESS(1000,COLUMN(F$9)+10))),
SUMIF(INDIRECT(Equipo!$D$4&amp;"!B10:B1000"),$B130,INDIRECT(Equipo!$D$4&amp;"!"&amp;ADDRESS(10,COLUMN(F$9)+10)&amp;":"&amp;ADDRESS(1000,COLUMN(F$9)+10))),
SUMIF(INDIRECT(Equipo!$E$4&amp;"!B10:B1000"),$B130,INDIRECT(Equipo!$E$4&amp;"!"&amp;ADDRESS(10,COLUMN(F$9)+10)&amp;":"&amp;ADDRESS(1000,COLUMN(F$9)+10))),
SUMIF(INDIRECT(Equipo!$F$4&amp;"!B10:B1000"),$B130,INDIRECT(Equipo!$F$4&amp;"!"&amp;ADDRESS(10,COLUMN(F$9)+10)&amp;":"&amp;ADDRESS(1000,COLUMN(F$9)+10))),
SUMIF(INDIRECT(Equipo!$G$4&amp;"!B10:B1000"),$B130,INDIRECT(Equipo!$G$4&amp;"!"&amp;ADDRESS(10,COLUMN(F$9)+10)&amp;":"&amp;ADDRESS(1000,COLUMN(F$9)+10)))
))</f>
        <v>-</v>
      </c>
      <c r="G130" s="19" t="str">
        <f t="array" ref="G130">IF(ISBLANK(Tareas!$B126),"-",
SUM(
SUMIF(INDIRECT(Equipo!$C$4&amp;"!B10:B1000"),$B130,INDIRECT(Equipo!$C$4&amp;"!"&amp;ADDRESS(10,COLUMN(G$9)+10)&amp;":"&amp;ADDRESS(1000,COLUMN(G$9)+10))),
SUMIF(INDIRECT(Equipo!$D$4&amp;"!B10:B1000"),$B130,INDIRECT(Equipo!$D$4&amp;"!"&amp;ADDRESS(10,COLUMN(G$9)+10)&amp;":"&amp;ADDRESS(1000,COLUMN(G$9)+10))),
SUMIF(INDIRECT(Equipo!$E$4&amp;"!B10:B1000"),$B130,INDIRECT(Equipo!$E$4&amp;"!"&amp;ADDRESS(10,COLUMN(G$9)+10)&amp;":"&amp;ADDRESS(1000,COLUMN(G$9)+10))),
SUMIF(INDIRECT(Equipo!$F$4&amp;"!B10:B1000"),$B130,INDIRECT(Equipo!$F$4&amp;"!"&amp;ADDRESS(10,COLUMN(G$9)+10)&amp;":"&amp;ADDRESS(1000,COLUMN(G$9)+10))),
SUMIF(INDIRECT(Equipo!$G$4&amp;"!B10:B1000"),$B130,INDIRECT(Equipo!$G$4&amp;"!"&amp;ADDRESS(10,COLUMN(G$9)+10)&amp;":"&amp;ADDRESS(1000,COLUMN(G$9)+10)))
))</f>
        <v>-</v>
      </c>
      <c r="H130" s="19" t="str">
        <f t="array" ref="H130">IF(ISBLANK(Tareas!$B126),"-",
SUM(
SUMIF(INDIRECT(Equipo!$C$4&amp;"!B10:B1000"),$B130,INDIRECT(Equipo!$C$4&amp;"!"&amp;ADDRESS(10,COLUMN(H$9)+10)&amp;":"&amp;ADDRESS(1000,COLUMN(H$9)+10))),
SUMIF(INDIRECT(Equipo!$D$4&amp;"!B10:B1000"),$B130,INDIRECT(Equipo!$D$4&amp;"!"&amp;ADDRESS(10,COLUMN(H$9)+10)&amp;":"&amp;ADDRESS(1000,COLUMN(H$9)+10))),
SUMIF(INDIRECT(Equipo!$E$4&amp;"!B10:B1000"),$B130,INDIRECT(Equipo!$E$4&amp;"!"&amp;ADDRESS(10,COLUMN(H$9)+10)&amp;":"&amp;ADDRESS(1000,COLUMN(H$9)+10))),
SUMIF(INDIRECT(Equipo!$F$4&amp;"!B10:B1000"),$B130,INDIRECT(Equipo!$F$4&amp;"!"&amp;ADDRESS(10,COLUMN(H$9)+10)&amp;":"&amp;ADDRESS(1000,COLUMN(H$9)+10))),
SUMIF(INDIRECT(Equipo!$G$4&amp;"!B10:B1000"),$B130,INDIRECT(Equipo!$G$4&amp;"!"&amp;ADDRESS(10,COLUMN(H$9)+10)&amp;":"&amp;ADDRESS(1000,COLUMN(H$9)+10)))
))</f>
        <v>-</v>
      </c>
      <c r="I130" s="19" t="str">
        <f t="array" ref="I130">IF(ISBLANK(Tareas!$B126),"-",
SUM(
SUMIF(INDIRECT(Equipo!$C$4&amp;"!B10:B1000"),$B130,INDIRECT(Equipo!$C$4&amp;"!"&amp;ADDRESS(10,COLUMN(I$9)+10)&amp;":"&amp;ADDRESS(1000,COLUMN(I$9)+10))),
SUMIF(INDIRECT(Equipo!$D$4&amp;"!B10:B1000"),$B130,INDIRECT(Equipo!$D$4&amp;"!"&amp;ADDRESS(10,COLUMN(I$9)+10)&amp;":"&amp;ADDRESS(1000,COLUMN(I$9)+10))),
SUMIF(INDIRECT(Equipo!$E$4&amp;"!B10:B1000"),$B130,INDIRECT(Equipo!$E$4&amp;"!"&amp;ADDRESS(10,COLUMN(I$9)+10)&amp;":"&amp;ADDRESS(1000,COLUMN(I$9)+10))),
SUMIF(INDIRECT(Equipo!$F$4&amp;"!B10:B1000"),$B130,INDIRECT(Equipo!$F$4&amp;"!"&amp;ADDRESS(10,COLUMN(I$9)+10)&amp;":"&amp;ADDRESS(1000,COLUMN(I$9)+10))),
SUMIF(INDIRECT(Equipo!$G$4&amp;"!B10:B1000"),$B130,INDIRECT(Equipo!$G$4&amp;"!"&amp;ADDRESS(10,COLUMN(I$9)+10)&amp;":"&amp;ADDRESS(1000,COLUMN(I$9)+10)))
))</f>
        <v>-</v>
      </c>
      <c r="J130" s="19" t="str">
        <f t="array" ref="J130">IF(ISBLANK(Tareas!$B126),"-",
SUM(
SUMIF(INDIRECT(Equipo!$C$4&amp;"!B10:B1000"),$B130,INDIRECT(Equipo!$C$4&amp;"!"&amp;ADDRESS(10,COLUMN(J$9)+10)&amp;":"&amp;ADDRESS(1000,COLUMN(J$9)+10))),
SUMIF(INDIRECT(Equipo!$D$4&amp;"!B10:B1000"),$B130,INDIRECT(Equipo!$D$4&amp;"!"&amp;ADDRESS(10,COLUMN(J$9)+10)&amp;":"&amp;ADDRESS(1000,COLUMN(J$9)+10))),
SUMIF(INDIRECT(Equipo!$E$4&amp;"!B10:B1000"),$B130,INDIRECT(Equipo!$E$4&amp;"!"&amp;ADDRESS(10,COLUMN(J$9)+10)&amp;":"&amp;ADDRESS(1000,COLUMN(J$9)+10))),
SUMIF(INDIRECT(Equipo!$F$4&amp;"!B10:B1000"),$B130,INDIRECT(Equipo!$F$4&amp;"!"&amp;ADDRESS(10,COLUMN(J$9)+10)&amp;":"&amp;ADDRESS(1000,COLUMN(J$9)+10))),
SUMIF(INDIRECT(Equipo!$G$4&amp;"!B10:B1000"),$B130,INDIRECT(Equipo!$G$4&amp;"!"&amp;ADDRESS(10,COLUMN(J$9)+10)&amp;":"&amp;ADDRESS(1000,COLUMN(J$9)+10)))
))</f>
        <v>-</v>
      </c>
      <c r="K130" s="19" t="str">
        <f t="array" ref="K130">IF(ISBLANK(Tareas!$B126),"-",
SUM(
SUMIF(INDIRECT(Equipo!$C$4&amp;"!B10:B1000"),$B130,INDIRECT(Equipo!$C$4&amp;"!"&amp;ADDRESS(10,COLUMN(K$9)+10)&amp;":"&amp;ADDRESS(1000,COLUMN(K$9)+10))),
SUMIF(INDIRECT(Equipo!$D$4&amp;"!B10:B1000"),$B130,INDIRECT(Equipo!$D$4&amp;"!"&amp;ADDRESS(10,COLUMN(K$9)+10)&amp;":"&amp;ADDRESS(1000,COLUMN(K$9)+10))),
SUMIF(INDIRECT(Equipo!$E$4&amp;"!B10:B1000"),$B130,INDIRECT(Equipo!$E$4&amp;"!"&amp;ADDRESS(10,COLUMN(K$9)+10)&amp;":"&amp;ADDRESS(1000,COLUMN(K$9)+10))),
SUMIF(INDIRECT(Equipo!$F$4&amp;"!B10:B1000"),$B130,INDIRECT(Equipo!$F$4&amp;"!"&amp;ADDRESS(10,COLUMN(K$9)+10)&amp;":"&amp;ADDRESS(1000,COLUMN(K$9)+10))),
SUMIF(INDIRECT(Equipo!$G$4&amp;"!B10:B1000"),$B130,INDIRECT(Equipo!$G$4&amp;"!"&amp;ADDRESS(10,COLUMN(K$9)+10)&amp;":"&amp;ADDRESS(1000,COLUMN(K$9)+10)))
))</f>
        <v>-</v>
      </c>
    </row>
    <row r="131" ht="15.75" customHeight="1">
      <c r="C131" s="19" t="str">
        <f>IF(ISBLANK(Tareas!$B127),"-",SUM(D131:K131))</f>
        <v>-</v>
      </c>
      <c r="D131" s="19" t="str">
        <f t="array" ref="D131">IF(ISBLANK(Tareas!$B127),"-",
SUM(
SUMIF(INDIRECT(Equipo!$C$4&amp;"!B10:B1000"),$B131,INDIRECT(Equipo!$C$4&amp;"!"&amp;ADDRESS(10,COLUMN(D$9)+10)&amp;":"&amp;ADDRESS(1000,COLUMN(D$9)+10))),
SUMIF(INDIRECT(Equipo!$D$4&amp;"!B10:B1000"),$B131,INDIRECT(Equipo!$D$4&amp;"!"&amp;ADDRESS(10,COLUMN(D$9)+10)&amp;":"&amp;ADDRESS(1000,COLUMN(D$9)+10))),
SUMIF(INDIRECT(Equipo!$E$4&amp;"!B10:B1000"),$B131,INDIRECT(Equipo!$E$4&amp;"!"&amp;ADDRESS(10,COLUMN(D$9)+10)&amp;":"&amp;ADDRESS(1000,COLUMN(D$9)+10))),
SUMIF(INDIRECT(Equipo!$F$4&amp;"!B10:B1000"),$B131,INDIRECT(Equipo!$F$4&amp;"!"&amp;ADDRESS(10,COLUMN(D$9)+10)&amp;":"&amp;ADDRESS(1000,COLUMN(D$9)+10))),
SUMIF(INDIRECT(Equipo!$G$4&amp;"!B10:B1000"),$B131,INDIRECT(Equipo!$G$4&amp;"!"&amp;ADDRESS(10,COLUMN(D$9)+10)&amp;":"&amp;ADDRESS(1000,COLUMN(D$9)+10)))
))</f>
        <v>-</v>
      </c>
      <c r="E131" s="19" t="str">
        <f t="array" ref="E131">IF(ISBLANK(Tareas!$B127),"-",
SUM(
SUMIF(INDIRECT(Equipo!$C$4&amp;"!B10:B1000"),$B131,INDIRECT(Equipo!$C$4&amp;"!"&amp;ADDRESS(10,COLUMN(E$9)+10)&amp;":"&amp;ADDRESS(1000,COLUMN(E$9)+10))),
SUMIF(INDIRECT(Equipo!$D$4&amp;"!B10:B1000"),$B131,INDIRECT(Equipo!$D$4&amp;"!"&amp;ADDRESS(10,COLUMN(E$9)+10)&amp;":"&amp;ADDRESS(1000,COLUMN(E$9)+10))),
SUMIF(INDIRECT(Equipo!$E$4&amp;"!B10:B1000"),$B131,INDIRECT(Equipo!$E$4&amp;"!"&amp;ADDRESS(10,COLUMN(E$9)+10)&amp;":"&amp;ADDRESS(1000,COLUMN(E$9)+10))),
SUMIF(INDIRECT(Equipo!$F$4&amp;"!B10:B1000"),$B131,INDIRECT(Equipo!$F$4&amp;"!"&amp;ADDRESS(10,COLUMN(E$9)+10)&amp;":"&amp;ADDRESS(1000,COLUMN(E$9)+10))),
SUMIF(INDIRECT(Equipo!$G$4&amp;"!B10:B1000"),$B131,INDIRECT(Equipo!$G$4&amp;"!"&amp;ADDRESS(10,COLUMN(E$9)+10)&amp;":"&amp;ADDRESS(1000,COLUMN(E$9)+10)))
))</f>
        <v>-</v>
      </c>
      <c r="F131" s="19" t="str">
        <f t="array" ref="F131">IF(ISBLANK(Tareas!$B127),"-",
SUM(
SUMIF(INDIRECT(Equipo!$C$4&amp;"!B10:B1000"),$B131,INDIRECT(Equipo!$C$4&amp;"!"&amp;ADDRESS(10,COLUMN(F$9)+10)&amp;":"&amp;ADDRESS(1000,COLUMN(F$9)+10))),
SUMIF(INDIRECT(Equipo!$D$4&amp;"!B10:B1000"),$B131,INDIRECT(Equipo!$D$4&amp;"!"&amp;ADDRESS(10,COLUMN(F$9)+10)&amp;":"&amp;ADDRESS(1000,COLUMN(F$9)+10))),
SUMIF(INDIRECT(Equipo!$E$4&amp;"!B10:B1000"),$B131,INDIRECT(Equipo!$E$4&amp;"!"&amp;ADDRESS(10,COLUMN(F$9)+10)&amp;":"&amp;ADDRESS(1000,COLUMN(F$9)+10))),
SUMIF(INDIRECT(Equipo!$F$4&amp;"!B10:B1000"),$B131,INDIRECT(Equipo!$F$4&amp;"!"&amp;ADDRESS(10,COLUMN(F$9)+10)&amp;":"&amp;ADDRESS(1000,COLUMN(F$9)+10))),
SUMIF(INDIRECT(Equipo!$G$4&amp;"!B10:B1000"),$B131,INDIRECT(Equipo!$G$4&amp;"!"&amp;ADDRESS(10,COLUMN(F$9)+10)&amp;":"&amp;ADDRESS(1000,COLUMN(F$9)+10)))
))</f>
        <v>-</v>
      </c>
      <c r="G131" s="19" t="str">
        <f t="array" ref="G131">IF(ISBLANK(Tareas!$B127),"-",
SUM(
SUMIF(INDIRECT(Equipo!$C$4&amp;"!B10:B1000"),$B131,INDIRECT(Equipo!$C$4&amp;"!"&amp;ADDRESS(10,COLUMN(G$9)+10)&amp;":"&amp;ADDRESS(1000,COLUMN(G$9)+10))),
SUMIF(INDIRECT(Equipo!$D$4&amp;"!B10:B1000"),$B131,INDIRECT(Equipo!$D$4&amp;"!"&amp;ADDRESS(10,COLUMN(G$9)+10)&amp;":"&amp;ADDRESS(1000,COLUMN(G$9)+10))),
SUMIF(INDIRECT(Equipo!$E$4&amp;"!B10:B1000"),$B131,INDIRECT(Equipo!$E$4&amp;"!"&amp;ADDRESS(10,COLUMN(G$9)+10)&amp;":"&amp;ADDRESS(1000,COLUMN(G$9)+10))),
SUMIF(INDIRECT(Equipo!$F$4&amp;"!B10:B1000"),$B131,INDIRECT(Equipo!$F$4&amp;"!"&amp;ADDRESS(10,COLUMN(G$9)+10)&amp;":"&amp;ADDRESS(1000,COLUMN(G$9)+10))),
SUMIF(INDIRECT(Equipo!$G$4&amp;"!B10:B1000"),$B131,INDIRECT(Equipo!$G$4&amp;"!"&amp;ADDRESS(10,COLUMN(G$9)+10)&amp;":"&amp;ADDRESS(1000,COLUMN(G$9)+10)))
))</f>
        <v>-</v>
      </c>
      <c r="H131" s="19" t="str">
        <f t="array" ref="H131">IF(ISBLANK(Tareas!$B127),"-",
SUM(
SUMIF(INDIRECT(Equipo!$C$4&amp;"!B10:B1000"),$B131,INDIRECT(Equipo!$C$4&amp;"!"&amp;ADDRESS(10,COLUMN(H$9)+10)&amp;":"&amp;ADDRESS(1000,COLUMN(H$9)+10))),
SUMIF(INDIRECT(Equipo!$D$4&amp;"!B10:B1000"),$B131,INDIRECT(Equipo!$D$4&amp;"!"&amp;ADDRESS(10,COLUMN(H$9)+10)&amp;":"&amp;ADDRESS(1000,COLUMN(H$9)+10))),
SUMIF(INDIRECT(Equipo!$E$4&amp;"!B10:B1000"),$B131,INDIRECT(Equipo!$E$4&amp;"!"&amp;ADDRESS(10,COLUMN(H$9)+10)&amp;":"&amp;ADDRESS(1000,COLUMN(H$9)+10))),
SUMIF(INDIRECT(Equipo!$F$4&amp;"!B10:B1000"),$B131,INDIRECT(Equipo!$F$4&amp;"!"&amp;ADDRESS(10,COLUMN(H$9)+10)&amp;":"&amp;ADDRESS(1000,COLUMN(H$9)+10))),
SUMIF(INDIRECT(Equipo!$G$4&amp;"!B10:B1000"),$B131,INDIRECT(Equipo!$G$4&amp;"!"&amp;ADDRESS(10,COLUMN(H$9)+10)&amp;":"&amp;ADDRESS(1000,COLUMN(H$9)+10)))
))</f>
        <v>-</v>
      </c>
      <c r="I131" s="19" t="str">
        <f t="array" ref="I131">IF(ISBLANK(Tareas!$B127),"-",
SUM(
SUMIF(INDIRECT(Equipo!$C$4&amp;"!B10:B1000"),$B131,INDIRECT(Equipo!$C$4&amp;"!"&amp;ADDRESS(10,COLUMN(I$9)+10)&amp;":"&amp;ADDRESS(1000,COLUMN(I$9)+10))),
SUMIF(INDIRECT(Equipo!$D$4&amp;"!B10:B1000"),$B131,INDIRECT(Equipo!$D$4&amp;"!"&amp;ADDRESS(10,COLUMN(I$9)+10)&amp;":"&amp;ADDRESS(1000,COLUMN(I$9)+10))),
SUMIF(INDIRECT(Equipo!$E$4&amp;"!B10:B1000"),$B131,INDIRECT(Equipo!$E$4&amp;"!"&amp;ADDRESS(10,COLUMN(I$9)+10)&amp;":"&amp;ADDRESS(1000,COLUMN(I$9)+10))),
SUMIF(INDIRECT(Equipo!$F$4&amp;"!B10:B1000"),$B131,INDIRECT(Equipo!$F$4&amp;"!"&amp;ADDRESS(10,COLUMN(I$9)+10)&amp;":"&amp;ADDRESS(1000,COLUMN(I$9)+10))),
SUMIF(INDIRECT(Equipo!$G$4&amp;"!B10:B1000"),$B131,INDIRECT(Equipo!$G$4&amp;"!"&amp;ADDRESS(10,COLUMN(I$9)+10)&amp;":"&amp;ADDRESS(1000,COLUMN(I$9)+10)))
))</f>
        <v>-</v>
      </c>
      <c r="J131" s="19" t="str">
        <f t="array" ref="J131">IF(ISBLANK(Tareas!$B127),"-",
SUM(
SUMIF(INDIRECT(Equipo!$C$4&amp;"!B10:B1000"),$B131,INDIRECT(Equipo!$C$4&amp;"!"&amp;ADDRESS(10,COLUMN(J$9)+10)&amp;":"&amp;ADDRESS(1000,COLUMN(J$9)+10))),
SUMIF(INDIRECT(Equipo!$D$4&amp;"!B10:B1000"),$B131,INDIRECT(Equipo!$D$4&amp;"!"&amp;ADDRESS(10,COLUMN(J$9)+10)&amp;":"&amp;ADDRESS(1000,COLUMN(J$9)+10))),
SUMIF(INDIRECT(Equipo!$E$4&amp;"!B10:B1000"),$B131,INDIRECT(Equipo!$E$4&amp;"!"&amp;ADDRESS(10,COLUMN(J$9)+10)&amp;":"&amp;ADDRESS(1000,COLUMN(J$9)+10))),
SUMIF(INDIRECT(Equipo!$F$4&amp;"!B10:B1000"),$B131,INDIRECT(Equipo!$F$4&amp;"!"&amp;ADDRESS(10,COLUMN(J$9)+10)&amp;":"&amp;ADDRESS(1000,COLUMN(J$9)+10))),
SUMIF(INDIRECT(Equipo!$G$4&amp;"!B10:B1000"),$B131,INDIRECT(Equipo!$G$4&amp;"!"&amp;ADDRESS(10,COLUMN(J$9)+10)&amp;":"&amp;ADDRESS(1000,COLUMN(J$9)+10)))
))</f>
        <v>-</v>
      </c>
      <c r="K131" s="19" t="str">
        <f t="array" ref="K131">IF(ISBLANK(Tareas!$B127),"-",
SUM(
SUMIF(INDIRECT(Equipo!$C$4&amp;"!B10:B1000"),$B131,INDIRECT(Equipo!$C$4&amp;"!"&amp;ADDRESS(10,COLUMN(K$9)+10)&amp;":"&amp;ADDRESS(1000,COLUMN(K$9)+10))),
SUMIF(INDIRECT(Equipo!$D$4&amp;"!B10:B1000"),$B131,INDIRECT(Equipo!$D$4&amp;"!"&amp;ADDRESS(10,COLUMN(K$9)+10)&amp;":"&amp;ADDRESS(1000,COLUMN(K$9)+10))),
SUMIF(INDIRECT(Equipo!$E$4&amp;"!B10:B1000"),$B131,INDIRECT(Equipo!$E$4&amp;"!"&amp;ADDRESS(10,COLUMN(K$9)+10)&amp;":"&amp;ADDRESS(1000,COLUMN(K$9)+10))),
SUMIF(INDIRECT(Equipo!$F$4&amp;"!B10:B1000"),$B131,INDIRECT(Equipo!$F$4&amp;"!"&amp;ADDRESS(10,COLUMN(K$9)+10)&amp;":"&amp;ADDRESS(1000,COLUMN(K$9)+10))),
SUMIF(INDIRECT(Equipo!$G$4&amp;"!B10:B1000"),$B131,INDIRECT(Equipo!$G$4&amp;"!"&amp;ADDRESS(10,COLUMN(K$9)+10)&amp;":"&amp;ADDRESS(1000,COLUMN(K$9)+10)))
))</f>
        <v>-</v>
      </c>
    </row>
    <row r="132" ht="15.75" customHeight="1">
      <c r="C132" s="19" t="str">
        <f>IF(ISBLANK(Tareas!$B128),"-",SUM(D132:K132))</f>
        <v>-</v>
      </c>
      <c r="D132" s="19" t="str">
        <f t="array" ref="D132">IF(ISBLANK(Tareas!$B128),"-",
SUM(
SUMIF(INDIRECT(Equipo!$C$4&amp;"!B10:B1000"),$B132,INDIRECT(Equipo!$C$4&amp;"!"&amp;ADDRESS(10,COLUMN(D$9)+10)&amp;":"&amp;ADDRESS(1000,COLUMN(D$9)+10))),
SUMIF(INDIRECT(Equipo!$D$4&amp;"!B10:B1000"),$B132,INDIRECT(Equipo!$D$4&amp;"!"&amp;ADDRESS(10,COLUMN(D$9)+10)&amp;":"&amp;ADDRESS(1000,COLUMN(D$9)+10))),
SUMIF(INDIRECT(Equipo!$E$4&amp;"!B10:B1000"),$B132,INDIRECT(Equipo!$E$4&amp;"!"&amp;ADDRESS(10,COLUMN(D$9)+10)&amp;":"&amp;ADDRESS(1000,COLUMN(D$9)+10))),
SUMIF(INDIRECT(Equipo!$F$4&amp;"!B10:B1000"),$B132,INDIRECT(Equipo!$F$4&amp;"!"&amp;ADDRESS(10,COLUMN(D$9)+10)&amp;":"&amp;ADDRESS(1000,COLUMN(D$9)+10))),
SUMIF(INDIRECT(Equipo!$G$4&amp;"!B10:B1000"),$B132,INDIRECT(Equipo!$G$4&amp;"!"&amp;ADDRESS(10,COLUMN(D$9)+10)&amp;":"&amp;ADDRESS(1000,COLUMN(D$9)+10)))
))</f>
        <v>-</v>
      </c>
      <c r="E132" s="19" t="str">
        <f t="array" ref="E132">IF(ISBLANK(Tareas!$B128),"-",
SUM(
SUMIF(INDIRECT(Equipo!$C$4&amp;"!B10:B1000"),$B132,INDIRECT(Equipo!$C$4&amp;"!"&amp;ADDRESS(10,COLUMN(E$9)+10)&amp;":"&amp;ADDRESS(1000,COLUMN(E$9)+10))),
SUMIF(INDIRECT(Equipo!$D$4&amp;"!B10:B1000"),$B132,INDIRECT(Equipo!$D$4&amp;"!"&amp;ADDRESS(10,COLUMN(E$9)+10)&amp;":"&amp;ADDRESS(1000,COLUMN(E$9)+10))),
SUMIF(INDIRECT(Equipo!$E$4&amp;"!B10:B1000"),$B132,INDIRECT(Equipo!$E$4&amp;"!"&amp;ADDRESS(10,COLUMN(E$9)+10)&amp;":"&amp;ADDRESS(1000,COLUMN(E$9)+10))),
SUMIF(INDIRECT(Equipo!$F$4&amp;"!B10:B1000"),$B132,INDIRECT(Equipo!$F$4&amp;"!"&amp;ADDRESS(10,COLUMN(E$9)+10)&amp;":"&amp;ADDRESS(1000,COLUMN(E$9)+10))),
SUMIF(INDIRECT(Equipo!$G$4&amp;"!B10:B1000"),$B132,INDIRECT(Equipo!$G$4&amp;"!"&amp;ADDRESS(10,COLUMN(E$9)+10)&amp;":"&amp;ADDRESS(1000,COLUMN(E$9)+10)))
))</f>
        <v>-</v>
      </c>
      <c r="F132" s="19" t="str">
        <f t="array" ref="F132">IF(ISBLANK(Tareas!$B128),"-",
SUM(
SUMIF(INDIRECT(Equipo!$C$4&amp;"!B10:B1000"),$B132,INDIRECT(Equipo!$C$4&amp;"!"&amp;ADDRESS(10,COLUMN(F$9)+10)&amp;":"&amp;ADDRESS(1000,COLUMN(F$9)+10))),
SUMIF(INDIRECT(Equipo!$D$4&amp;"!B10:B1000"),$B132,INDIRECT(Equipo!$D$4&amp;"!"&amp;ADDRESS(10,COLUMN(F$9)+10)&amp;":"&amp;ADDRESS(1000,COLUMN(F$9)+10))),
SUMIF(INDIRECT(Equipo!$E$4&amp;"!B10:B1000"),$B132,INDIRECT(Equipo!$E$4&amp;"!"&amp;ADDRESS(10,COLUMN(F$9)+10)&amp;":"&amp;ADDRESS(1000,COLUMN(F$9)+10))),
SUMIF(INDIRECT(Equipo!$F$4&amp;"!B10:B1000"),$B132,INDIRECT(Equipo!$F$4&amp;"!"&amp;ADDRESS(10,COLUMN(F$9)+10)&amp;":"&amp;ADDRESS(1000,COLUMN(F$9)+10))),
SUMIF(INDIRECT(Equipo!$G$4&amp;"!B10:B1000"),$B132,INDIRECT(Equipo!$G$4&amp;"!"&amp;ADDRESS(10,COLUMN(F$9)+10)&amp;":"&amp;ADDRESS(1000,COLUMN(F$9)+10)))
))</f>
        <v>-</v>
      </c>
      <c r="G132" s="19" t="str">
        <f t="array" ref="G132">IF(ISBLANK(Tareas!$B128),"-",
SUM(
SUMIF(INDIRECT(Equipo!$C$4&amp;"!B10:B1000"),$B132,INDIRECT(Equipo!$C$4&amp;"!"&amp;ADDRESS(10,COLUMN(G$9)+10)&amp;":"&amp;ADDRESS(1000,COLUMN(G$9)+10))),
SUMIF(INDIRECT(Equipo!$D$4&amp;"!B10:B1000"),$B132,INDIRECT(Equipo!$D$4&amp;"!"&amp;ADDRESS(10,COLUMN(G$9)+10)&amp;":"&amp;ADDRESS(1000,COLUMN(G$9)+10))),
SUMIF(INDIRECT(Equipo!$E$4&amp;"!B10:B1000"),$B132,INDIRECT(Equipo!$E$4&amp;"!"&amp;ADDRESS(10,COLUMN(G$9)+10)&amp;":"&amp;ADDRESS(1000,COLUMN(G$9)+10))),
SUMIF(INDIRECT(Equipo!$F$4&amp;"!B10:B1000"),$B132,INDIRECT(Equipo!$F$4&amp;"!"&amp;ADDRESS(10,COLUMN(G$9)+10)&amp;":"&amp;ADDRESS(1000,COLUMN(G$9)+10))),
SUMIF(INDIRECT(Equipo!$G$4&amp;"!B10:B1000"),$B132,INDIRECT(Equipo!$G$4&amp;"!"&amp;ADDRESS(10,COLUMN(G$9)+10)&amp;":"&amp;ADDRESS(1000,COLUMN(G$9)+10)))
))</f>
        <v>-</v>
      </c>
      <c r="H132" s="19" t="str">
        <f t="array" ref="H132">IF(ISBLANK(Tareas!$B128),"-",
SUM(
SUMIF(INDIRECT(Equipo!$C$4&amp;"!B10:B1000"),$B132,INDIRECT(Equipo!$C$4&amp;"!"&amp;ADDRESS(10,COLUMN(H$9)+10)&amp;":"&amp;ADDRESS(1000,COLUMN(H$9)+10))),
SUMIF(INDIRECT(Equipo!$D$4&amp;"!B10:B1000"),$B132,INDIRECT(Equipo!$D$4&amp;"!"&amp;ADDRESS(10,COLUMN(H$9)+10)&amp;":"&amp;ADDRESS(1000,COLUMN(H$9)+10))),
SUMIF(INDIRECT(Equipo!$E$4&amp;"!B10:B1000"),$B132,INDIRECT(Equipo!$E$4&amp;"!"&amp;ADDRESS(10,COLUMN(H$9)+10)&amp;":"&amp;ADDRESS(1000,COLUMN(H$9)+10))),
SUMIF(INDIRECT(Equipo!$F$4&amp;"!B10:B1000"),$B132,INDIRECT(Equipo!$F$4&amp;"!"&amp;ADDRESS(10,COLUMN(H$9)+10)&amp;":"&amp;ADDRESS(1000,COLUMN(H$9)+10))),
SUMIF(INDIRECT(Equipo!$G$4&amp;"!B10:B1000"),$B132,INDIRECT(Equipo!$G$4&amp;"!"&amp;ADDRESS(10,COLUMN(H$9)+10)&amp;":"&amp;ADDRESS(1000,COLUMN(H$9)+10)))
))</f>
        <v>-</v>
      </c>
      <c r="I132" s="19" t="str">
        <f t="array" ref="I132">IF(ISBLANK(Tareas!$B128),"-",
SUM(
SUMIF(INDIRECT(Equipo!$C$4&amp;"!B10:B1000"),$B132,INDIRECT(Equipo!$C$4&amp;"!"&amp;ADDRESS(10,COLUMN(I$9)+10)&amp;":"&amp;ADDRESS(1000,COLUMN(I$9)+10))),
SUMIF(INDIRECT(Equipo!$D$4&amp;"!B10:B1000"),$B132,INDIRECT(Equipo!$D$4&amp;"!"&amp;ADDRESS(10,COLUMN(I$9)+10)&amp;":"&amp;ADDRESS(1000,COLUMN(I$9)+10))),
SUMIF(INDIRECT(Equipo!$E$4&amp;"!B10:B1000"),$B132,INDIRECT(Equipo!$E$4&amp;"!"&amp;ADDRESS(10,COLUMN(I$9)+10)&amp;":"&amp;ADDRESS(1000,COLUMN(I$9)+10))),
SUMIF(INDIRECT(Equipo!$F$4&amp;"!B10:B1000"),$B132,INDIRECT(Equipo!$F$4&amp;"!"&amp;ADDRESS(10,COLUMN(I$9)+10)&amp;":"&amp;ADDRESS(1000,COLUMN(I$9)+10))),
SUMIF(INDIRECT(Equipo!$G$4&amp;"!B10:B1000"),$B132,INDIRECT(Equipo!$G$4&amp;"!"&amp;ADDRESS(10,COLUMN(I$9)+10)&amp;":"&amp;ADDRESS(1000,COLUMN(I$9)+10)))
))</f>
        <v>-</v>
      </c>
      <c r="J132" s="19" t="str">
        <f t="array" ref="J132">IF(ISBLANK(Tareas!$B128),"-",
SUM(
SUMIF(INDIRECT(Equipo!$C$4&amp;"!B10:B1000"),$B132,INDIRECT(Equipo!$C$4&amp;"!"&amp;ADDRESS(10,COLUMN(J$9)+10)&amp;":"&amp;ADDRESS(1000,COLUMN(J$9)+10))),
SUMIF(INDIRECT(Equipo!$D$4&amp;"!B10:B1000"),$B132,INDIRECT(Equipo!$D$4&amp;"!"&amp;ADDRESS(10,COLUMN(J$9)+10)&amp;":"&amp;ADDRESS(1000,COLUMN(J$9)+10))),
SUMIF(INDIRECT(Equipo!$E$4&amp;"!B10:B1000"),$B132,INDIRECT(Equipo!$E$4&amp;"!"&amp;ADDRESS(10,COLUMN(J$9)+10)&amp;":"&amp;ADDRESS(1000,COLUMN(J$9)+10))),
SUMIF(INDIRECT(Equipo!$F$4&amp;"!B10:B1000"),$B132,INDIRECT(Equipo!$F$4&amp;"!"&amp;ADDRESS(10,COLUMN(J$9)+10)&amp;":"&amp;ADDRESS(1000,COLUMN(J$9)+10))),
SUMIF(INDIRECT(Equipo!$G$4&amp;"!B10:B1000"),$B132,INDIRECT(Equipo!$G$4&amp;"!"&amp;ADDRESS(10,COLUMN(J$9)+10)&amp;":"&amp;ADDRESS(1000,COLUMN(J$9)+10)))
))</f>
        <v>-</v>
      </c>
      <c r="K132" s="19" t="str">
        <f t="array" ref="K132">IF(ISBLANK(Tareas!$B128),"-",
SUM(
SUMIF(INDIRECT(Equipo!$C$4&amp;"!B10:B1000"),$B132,INDIRECT(Equipo!$C$4&amp;"!"&amp;ADDRESS(10,COLUMN(K$9)+10)&amp;":"&amp;ADDRESS(1000,COLUMN(K$9)+10))),
SUMIF(INDIRECT(Equipo!$D$4&amp;"!B10:B1000"),$B132,INDIRECT(Equipo!$D$4&amp;"!"&amp;ADDRESS(10,COLUMN(K$9)+10)&amp;":"&amp;ADDRESS(1000,COLUMN(K$9)+10))),
SUMIF(INDIRECT(Equipo!$E$4&amp;"!B10:B1000"),$B132,INDIRECT(Equipo!$E$4&amp;"!"&amp;ADDRESS(10,COLUMN(K$9)+10)&amp;":"&amp;ADDRESS(1000,COLUMN(K$9)+10))),
SUMIF(INDIRECT(Equipo!$F$4&amp;"!B10:B1000"),$B132,INDIRECT(Equipo!$F$4&amp;"!"&amp;ADDRESS(10,COLUMN(K$9)+10)&amp;":"&amp;ADDRESS(1000,COLUMN(K$9)+10))),
SUMIF(INDIRECT(Equipo!$G$4&amp;"!B10:B1000"),$B132,INDIRECT(Equipo!$G$4&amp;"!"&amp;ADDRESS(10,COLUMN(K$9)+10)&amp;":"&amp;ADDRESS(1000,COLUMN(K$9)+10)))
))</f>
        <v>-</v>
      </c>
    </row>
    <row r="133" ht="15.75" customHeight="1">
      <c r="C133" s="19" t="str">
        <f>IF(ISBLANK(Tareas!$B129),"-",SUM(D133:K133))</f>
        <v>-</v>
      </c>
      <c r="D133" s="19" t="str">
        <f t="array" ref="D133">IF(ISBLANK(Tareas!$B129),"-",
SUM(
SUMIF(INDIRECT(Equipo!$C$4&amp;"!B10:B1000"),$B133,INDIRECT(Equipo!$C$4&amp;"!"&amp;ADDRESS(10,COLUMN(D$9)+10)&amp;":"&amp;ADDRESS(1000,COLUMN(D$9)+10))),
SUMIF(INDIRECT(Equipo!$D$4&amp;"!B10:B1000"),$B133,INDIRECT(Equipo!$D$4&amp;"!"&amp;ADDRESS(10,COLUMN(D$9)+10)&amp;":"&amp;ADDRESS(1000,COLUMN(D$9)+10))),
SUMIF(INDIRECT(Equipo!$E$4&amp;"!B10:B1000"),$B133,INDIRECT(Equipo!$E$4&amp;"!"&amp;ADDRESS(10,COLUMN(D$9)+10)&amp;":"&amp;ADDRESS(1000,COLUMN(D$9)+10))),
SUMIF(INDIRECT(Equipo!$F$4&amp;"!B10:B1000"),$B133,INDIRECT(Equipo!$F$4&amp;"!"&amp;ADDRESS(10,COLUMN(D$9)+10)&amp;":"&amp;ADDRESS(1000,COLUMN(D$9)+10))),
SUMIF(INDIRECT(Equipo!$G$4&amp;"!B10:B1000"),$B133,INDIRECT(Equipo!$G$4&amp;"!"&amp;ADDRESS(10,COLUMN(D$9)+10)&amp;":"&amp;ADDRESS(1000,COLUMN(D$9)+10)))
))</f>
        <v>-</v>
      </c>
      <c r="E133" s="19" t="str">
        <f t="array" ref="E133">IF(ISBLANK(Tareas!$B129),"-",
SUM(
SUMIF(INDIRECT(Equipo!$C$4&amp;"!B10:B1000"),$B133,INDIRECT(Equipo!$C$4&amp;"!"&amp;ADDRESS(10,COLUMN(E$9)+10)&amp;":"&amp;ADDRESS(1000,COLUMN(E$9)+10))),
SUMIF(INDIRECT(Equipo!$D$4&amp;"!B10:B1000"),$B133,INDIRECT(Equipo!$D$4&amp;"!"&amp;ADDRESS(10,COLUMN(E$9)+10)&amp;":"&amp;ADDRESS(1000,COLUMN(E$9)+10))),
SUMIF(INDIRECT(Equipo!$E$4&amp;"!B10:B1000"),$B133,INDIRECT(Equipo!$E$4&amp;"!"&amp;ADDRESS(10,COLUMN(E$9)+10)&amp;":"&amp;ADDRESS(1000,COLUMN(E$9)+10))),
SUMIF(INDIRECT(Equipo!$F$4&amp;"!B10:B1000"),$B133,INDIRECT(Equipo!$F$4&amp;"!"&amp;ADDRESS(10,COLUMN(E$9)+10)&amp;":"&amp;ADDRESS(1000,COLUMN(E$9)+10))),
SUMIF(INDIRECT(Equipo!$G$4&amp;"!B10:B1000"),$B133,INDIRECT(Equipo!$G$4&amp;"!"&amp;ADDRESS(10,COLUMN(E$9)+10)&amp;":"&amp;ADDRESS(1000,COLUMN(E$9)+10)))
))</f>
        <v>-</v>
      </c>
      <c r="F133" s="19" t="str">
        <f t="array" ref="F133">IF(ISBLANK(Tareas!$B129),"-",
SUM(
SUMIF(INDIRECT(Equipo!$C$4&amp;"!B10:B1000"),$B133,INDIRECT(Equipo!$C$4&amp;"!"&amp;ADDRESS(10,COLUMN(F$9)+10)&amp;":"&amp;ADDRESS(1000,COLUMN(F$9)+10))),
SUMIF(INDIRECT(Equipo!$D$4&amp;"!B10:B1000"),$B133,INDIRECT(Equipo!$D$4&amp;"!"&amp;ADDRESS(10,COLUMN(F$9)+10)&amp;":"&amp;ADDRESS(1000,COLUMN(F$9)+10))),
SUMIF(INDIRECT(Equipo!$E$4&amp;"!B10:B1000"),$B133,INDIRECT(Equipo!$E$4&amp;"!"&amp;ADDRESS(10,COLUMN(F$9)+10)&amp;":"&amp;ADDRESS(1000,COLUMN(F$9)+10))),
SUMIF(INDIRECT(Equipo!$F$4&amp;"!B10:B1000"),$B133,INDIRECT(Equipo!$F$4&amp;"!"&amp;ADDRESS(10,COLUMN(F$9)+10)&amp;":"&amp;ADDRESS(1000,COLUMN(F$9)+10))),
SUMIF(INDIRECT(Equipo!$G$4&amp;"!B10:B1000"),$B133,INDIRECT(Equipo!$G$4&amp;"!"&amp;ADDRESS(10,COLUMN(F$9)+10)&amp;":"&amp;ADDRESS(1000,COLUMN(F$9)+10)))
))</f>
        <v>-</v>
      </c>
      <c r="G133" s="19" t="str">
        <f t="array" ref="G133">IF(ISBLANK(Tareas!$B129),"-",
SUM(
SUMIF(INDIRECT(Equipo!$C$4&amp;"!B10:B1000"),$B133,INDIRECT(Equipo!$C$4&amp;"!"&amp;ADDRESS(10,COLUMN(G$9)+10)&amp;":"&amp;ADDRESS(1000,COLUMN(G$9)+10))),
SUMIF(INDIRECT(Equipo!$D$4&amp;"!B10:B1000"),$B133,INDIRECT(Equipo!$D$4&amp;"!"&amp;ADDRESS(10,COLUMN(G$9)+10)&amp;":"&amp;ADDRESS(1000,COLUMN(G$9)+10))),
SUMIF(INDIRECT(Equipo!$E$4&amp;"!B10:B1000"),$B133,INDIRECT(Equipo!$E$4&amp;"!"&amp;ADDRESS(10,COLUMN(G$9)+10)&amp;":"&amp;ADDRESS(1000,COLUMN(G$9)+10))),
SUMIF(INDIRECT(Equipo!$F$4&amp;"!B10:B1000"),$B133,INDIRECT(Equipo!$F$4&amp;"!"&amp;ADDRESS(10,COLUMN(G$9)+10)&amp;":"&amp;ADDRESS(1000,COLUMN(G$9)+10))),
SUMIF(INDIRECT(Equipo!$G$4&amp;"!B10:B1000"),$B133,INDIRECT(Equipo!$G$4&amp;"!"&amp;ADDRESS(10,COLUMN(G$9)+10)&amp;":"&amp;ADDRESS(1000,COLUMN(G$9)+10)))
))</f>
        <v>-</v>
      </c>
      <c r="H133" s="19" t="str">
        <f t="array" ref="H133">IF(ISBLANK(Tareas!$B129),"-",
SUM(
SUMIF(INDIRECT(Equipo!$C$4&amp;"!B10:B1000"),$B133,INDIRECT(Equipo!$C$4&amp;"!"&amp;ADDRESS(10,COLUMN(H$9)+10)&amp;":"&amp;ADDRESS(1000,COLUMN(H$9)+10))),
SUMIF(INDIRECT(Equipo!$D$4&amp;"!B10:B1000"),$B133,INDIRECT(Equipo!$D$4&amp;"!"&amp;ADDRESS(10,COLUMN(H$9)+10)&amp;":"&amp;ADDRESS(1000,COLUMN(H$9)+10))),
SUMIF(INDIRECT(Equipo!$E$4&amp;"!B10:B1000"),$B133,INDIRECT(Equipo!$E$4&amp;"!"&amp;ADDRESS(10,COLUMN(H$9)+10)&amp;":"&amp;ADDRESS(1000,COLUMN(H$9)+10))),
SUMIF(INDIRECT(Equipo!$F$4&amp;"!B10:B1000"),$B133,INDIRECT(Equipo!$F$4&amp;"!"&amp;ADDRESS(10,COLUMN(H$9)+10)&amp;":"&amp;ADDRESS(1000,COLUMN(H$9)+10))),
SUMIF(INDIRECT(Equipo!$G$4&amp;"!B10:B1000"),$B133,INDIRECT(Equipo!$G$4&amp;"!"&amp;ADDRESS(10,COLUMN(H$9)+10)&amp;":"&amp;ADDRESS(1000,COLUMN(H$9)+10)))
))</f>
        <v>-</v>
      </c>
      <c r="I133" s="19" t="str">
        <f t="array" ref="I133">IF(ISBLANK(Tareas!$B129),"-",
SUM(
SUMIF(INDIRECT(Equipo!$C$4&amp;"!B10:B1000"),$B133,INDIRECT(Equipo!$C$4&amp;"!"&amp;ADDRESS(10,COLUMN(I$9)+10)&amp;":"&amp;ADDRESS(1000,COLUMN(I$9)+10))),
SUMIF(INDIRECT(Equipo!$D$4&amp;"!B10:B1000"),$B133,INDIRECT(Equipo!$D$4&amp;"!"&amp;ADDRESS(10,COLUMN(I$9)+10)&amp;":"&amp;ADDRESS(1000,COLUMN(I$9)+10))),
SUMIF(INDIRECT(Equipo!$E$4&amp;"!B10:B1000"),$B133,INDIRECT(Equipo!$E$4&amp;"!"&amp;ADDRESS(10,COLUMN(I$9)+10)&amp;":"&amp;ADDRESS(1000,COLUMN(I$9)+10))),
SUMIF(INDIRECT(Equipo!$F$4&amp;"!B10:B1000"),$B133,INDIRECT(Equipo!$F$4&amp;"!"&amp;ADDRESS(10,COLUMN(I$9)+10)&amp;":"&amp;ADDRESS(1000,COLUMN(I$9)+10))),
SUMIF(INDIRECT(Equipo!$G$4&amp;"!B10:B1000"),$B133,INDIRECT(Equipo!$G$4&amp;"!"&amp;ADDRESS(10,COLUMN(I$9)+10)&amp;":"&amp;ADDRESS(1000,COLUMN(I$9)+10)))
))</f>
        <v>-</v>
      </c>
      <c r="J133" s="19" t="str">
        <f t="array" ref="J133">IF(ISBLANK(Tareas!$B129),"-",
SUM(
SUMIF(INDIRECT(Equipo!$C$4&amp;"!B10:B1000"),$B133,INDIRECT(Equipo!$C$4&amp;"!"&amp;ADDRESS(10,COLUMN(J$9)+10)&amp;":"&amp;ADDRESS(1000,COLUMN(J$9)+10))),
SUMIF(INDIRECT(Equipo!$D$4&amp;"!B10:B1000"),$B133,INDIRECT(Equipo!$D$4&amp;"!"&amp;ADDRESS(10,COLUMN(J$9)+10)&amp;":"&amp;ADDRESS(1000,COLUMN(J$9)+10))),
SUMIF(INDIRECT(Equipo!$E$4&amp;"!B10:B1000"),$B133,INDIRECT(Equipo!$E$4&amp;"!"&amp;ADDRESS(10,COLUMN(J$9)+10)&amp;":"&amp;ADDRESS(1000,COLUMN(J$9)+10))),
SUMIF(INDIRECT(Equipo!$F$4&amp;"!B10:B1000"),$B133,INDIRECT(Equipo!$F$4&amp;"!"&amp;ADDRESS(10,COLUMN(J$9)+10)&amp;":"&amp;ADDRESS(1000,COLUMN(J$9)+10))),
SUMIF(INDIRECT(Equipo!$G$4&amp;"!B10:B1000"),$B133,INDIRECT(Equipo!$G$4&amp;"!"&amp;ADDRESS(10,COLUMN(J$9)+10)&amp;":"&amp;ADDRESS(1000,COLUMN(J$9)+10)))
))</f>
        <v>-</v>
      </c>
      <c r="K133" s="19" t="str">
        <f t="array" ref="K133">IF(ISBLANK(Tareas!$B129),"-",
SUM(
SUMIF(INDIRECT(Equipo!$C$4&amp;"!B10:B1000"),$B133,INDIRECT(Equipo!$C$4&amp;"!"&amp;ADDRESS(10,COLUMN(K$9)+10)&amp;":"&amp;ADDRESS(1000,COLUMN(K$9)+10))),
SUMIF(INDIRECT(Equipo!$D$4&amp;"!B10:B1000"),$B133,INDIRECT(Equipo!$D$4&amp;"!"&amp;ADDRESS(10,COLUMN(K$9)+10)&amp;":"&amp;ADDRESS(1000,COLUMN(K$9)+10))),
SUMIF(INDIRECT(Equipo!$E$4&amp;"!B10:B1000"),$B133,INDIRECT(Equipo!$E$4&amp;"!"&amp;ADDRESS(10,COLUMN(K$9)+10)&amp;":"&amp;ADDRESS(1000,COLUMN(K$9)+10))),
SUMIF(INDIRECT(Equipo!$F$4&amp;"!B10:B1000"),$B133,INDIRECT(Equipo!$F$4&amp;"!"&amp;ADDRESS(10,COLUMN(K$9)+10)&amp;":"&amp;ADDRESS(1000,COLUMN(K$9)+10))),
SUMIF(INDIRECT(Equipo!$G$4&amp;"!B10:B1000"),$B133,INDIRECT(Equipo!$G$4&amp;"!"&amp;ADDRESS(10,COLUMN(K$9)+10)&amp;":"&amp;ADDRESS(1000,COLUMN(K$9)+10)))
))</f>
        <v>-</v>
      </c>
    </row>
    <row r="134" ht="15.75" customHeight="1">
      <c r="C134" s="19" t="str">
        <f>IF(ISBLANK(Tareas!$B130),"-",SUM(D134:K134))</f>
        <v>-</v>
      </c>
      <c r="D134" s="19" t="str">
        <f t="array" ref="D134">IF(ISBLANK(Tareas!$B130),"-",
SUM(
SUMIF(INDIRECT(Equipo!$C$4&amp;"!B10:B1000"),$B134,INDIRECT(Equipo!$C$4&amp;"!"&amp;ADDRESS(10,COLUMN(D$9)+10)&amp;":"&amp;ADDRESS(1000,COLUMN(D$9)+10))),
SUMIF(INDIRECT(Equipo!$D$4&amp;"!B10:B1000"),$B134,INDIRECT(Equipo!$D$4&amp;"!"&amp;ADDRESS(10,COLUMN(D$9)+10)&amp;":"&amp;ADDRESS(1000,COLUMN(D$9)+10))),
SUMIF(INDIRECT(Equipo!$E$4&amp;"!B10:B1000"),$B134,INDIRECT(Equipo!$E$4&amp;"!"&amp;ADDRESS(10,COLUMN(D$9)+10)&amp;":"&amp;ADDRESS(1000,COLUMN(D$9)+10))),
SUMIF(INDIRECT(Equipo!$F$4&amp;"!B10:B1000"),$B134,INDIRECT(Equipo!$F$4&amp;"!"&amp;ADDRESS(10,COLUMN(D$9)+10)&amp;":"&amp;ADDRESS(1000,COLUMN(D$9)+10))),
SUMIF(INDIRECT(Equipo!$G$4&amp;"!B10:B1000"),$B134,INDIRECT(Equipo!$G$4&amp;"!"&amp;ADDRESS(10,COLUMN(D$9)+10)&amp;":"&amp;ADDRESS(1000,COLUMN(D$9)+10)))
))</f>
        <v>-</v>
      </c>
      <c r="E134" s="19" t="str">
        <f t="array" ref="E134">IF(ISBLANK(Tareas!$B130),"-",
SUM(
SUMIF(INDIRECT(Equipo!$C$4&amp;"!B10:B1000"),$B134,INDIRECT(Equipo!$C$4&amp;"!"&amp;ADDRESS(10,COLUMN(E$9)+10)&amp;":"&amp;ADDRESS(1000,COLUMN(E$9)+10))),
SUMIF(INDIRECT(Equipo!$D$4&amp;"!B10:B1000"),$B134,INDIRECT(Equipo!$D$4&amp;"!"&amp;ADDRESS(10,COLUMN(E$9)+10)&amp;":"&amp;ADDRESS(1000,COLUMN(E$9)+10))),
SUMIF(INDIRECT(Equipo!$E$4&amp;"!B10:B1000"),$B134,INDIRECT(Equipo!$E$4&amp;"!"&amp;ADDRESS(10,COLUMN(E$9)+10)&amp;":"&amp;ADDRESS(1000,COLUMN(E$9)+10))),
SUMIF(INDIRECT(Equipo!$F$4&amp;"!B10:B1000"),$B134,INDIRECT(Equipo!$F$4&amp;"!"&amp;ADDRESS(10,COLUMN(E$9)+10)&amp;":"&amp;ADDRESS(1000,COLUMN(E$9)+10))),
SUMIF(INDIRECT(Equipo!$G$4&amp;"!B10:B1000"),$B134,INDIRECT(Equipo!$G$4&amp;"!"&amp;ADDRESS(10,COLUMN(E$9)+10)&amp;":"&amp;ADDRESS(1000,COLUMN(E$9)+10)))
))</f>
        <v>-</v>
      </c>
      <c r="F134" s="19" t="str">
        <f t="array" ref="F134">IF(ISBLANK(Tareas!$B130),"-",
SUM(
SUMIF(INDIRECT(Equipo!$C$4&amp;"!B10:B1000"),$B134,INDIRECT(Equipo!$C$4&amp;"!"&amp;ADDRESS(10,COLUMN(F$9)+10)&amp;":"&amp;ADDRESS(1000,COLUMN(F$9)+10))),
SUMIF(INDIRECT(Equipo!$D$4&amp;"!B10:B1000"),$B134,INDIRECT(Equipo!$D$4&amp;"!"&amp;ADDRESS(10,COLUMN(F$9)+10)&amp;":"&amp;ADDRESS(1000,COLUMN(F$9)+10))),
SUMIF(INDIRECT(Equipo!$E$4&amp;"!B10:B1000"),$B134,INDIRECT(Equipo!$E$4&amp;"!"&amp;ADDRESS(10,COLUMN(F$9)+10)&amp;":"&amp;ADDRESS(1000,COLUMN(F$9)+10))),
SUMIF(INDIRECT(Equipo!$F$4&amp;"!B10:B1000"),$B134,INDIRECT(Equipo!$F$4&amp;"!"&amp;ADDRESS(10,COLUMN(F$9)+10)&amp;":"&amp;ADDRESS(1000,COLUMN(F$9)+10))),
SUMIF(INDIRECT(Equipo!$G$4&amp;"!B10:B1000"),$B134,INDIRECT(Equipo!$G$4&amp;"!"&amp;ADDRESS(10,COLUMN(F$9)+10)&amp;":"&amp;ADDRESS(1000,COLUMN(F$9)+10)))
))</f>
        <v>-</v>
      </c>
      <c r="G134" s="19" t="str">
        <f t="array" ref="G134">IF(ISBLANK(Tareas!$B130),"-",
SUM(
SUMIF(INDIRECT(Equipo!$C$4&amp;"!B10:B1000"),$B134,INDIRECT(Equipo!$C$4&amp;"!"&amp;ADDRESS(10,COLUMN(G$9)+10)&amp;":"&amp;ADDRESS(1000,COLUMN(G$9)+10))),
SUMIF(INDIRECT(Equipo!$D$4&amp;"!B10:B1000"),$B134,INDIRECT(Equipo!$D$4&amp;"!"&amp;ADDRESS(10,COLUMN(G$9)+10)&amp;":"&amp;ADDRESS(1000,COLUMN(G$9)+10))),
SUMIF(INDIRECT(Equipo!$E$4&amp;"!B10:B1000"),$B134,INDIRECT(Equipo!$E$4&amp;"!"&amp;ADDRESS(10,COLUMN(G$9)+10)&amp;":"&amp;ADDRESS(1000,COLUMN(G$9)+10))),
SUMIF(INDIRECT(Equipo!$F$4&amp;"!B10:B1000"),$B134,INDIRECT(Equipo!$F$4&amp;"!"&amp;ADDRESS(10,COLUMN(G$9)+10)&amp;":"&amp;ADDRESS(1000,COLUMN(G$9)+10))),
SUMIF(INDIRECT(Equipo!$G$4&amp;"!B10:B1000"),$B134,INDIRECT(Equipo!$G$4&amp;"!"&amp;ADDRESS(10,COLUMN(G$9)+10)&amp;":"&amp;ADDRESS(1000,COLUMN(G$9)+10)))
))</f>
        <v>-</v>
      </c>
      <c r="H134" s="19" t="str">
        <f t="array" ref="H134">IF(ISBLANK(Tareas!$B130),"-",
SUM(
SUMIF(INDIRECT(Equipo!$C$4&amp;"!B10:B1000"),$B134,INDIRECT(Equipo!$C$4&amp;"!"&amp;ADDRESS(10,COLUMN(H$9)+10)&amp;":"&amp;ADDRESS(1000,COLUMN(H$9)+10))),
SUMIF(INDIRECT(Equipo!$D$4&amp;"!B10:B1000"),$B134,INDIRECT(Equipo!$D$4&amp;"!"&amp;ADDRESS(10,COLUMN(H$9)+10)&amp;":"&amp;ADDRESS(1000,COLUMN(H$9)+10))),
SUMIF(INDIRECT(Equipo!$E$4&amp;"!B10:B1000"),$B134,INDIRECT(Equipo!$E$4&amp;"!"&amp;ADDRESS(10,COLUMN(H$9)+10)&amp;":"&amp;ADDRESS(1000,COLUMN(H$9)+10))),
SUMIF(INDIRECT(Equipo!$F$4&amp;"!B10:B1000"),$B134,INDIRECT(Equipo!$F$4&amp;"!"&amp;ADDRESS(10,COLUMN(H$9)+10)&amp;":"&amp;ADDRESS(1000,COLUMN(H$9)+10))),
SUMIF(INDIRECT(Equipo!$G$4&amp;"!B10:B1000"),$B134,INDIRECT(Equipo!$G$4&amp;"!"&amp;ADDRESS(10,COLUMN(H$9)+10)&amp;":"&amp;ADDRESS(1000,COLUMN(H$9)+10)))
))</f>
        <v>-</v>
      </c>
      <c r="I134" s="19" t="str">
        <f t="array" ref="I134">IF(ISBLANK(Tareas!$B130),"-",
SUM(
SUMIF(INDIRECT(Equipo!$C$4&amp;"!B10:B1000"),$B134,INDIRECT(Equipo!$C$4&amp;"!"&amp;ADDRESS(10,COLUMN(I$9)+10)&amp;":"&amp;ADDRESS(1000,COLUMN(I$9)+10))),
SUMIF(INDIRECT(Equipo!$D$4&amp;"!B10:B1000"),$B134,INDIRECT(Equipo!$D$4&amp;"!"&amp;ADDRESS(10,COLUMN(I$9)+10)&amp;":"&amp;ADDRESS(1000,COLUMN(I$9)+10))),
SUMIF(INDIRECT(Equipo!$E$4&amp;"!B10:B1000"),$B134,INDIRECT(Equipo!$E$4&amp;"!"&amp;ADDRESS(10,COLUMN(I$9)+10)&amp;":"&amp;ADDRESS(1000,COLUMN(I$9)+10))),
SUMIF(INDIRECT(Equipo!$F$4&amp;"!B10:B1000"),$B134,INDIRECT(Equipo!$F$4&amp;"!"&amp;ADDRESS(10,COLUMN(I$9)+10)&amp;":"&amp;ADDRESS(1000,COLUMN(I$9)+10))),
SUMIF(INDIRECT(Equipo!$G$4&amp;"!B10:B1000"),$B134,INDIRECT(Equipo!$G$4&amp;"!"&amp;ADDRESS(10,COLUMN(I$9)+10)&amp;":"&amp;ADDRESS(1000,COLUMN(I$9)+10)))
))</f>
        <v>-</v>
      </c>
      <c r="J134" s="19" t="str">
        <f t="array" ref="J134">IF(ISBLANK(Tareas!$B130),"-",
SUM(
SUMIF(INDIRECT(Equipo!$C$4&amp;"!B10:B1000"),$B134,INDIRECT(Equipo!$C$4&amp;"!"&amp;ADDRESS(10,COLUMN(J$9)+10)&amp;":"&amp;ADDRESS(1000,COLUMN(J$9)+10))),
SUMIF(INDIRECT(Equipo!$D$4&amp;"!B10:B1000"),$B134,INDIRECT(Equipo!$D$4&amp;"!"&amp;ADDRESS(10,COLUMN(J$9)+10)&amp;":"&amp;ADDRESS(1000,COLUMN(J$9)+10))),
SUMIF(INDIRECT(Equipo!$E$4&amp;"!B10:B1000"),$B134,INDIRECT(Equipo!$E$4&amp;"!"&amp;ADDRESS(10,COLUMN(J$9)+10)&amp;":"&amp;ADDRESS(1000,COLUMN(J$9)+10))),
SUMIF(INDIRECT(Equipo!$F$4&amp;"!B10:B1000"),$B134,INDIRECT(Equipo!$F$4&amp;"!"&amp;ADDRESS(10,COLUMN(J$9)+10)&amp;":"&amp;ADDRESS(1000,COLUMN(J$9)+10))),
SUMIF(INDIRECT(Equipo!$G$4&amp;"!B10:B1000"),$B134,INDIRECT(Equipo!$G$4&amp;"!"&amp;ADDRESS(10,COLUMN(J$9)+10)&amp;":"&amp;ADDRESS(1000,COLUMN(J$9)+10)))
))</f>
        <v>-</v>
      </c>
      <c r="K134" s="19" t="str">
        <f t="array" ref="K134">IF(ISBLANK(Tareas!$B130),"-",
SUM(
SUMIF(INDIRECT(Equipo!$C$4&amp;"!B10:B1000"),$B134,INDIRECT(Equipo!$C$4&amp;"!"&amp;ADDRESS(10,COLUMN(K$9)+10)&amp;":"&amp;ADDRESS(1000,COLUMN(K$9)+10))),
SUMIF(INDIRECT(Equipo!$D$4&amp;"!B10:B1000"),$B134,INDIRECT(Equipo!$D$4&amp;"!"&amp;ADDRESS(10,COLUMN(K$9)+10)&amp;":"&amp;ADDRESS(1000,COLUMN(K$9)+10))),
SUMIF(INDIRECT(Equipo!$E$4&amp;"!B10:B1000"),$B134,INDIRECT(Equipo!$E$4&amp;"!"&amp;ADDRESS(10,COLUMN(K$9)+10)&amp;":"&amp;ADDRESS(1000,COLUMN(K$9)+10))),
SUMIF(INDIRECT(Equipo!$F$4&amp;"!B10:B1000"),$B134,INDIRECT(Equipo!$F$4&amp;"!"&amp;ADDRESS(10,COLUMN(K$9)+10)&amp;":"&amp;ADDRESS(1000,COLUMN(K$9)+10))),
SUMIF(INDIRECT(Equipo!$G$4&amp;"!B10:B1000"),$B134,INDIRECT(Equipo!$G$4&amp;"!"&amp;ADDRESS(10,COLUMN(K$9)+10)&amp;":"&amp;ADDRESS(1000,COLUMN(K$9)+10)))
))</f>
        <v>-</v>
      </c>
    </row>
    <row r="135" ht="15.75" customHeight="1">
      <c r="C135" s="19" t="str">
        <f>IF(ISBLANK(Tareas!$B131),"-",SUM(D135:K135))</f>
        <v>-</v>
      </c>
      <c r="D135" s="19" t="str">
        <f t="array" ref="D135">IF(ISBLANK(Tareas!$B131),"-",
SUM(
SUMIF(INDIRECT(Equipo!$C$4&amp;"!B10:B1000"),$B135,INDIRECT(Equipo!$C$4&amp;"!"&amp;ADDRESS(10,COLUMN(D$9)+10)&amp;":"&amp;ADDRESS(1000,COLUMN(D$9)+10))),
SUMIF(INDIRECT(Equipo!$D$4&amp;"!B10:B1000"),$B135,INDIRECT(Equipo!$D$4&amp;"!"&amp;ADDRESS(10,COLUMN(D$9)+10)&amp;":"&amp;ADDRESS(1000,COLUMN(D$9)+10))),
SUMIF(INDIRECT(Equipo!$E$4&amp;"!B10:B1000"),$B135,INDIRECT(Equipo!$E$4&amp;"!"&amp;ADDRESS(10,COLUMN(D$9)+10)&amp;":"&amp;ADDRESS(1000,COLUMN(D$9)+10))),
SUMIF(INDIRECT(Equipo!$F$4&amp;"!B10:B1000"),$B135,INDIRECT(Equipo!$F$4&amp;"!"&amp;ADDRESS(10,COLUMN(D$9)+10)&amp;":"&amp;ADDRESS(1000,COLUMN(D$9)+10))),
SUMIF(INDIRECT(Equipo!$G$4&amp;"!B10:B1000"),$B135,INDIRECT(Equipo!$G$4&amp;"!"&amp;ADDRESS(10,COLUMN(D$9)+10)&amp;":"&amp;ADDRESS(1000,COLUMN(D$9)+10)))
))</f>
        <v>-</v>
      </c>
      <c r="E135" s="19" t="str">
        <f t="array" ref="E135">IF(ISBLANK(Tareas!$B131),"-",
SUM(
SUMIF(INDIRECT(Equipo!$C$4&amp;"!B10:B1000"),$B135,INDIRECT(Equipo!$C$4&amp;"!"&amp;ADDRESS(10,COLUMN(E$9)+10)&amp;":"&amp;ADDRESS(1000,COLUMN(E$9)+10))),
SUMIF(INDIRECT(Equipo!$D$4&amp;"!B10:B1000"),$B135,INDIRECT(Equipo!$D$4&amp;"!"&amp;ADDRESS(10,COLUMN(E$9)+10)&amp;":"&amp;ADDRESS(1000,COLUMN(E$9)+10))),
SUMIF(INDIRECT(Equipo!$E$4&amp;"!B10:B1000"),$B135,INDIRECT(Equipo!$E$4&amp;"!"&amp;ADDRESS(10,COLUMN(E$9)+10)&amp;":"&amp;ADDRESS(1000,COLUMN(E$9)+10))),
SUMIF(INDIRECT(Equipo!$F$4&amp;"!B10:B1000"),$B135,INDIRECT(Equipo!$F$4&amp;"!"&amp;ADDRESS(10,COLUMN(E$9)+10)&amp;":"&amp;ADDRESS(1000,COLUMN(E$9)+10))),
SUMIF(INDIRECT(Equipo!$G$4&amp;"!B10:B1000"),$B135,INDIRECT(Equipo!$G$4&amp;"!"&amp;ADDRESS(10,COLUMN(E$9)+10)&amp;":"&amp;ADDRESS(1000,COLUMN(E$9)+10)))
))</f>
        <v>-</v>
      </c>
      <c r="F135" s="19" t="str">
        <f t="array" ref="F135">IF(ISBLANK(Tareas!$B131),"-",
SUM(
SUMIF(INDIRECT(Equipo!$C$4&amp;"!B10:B1000"),$B135,INDIRECT(Equipo!$C$4&amp;"!"&amp;ADDRESS(10,COLUMN(F$9)+10)&amp;":"&amp;ADDRESS(1000,COLUMN(F$9)+10))),
SUMIF(INDIRECT(Equipo!$D$4&amp;"!B10:B1000"),$B135,INDIRECT(Equipo!$D$4&amp;"!"&amp;ADDRESS(10,COLUMN(F$9)+10)&amp;":"&amp;ADDRESS(1000,COLUMN(F$9)+10))),
SUMIF(INDIRECT(Equipo!$E$4&amp;"!B10:B1000"),$B135,INDIRECT(Equipo!$E$4&amp;"!"&amp;ADDRESS(10,COLUMN(F$9)+10)&amp;":"&amp;ADDRESS(1000,COLUMN(F$9)+10))),
SUMIF(INDIRECT(Equipo!$F$4&amp;"!B10:B1000"),$B135,INDIRECT(Equipo!$F$4&amp;"!"&amp;ADDRESS(10,COLUMN(F$9)+10)&amp;":"&amp;ADDRESS(1000,COLUMN(F$9)+10))),
SUMIF(INDIRECT(Equipo!$G$4&amp;"!B10:B1000"),$B135,INDIRECT(Equipo!$G$4&amp;"!"&amp;ADDRESS(10,COLUMN(F$9)+10)&amp;":"&amp;ADDRESS(1000,COLUMN(F$9)+10)))
))</f>
        <v>-</v>
      </c>
      <c r="G135" s="19" t="str">
        <f t="array" ref="G135">IF(ISBLANK(Tareas!$B131),"-",
SUM(
SUMIF(INDIRECT(Equipo!$C$4&amp;"!B10:B1000"),$B135,INDIRECT(Equipo!$C$4&amp;"!"&amp;ADDRESS(10,COLUMN(G$9)+10)&amp;":"&amp;ADDRESS(1000,COLUMN(G$9)+10))),
SUMIF(INDIRECT(Equipo!$D$4&amp;"!B10:B1000"),$B135,INDIRECT(Equipo!$D$4&amp;"!"&amp;ADDRESS(10,COLUMN(G$9)+10)&amp;":"&amp;ADDRESS(1000,COLUMN(G$9)+10))),
SUMIF(INDIRECT(Equipo!$E$4&amp;"!B10:B1000"),$B135,INDIRECT(Equipo!$E$4&amp;"!"&amp;ADDRESS(10,COLUMN(G$9)+10)&amp;":"&amp;ADDRESS(1000,COLUMN(G$9)+10))),
SUMIF(INDIRECT(Equipo!$F$4&amp;"!B10:B1000"),$B135,INDIRECT(Equipo!$F$4&amp;"!"&amp;ADDRESS(10,COLUMN(G$9)+10)&amp;":"&amp;ADDRESS(1000,COLUMN(G$9)+10))),
SUMIF(INDIRECT(Equipo!$G$4&amp;"!B10:B1000"),$B135,INDIRECT(Equipo!$G$4&amp;"!"&amp;ADDRESS(10,COLUMN(G$9)+10)&amp;":"&amp;ADDRESS(1000,COLUMN(G$9)+10)))
))</f>
        <v>-</v>
      </c>
      <c r="H135" s="19" t="str">
        <f t="array" ref="H135">IF(ISBLANK(Tareas!$B131),"-",
SUM(
SUMIF(INDIRECT(Equipo!$C$4&amp;"!B10:B1000"),$B135,INDIRECT(Equipo!$C$4&amp;"!"&amp;ADDRESS(10,COLUMN(H$9)+10)&amp;":"&amp;ADDRESS(1000,COLUMN(H$9)+10))),
SUMIF(INDIRECT(Equipo!$D$4&amp;"!B10:B1000"),$B135,INDIRECT(Equipo!$D$4&amp;"!"&amp;ADDRESS(10,COLUMN(H$9)+10)&amp;":"&amp;ADDRESS(1000,COLUMN(H$9)+10))),
SUMIF(INDIRECT(Equipo!$E$4&amp;"!B10:B1000"),$B135,INDIRECT(Equipo!$E$4&amp;"!"&amp;ADDRESS(10,COLUMN(H$9)+10)&amp;":"&amp;ADDRESS(1000,COLUMN(H$9)+10))),
SUMIF(INDIRECT(Equipo!$F$4&amp;"!B10:B1000"),$B135,INDIRECT(Equipo!$F$4&amp;"!"&amp;ADDRESS(10,COLUMN(H$9)+10)&amp;":"&amp;ADDRESS(1000,COLUMN(H$9)+10))),
SUMIF(INDIRECT(Equipo!$G$4&amp;"!B10:B1000"),$B135,INDIRECT(Equipo!$G$4&amp;"!"&amp;ADDRESS(10,COLUMN(H$9)+10)&amp;":"&amp;ADDRESS(1000,COLUMN(H$9)+10)))
))</f>
        <v>-</v>
      </c>
      <c r="I135" s="19" t="str">
        <f t="array" ref="I135">IF(ISBLANK(Tareas!$B131),"-",
SUM(
SUMIF(INDIRECT(Equipo!$C$4&amp;"!B10:B1000"),$B135,INDIRECT(Equipo!$C$4&amp;"!"&amp;ADDRESS(10,COLUMN(I$9)+10)&amp;":"&amp;ADDRESS(1000,COLUMN(I$9)+10))),
SUMIF(INDIRECT(Equipo!$D$4&amp;"!B10:B1000"),$B135,INDIRECT(Equipo!$D$4&amp;"!"&amp;ADDRESS(10,COLUMN(I$9)+10)&amp;":"&amp;ADDRESS(1000,COLUMN(I$9)+10))),
SUMIF(INDIRECT(Equipo!$E$4&amp;"!B10:B1000"),$B135,INDIRECT(Equipo!$E$4&amp;"!"&amp;ADDRESS(10,COLUMN(I$9)+10)&amp;":"&amp;ADDRESS(1000,COLUMN(I$9)+10))),
SUMIF(INDIRECT(Equipo!$F$4&amp;"!B10:B1000"),$B135,INDIRECT(Equipo!$F$4&amp;"!"&amp;ADDRESS(10,COLUMN(I$9)+10)&amp;":"&amp;ADDRESS(1000,COLUMN(I$9)+10))),
SUMIF(INDIRECT(Equipo!$G$4&amp;"!B10:B1000"),$B135,INDIRECT(Equipo!$G$4&amp;"!"&amp;ADDRESS(10,COLUMN(I$9)+10)&amp;":"&amp;ADDRESS(1000,COLUMN(I$9)+10)))
))</f>
        <v>-</v>
      </c>
      <c r="J135" s="19" t="str">
        <f t="array" ref="J135">IF(ISBLANK(Tareas!$B131),"-",
SUM(
SUMIF(INDIRECT(Equipo!$C$4&amp;"!B10:B1000"),$B135,INDIRECT(Equipo!$C$4&amp;"!"&amp;ADDRESS(10,COLUMN(J$9)+10)&amp;":"&amp;ADDRESS(1000,COLUMN(J$9)+10))),
SUMIF(INDIRECT(Equipo!$D$4&amp;"!B10:B1000"),$B135,INDIRECT(Equipo!$D$4&amp;"!"&amp;ADDRESS(10,COLUMN(J$9)+10)&amp;":"&amp;ADDRESS(1000,COLUMN(J$9)+10))),
SUMIF(INDIRECT(Equipo!$E$4&amp;"!B10:B1000"),$B135,INDIRECT(Equipo!$E$4&amp;"!"&amp;ADDRESS(10,COLUMN(J$9)+10)&amp;":"&amp;ADDRESS(1000,COLUMN(J$9)+10))),
SUMIF(INDIRECT(Equipo!$F$4&amp;"!B10:B1000"),$B135,INDIRECT(Equipo!$F$4&amp;"!"&amp;ADDRESS(10,COLUMN(J$9)+10)&amp;":"&amp;ADDRESS(1000,COLUMN(J$9)+10))),
SUMIF(INDIRECT(Equipo!$G$4&amp;"!B10:B1000"),$B135,INDIRECT(Equipo!$G$4&amp;"!"&amp;ADDRESS(10,COLUMN(J$9)+10)&amp;":"&amp;ADDRESS(1000,COLUMN(J$9)+10)))
))</f>
        <v>-</v>
      </c>
      <c r="K135" s="19" t="str">
        <f t="array" ref="K135">IF(ISBLANK(Tareas!$B131),"-",
SUM(
SUMIF(INDIRECT(Equipo!$C$4&amp;"!B10:B1000"),$B135,INDIRECT(Equipo!$C$4&amp;"!"&amp;ADDRESS(10,COLUMN(K$9)+10)&amp;":"&amp;ADDRESS(1000,COLUMN(K$9)+10))),
SUMIF(INDIRECT(Equipo!$D$4&amp;"!B10:B1000"),$B135,INDIRECT(Equipo!$D$4&amp;"!"&amp;ADDRESS(10,COLUMN(K$9)+10)&amp;":"&amp;ADDRESS(1000,COLUMN(K$9)+10))),
SUMIF(INDIRECT(Equipo!$E$4&amp;"!B10:B1000"),$B135,INDIRECT(Equipo!$E$4&amp;"!"&amp;ADDRESS(10,COLUMN(K$9)+10)&amp;":"&amp;ADDRESS(1000,COLUMN(K$9)+10))),
SUMIF(INDIRECT(Equipo!$F$4&amp;"!B10:B1000"),$B135,INDIRECT(Equipo!$F$4&amp;"!"&amp;ADDRESS(10,COLUMN(K$9)+10)&amp;":"&amp;ADDRESS(1000,COLUMN(K$9)+10))),
SUMIF(INDIRECT(Equipo!$G$4&amp;"!B10:B1000"),$B135,INDIRECT(Equipo!$G$4&amp;"!"&amp;ADDRESS(10,COLUMN(K$9)+10)&amp;":"&amp;ADDRESS(1000,COLUMN(K$9)+10)))
))</f>
        <v>-</v>
      </c>
    </row>
    <row r="136" ht="15.75" customHeight="1">
      <c r="C136" s="19" t="str">
        <f>IF(ISBLANK(Tareas!$B132),"-",SUM(D136:K136))</f>
        <v>-</v>
      </c>
      <c r="D136" s="19" t="str">
        <f t="array" ref="D136">IF(ISBLANK(Tareas!$B132),"-",
SUM(
SUMIF(INDIRECT(Equipo!$C$4&amp;"!B10:B1000"),$B136,INDIRECT(Equipo!$C$4&amp;"!"&amp;ADDRESS(10,COLUMN(D$9)+10)&amp;":"&amp;ADDRESS(1000,COLUMN(D$9)+10))),
SUMIF(INDIRECT(Equipo!$D$4&amp;"!B10:B1000"),$B136,INDIRECT(Equipo!$D$4&amp;"!"&amp;ADDRESS(10,COLUMN(D$9)+10)&amp;":"&amp;ADDRESS(1000,COLUMN(D$9)+10))),
SUMIF(INDIRECT(Equipo!$E$4&amp;"!B10:B1000"),$B136,INDIRECT(Equipo!$E$4&amp;"!"&amp;ADDRESS(10,COLUMN(D$9)+10)&amp;":"&amp;ADDRESS(1000,COLUMN(D$9)+10))),
SUMIF(INDIRECT(Equipo!$F$4&amp;"!B10:B1000"),$B136,INDIRECT(Equipo!$F$4&amp;"!"&amp;ADDRESS(10,COLUMN(D$9)+10)&amp;":"&amp;ADDRESS(1000,COLUMN(D$9)+10))),
SUMIF(INDIRECT(Equipo!$G$4&amp;"!B10:B1000"),$B136,INDIRECT(Equipo!$G$4&amp;"!"&amp;ADDRESS(10,COLUMN(D$9)+10)&amp;":"&amp;ADDRESS(1000,COLUMN(D$9)+10)))
))</f>
        <v>-</v>
      </c>
      <c r="E136" s="19" t="str">
        <f t="array" ref="E136">IF(ISBLANK(Tareas!$B132),"-",
SUM(
SUMIF(INDIRECT(Equipo!$C$4&amp;"!B10:B1000"),$B136,INDIRECT(Equipo!$C$4&amp;"!"&amp;ADDRESS(10,COLUMN(E$9)+10)&amp;":"&amp;ADDRESS(1000,COLUMN(E$9)+10))),
SUMIF(INDIRECT(Equipo!$D$4&amp;"!B10:B1000"),$B136,INDIRECT(Equipo!$D$4&amp;"!"&amp;ADDRESS(10,COLUMN(E$9)+10)&amp;":"&amp;ADDRESS(1000,COLUMN(E$9)+10))),
SUMIF(INDIRECT(Equipo!$E$4&amp;"!B10:B1000"),$B136,INDIRECT(Equipo!$E$4&amp;"!"&amp;ADDRESS(10,COLUMN(E$9)+10)&amp;":"&amp;ADDRESS(1000,COLUMN(E$9)+10))),
SUMIF(INDIRECT(Equipo!$F$4&amp;"!B10:B1000"),$B136,INDIRECT(Equipo!$F$4&amp;"!"&amp;ADDRESS(10,COLUMN(E$9)+10)&amp;":"&amp;ADDRESS(1000,COLUMN(E$9)+10))),
SUMIF(INDIRECT(Equipo!$G$4&amp;"!B10:B1000"),$B136,INDIRECT(Equipo!$G$4&amp;"!"&amp;ADDRESS(10,COLUMN(E$9)+10)&amp;":"&amp;ADDRESS(1000,COLUMN(E$9)+10)))
))</f>
        <v>-</v>
      </c>
      <c r="F136" s="19" t="str">
        <f t="array" ref="F136">IF(ISBLANK(Tareas!$B132),"-",
SUM(
SUMIF(INDIRECT(Equipo!$C$4&amp;"!B10:B1000"),$B136,INDIRECT(Equipo!$C$4&amp;"!"&amp;ADDRESS(10,COLUMN(F$9)+10)&amp;":"&amp;ADDRESS(1000,COLUMN(F$9)+10))),
SUMIF(INDIRECT(Equipo!$D$4&amp;"!B10:B1000"),$B136,INDIRECT(Equipo!$D$4&amp;"!"&amp;ADDRESS(10,COLUMN(F$9)+10)&amp;":"&amp;ADDRESS(1000,COLUMN(F$9)+10))),
SUMIF(INDIRECT(Equipo!$E$4&amp;"!B10:B1000"),$B136,INDIRECT(Equipo!$E$4&amp;"!"&amp;ADDRESS(10,COLUMN(F$9)+10)&amp;":"&amp;ADDRESS(1000,COLUMN(F$9)+10))),
SUMIF(INDIRECT(Equipo!$F$4&amp;"!B10:B1000"),$B136,INDIRECT(Equipo!$F$4&amp;"!"&amp;ADDRESS(10,COLUMN(F$9)+10)&amp;":"&amp;ADDRESS(1000,COLUMN(F$9)+10))),
SUMIF(INDIRECT(Equipo!$G$4&amp;"!B10:B1000"),$B136,INDIRECT(Equipo!$G$4&amp;"!"&amp;ADDRESS(10,COLUMN(F$9)+10)&amp;":"&amp;ADDRESS(1000,COLUMN(F$9)+10)))
))</f>
        <v>-</v>
      </c>
      <c r="G136" s="19" t="str">
        <f t="array" ref="G136">IF(ISBLANK(Tareas!$B132),"-",
SUM(
SUMIF(INDIRECT(Equipo!$C$4&amp;"!B10:B1000"),$B136,INDIRECT(Equipo!$C$4&amp;"!"&amp;ADDRESS(10,COLUMN(G$9)+10)&amp;":"&amp;ADDRESS(1000,COLUMN(G$9)+10))),
SUMIF(INDIRECT(Equipo!$D$4&amp;"!B10:B1000"),$B136,INDIRECT(Equipo!$D$4&amp;"!"&amp;ADDRESS(10,COLUMN(G$9)+10)&amp;":"&amp;ADDRESS(1000,COLUMN(G$9)+10))),
SUMIF(INDIRECT(Equipo!$E$4&amp;"!B10:B1000"),$B136,INDIRECT(Equipo!$E$4&amp;"!"&amp;ADDRESS(10,COLUMN(G$9)+10)&amp;":"&amp;ADDRESS(1000,COLUMN(G$9)+10))),
SUMIF(INDIRECT(Equipo!$F$4&amp;"!B10:B1000"),$B136,INDIRECT(Equipo!$F$4&amp;"!"&amp;ADDRESS(10,COLUMN(G$9)+10)&amp;":"&amp;ADDRESS(1000,COLUMN(G$9)+10))),
SUMIF(INDIRECT(Equipo!$G$4&amp;"!B10:B1000"),$B136,INDIRECT(Equipo!$G$4&amp;"!"&amp;ADDRESS(10,COLUMN(G$9)+10)&amp;":"&amp;ADDRESS(1000,COLUMN(G$9)+10)))
))</f>
        <v>-</v>
      </c>
      <c r="H136" s="19" t="str">
        <f t="array" ref="H136">IF(ISBLANK(Tareas!$B132),"-",
SUM(
SUMIF(INDIRECT(Equipo!$C$4&amp;"!B10:B1000"),$B136,INDIRECT(Equipo!$C$4&amp;"!"&amp;ADDRESS(10,COLUMN(H$9)+10)&amp;":"&amp;ADDRESS(1000,COLUMN(H$9)+10))),
SUMIF(INDIRECT(Equipo!$D$4&amp;"!B10:B1000"),$B136,INDIRECT(Equipo!$D$4&amp;"!"&amp;ADDRESS(10,COLUMN(H$9)+10)&amp;":"&amp;ADDRESS(1000,COLUMN(H$9)+10))),
SUMIF(INDIRECT(Equipo!$E$4&amp;"!B10:B1000"),$B136,INDIRECT(Equipo!$E$4&amp;"!"&amp;ADDRESS(10,COLUMN(H$9)+10)&amp;":"&amp;ADDRESS(1000,COLUMN(H$9)+10))),
SUMIF(INDIRECT(Equipo!$F$4&amp;"!B10:B1000"),$B136,INDIRECT(Equipo!$F$4&amp;"!"&amp;ADDRESS(10,COLUMN(H$9)+10)&amp;":"&amp;ADDRESS(1000,COLUMN(H$9)+10))),
SUMIF(INDIRECT(Equipo!$G$4&amp;"!B10:B1000"),$B136,INDIRECT(Equipo!$G$4&amp;"!"&amp;ADDRESS(10,COLUMN(H$9)+10)&amp;":"&amp;ADDRESS(1000,COLUMN(H$9)+10)))
))</f>
        <v>-</v>
      </c>
      <c r="I136" s="19" t="str">
        <f t="array" ref="I136">IF(ISBLANK(Tareas!$B132),"-",
SUM(
SUMIF(INDIRECT(Equipo!$C$4&amp;"!B10:B1000"),$B136,INDIRECT(Equipo!$C$4&amp;"!"&amp;ADDRESS(10,COLUMN(I$9)+10)&amp;":"&amp;ADDRESS(1000,COLUMN(I$9)+10))),
SUMIF(INDIRECT(Equipo!$D$4&amp;"!B10:B1000"),$B136,INDIRECT(Equipo!$D$4&amp;"!"&amp;ADDRESS(10,COLUMN(I$9)+10)&amp;":"&amp;ADDRESS(1000,COLUMN(I$9)+10))),
SUMIF(INDIRECT(Equipo!$E$4&amp;"!B10:B1000"),$B136,INDIRECT(Equipo!$E$4&amp;"!"&amp;ADDRESS(10,COLUMN(I$9)+10)&amp;":"&amp;ADDRESS(1000,COLUMN(I$9)+10))),
SUMIF(INDIRECT(Equipo!$F$4&amp;"!B10:B1000"),$B136,INDIRECT(Equipo!$F$4&amp;"!"&amp;ADDRESS(10,COLUMN(I$9)+10)&amp;":"&amp;ADDRESS(1000,COLUMN(I$9)+10))),
SUMIF(INDIRECT(Equipo!$G$4&amp;"!B10:B1000"),$B136,INDIRECT(Equipo!$G$4&amp;"!"&amp;ADDRESS(10,COLUMN(I$9)+10)&amp;":"&amp;ADDRESS(1000,COLUMN(I$9)+10)))
))</f>
        <v>-</v>
      </c>
      <c r="J136" s="19" t="str">
        <f t="array" ref="J136">IF(ISBLANK(Tareas!$B132),"-",
SUM(
SUMIF(INDIRECT(Equipo!$C$4&amp;"!B10:B1000"),$B136,INDIRECT(Equipo!$C$4&amp;"!"&amp;ADDRESS(10,COLUMN(J$9)+10)&amp;":"&amp;ADDRESS(1000,COLUMN(J$9)+10))),
SUMIF(INDIRECT(Equipo!$D$4&amp;"!B10:B1000"),$B136,INDIRECT(Equipo!$D$4&amp;"!"&amp;ADDRESS(10,COLUMN(J$9)+10)&amp;":"&amp;ADDRESS(1000,COLUMN(J$9)+10))),
SUMIF(INDIRECT(Equipo!$E$4&amp;"!B10:B1000"),$B136,INDIRECT(Equipo!$E$4&amp;"!"&amp;ADDRESS(10,COLUMN(J$9)+10)&amp;":"&amp;ADDRESS(1000,COLUMN(J$9)+10))),
SUMIF(INDIRECT(Equipo!$F$4&amp;"!B10:B1000"),$B136,INDIRECT(Equipo!$F$4&amp;"!"&amp;ADDRESS(10,COLUMN(J$9)+10)&amp;":"&amp;ADDRESS(1000,COLUMN(J$9)+10))),
SUMIF(INDIRECT(Equipo!$G$4&amp;"!B10:B1000"),$B136,INDIRECT(Equipo!$G$4&amp;"!"&amp;ADDRESS(10,COLUMN(J$9)+10)&amp;":"&amp;ADDRESS(1000,COLUMN(J$9)+10)))
))</f>
        <v>-</v>
      </c>
      <c r="K136" s="19" t="str">
        <f t="array" ref="K136">IF(ISBLANK(Tareas!$B132),"-",
SUM(
SUMIF(INDIRECT(Equipo!$C$4&amp;"!B10:B1000"),$B136,INDIRECT(Equipo!$C$4&amp;"!"&amp;ADDRESS(10,COLUMN(K$9)+10)&amp;":"&amp;ADDRESS(1000,COLUMN(K$9)+10))),
SUMIF(INDIRECT(Equipo!$D$4&amp;"!B10:B1000"),$B136,INDIRECT(Equipo!$D$4&amp;"!"&amp;ADDRESS(10,COLUMN(K$9)+10)&amp;":"&amp;ADDRESS(1000,COLUMN(K$9)+10))),
SUMIF(INDIRECT(Equipo!$E$4&amp;"!B10:B1000"),$B136,INDIRECT(Equipo!$E$4&amp;"!"&amp;ADDRESS(10,COLUMN(K$9)+10)&amp;":"&amp;ADDRESS(1000,COLUMN(K$9)+10))),
SUMIF(INDIRECT(Equipo!$F$4&amp;"!B10:B1000"),$B136,INDIRECT(Equipo!$F$4&amp;"!"&amp;ADDRESS(10,COLUMN(K$9)+10)&amp;":"&amp;ADDRESS(1000,COLUMN(K$9)+10))),
SUMIF(INDIRECT(Equipo!$G$4&amp;"!B10:B1000"),$B136,INDIRECT(Equipo!$G$4&amp;"!"&amp;ADDRESS(10,COLUMN(K$9)+10)&amp;":"&amp;ADDRESS(1000,COLUMN(K$9)+10)))
))</f>
        <v>-</v>
      </c>
    </row>
    <row r="137" ht="15.75" customHeight="1">
      <c r="C137" s="19" t="str">
        <f>IF(ISBLANK(Tareas!$B133),"-",SUM(D137:K137))</f>
        <v>-</v>
      </c>
      <c r="D137" s="19" t="str">
        <f t="array" ref="D137">IF(ISBLANK(Tareas!$B133),"-",
SUM(
SUMIF(INDIRECT(Equipo!$C$4&amp;"!B10:B1000"),$B137,INDIRECT(Equipo!$C$4&amp;"!"&amp;ADDRESS(10,COLUMN(D$9)+10)&amp;":"&amp;ADDRESS(1000,COLUMN(D$9)+10))),
SUMIF(INDIRECT(Equipo!$D$4&amp;"!B10:B1000"),$B137,INDIRECT(Equipo!$D$4&amp;"!"&amp;ADDRESS(10,COLUMN(D$9)+10)&amp;":"&amp;ADDRESS(1000,COLUMN(D$9)+10))),
SUMIF(INDIRECT(Equipo!$E$4&amp;"!B10:B1000"),$B137,INDIRECT(Equipo!$E$4&amp;"!"&amp;ADDRESS(10,COLUMN(D$9)+10)&amp;":"&amp;ADDRESS(1000,COLUMN(D$9)+10))),
SUMIF(INDIRECT(Equipo!$F$4&amp;"!B10:B1000"),$B137,INDIRECT(Equipo!$F$4&amp;"!"&amp;ADDRESS(10,COLUMN(D$9)+10)&amp;":"&amp;ADDRESS(1000,COLUMN(D$9)+10))),
SUMIF(INDIRECT(Equipo!$G$4&amp;"!B10:B1000"),$B137,INDIRECT(Equipo!$G$4&amp;"!"&amp;ADDRESS(10,COLUMN(D$9)+10)&amp;":"&amp;ADDRESS(1000,COLUMN(D$9)+10)))
))</f>
        <v>-</v>
      </c>
      <c r="E137" s="19" t="str">
        <f t="array" ref="E137">IF(ISBLANK(Tareas!$B133),"-",
SUM(
SUMIF(INDIRECT(Equipo!$C$4&amp;"!B10:B1000"),$B137,INDIRECT(Equipo!$C$4&amp;"!"&amp;ADDRESS(10,COLUMN(E$9)+10)&amp;":"&amp;ADDRESS(1000,COLUMN(E$9)+10))),
SUMIF(INDIRECT(Equipo!$D$4&amp;"!B10:B1000"),$B137,INDIRECT(Equipo!$D$4&amp;"!"&amp;ADDRESS(10,COLUMN(E$9)+10)&amp;":"&amp;ADDRESS(1000,COLUMN(E$9)+10))),
SUMIF(INDIRECT(Equipo!$E$4&amp;"!B10:B1000"),$B137,INDIRECT(Equipo!$E$4&amp;"!"&amp;ADDRESS(10,COLUMN(E$9)+10)&amp;":"&amp;ADDRESS(1000,COLUMN(E$9)+10))),
SUMIF(INDIRECT(Equipo!$F$4&amp;"!B10:B1000"),$B137,INDIRECT(Equipo!$F$4&amp;"!"&amp;ADDRESS(10,COLUMN(E$9)+10)&amp;":"&amp;ADDRESS(1000,COLUMN(E$9)+10))),
SUMIF(INDIRECT(Equipo!$G$4&amp;"!B10:B1000"),$B137,INDIRECT(Equipo!$G$4&amp;"!"&amp;ADDRESS(10,COLUMN(E$9)+10)&amp;":"&amp;ADDRESS(1000,COLUMN(E$9)+10)))
))</f>
        <v>-</v>
      </c>
      <c r="F137" s="19" t="str">
        <f t="array" ref="F137">IF(ISBLANK(Tareas!$B133),"-",
SUM(
SUMIF(INDIRECT(Equipo!$C$4&amp;"!B10:B1000"),$B137,INDIRECT(Equipo!$C$4&amp;"!"&amp;ADDRESS(10,COLUMN(F$9)+10)&amp;":"&amp;ADDRESS(1000,COLUMN(F$9)+10))),
SUMIF(INDIRECT(Equipo!$D$4&amp;"!B10:B1000"),$B137,INDIRECT(Equipo!$D$4&amp;"!"&amp;ADDRESS(10,COLUMN(F$9)+10)&amp;":"&amp;ADDRESS(1000,COLUMN(F$9)+10))),
SUMIF(INDIRECT(Equipo!$E$4&amp;"!B10:B1000"),$B137,INDIRECT(Equipo!$E$4&amp;"!"&amp;ADDRESS(10,COLUMN(F$9)+10)&amp;":"&amp;ADDRESS(1000,COLUMN(F$9)+10))),
SUMIF(INDIRECT(Equipo!$F$4&amp;"!B10:B1000"),$B137,INDIRECT(Equipo!$F$4&amp;"!"&amp;ADDRESS(10,COLUMN(F$9)+10)&amp;":"&amp;ADDRESS(1000,COLUMN(F$9)+10))),
SUMIF(INDIRECT(Equipo!$G$4&amp;"!B10:B1000"),$B137,INDIRECT(Equipo!$G$4&amp;"!"&amp;ADDRESS(10,COLUMN(F$9)+10)&amp;":"&amp;ADDRESS(1000,COLUMN(F$9)+10)))
))</f>
        <v>-</v>
      </c>
      <c r="G137" s="19" t="str">
        <f t="array" ref="G137">IF(ISBLANK(Tareas!$B133),"-",
SUM(
SUMIF(INDIRECT(Equipo!$C$4&amp;"!B10:B1000"),$B137,INDIRECT(Equipo!$C$4&amp;"!"&amp;ADDRESS(10,COLUMN(G$9)+10)&amp;":"&amp;ADDRESS(1000,COLUMN(G$9)+10))),
SUMIF(INDIRECT(Equipo!$D$4&amp;"!B10:B1000"),$B137,INDIRECT(Equipo!$D$4&amp;"!"&amp;ADDRESS(10,COLUMN(G$9)+10)&amp;":"&amp;ADDRESS(1000,COLUMN(G$9)+10))),
SUMIF(INDIRECT(Equipo!$E$4&amp;"!B10:B1000"),$B137,INDIRECT(Equipo!$E$4&amp;"!"&amp;ADDRESS(10,COLUMN(G$9)+10)&amp;":"&amp;ADDRESS(1000,COLUMN(G$9)+10))),
SUMIF(INDIRECT(Equipo!$F$4&amp;"!B10:B1000"),$B137,INDIRECT(Equipo!$F$4&amp;"!"&amp;ADDRESS(10,COLUMN(G$9)+10)&amp;":"&amp;ADDRESS(1000,COLUMN(G$9)+10))),
SUMIF(INDIRECT(Equipo!$G$4&amp;"!B10:B1000"),$B137,INDIRECT(Equipo!$G$4&amp;"!"&amp;ADDRESS(10,COLUMN(G$9)+10)&amp;":"&amp;ADDRESS(1000,COLUMN(G$9)+10)))
))</f>
        <v>-</v>
      </c>
      <c r="H137" s="19" t="str">
        <f t="array" ref="H137">IF(ISBLANK(Tareas!$B133),"-",
SUM(
SUMIF(INDIRECT(Equipo!$C$4&amp;"!B10:B1000"),$B137,INDIRECT(Equipo!$C$4&amp;"!"&amp;ADDRESS(10,COLUMN(H$9)+10)&amp;":"&amp;ADDRESS(1000,COLUMN(H$9)+10))),
SUMIF(INDIRECT(Equipo!$D$4&amp;"!B10:B1000"),$B137,INDIRECT(Equipo!$D$4&amp;"!"&amp;ADDRESS(10,COLUMN(H$9)+10)&amp;":"&amp;ADDRESS(1000,COLUMN(H$9)+10))),
SUMIF(INDIRECT(Equipo!$E$4&amp;"!B10:B1000"),$B137,INDIRECT(Equipo!$E$4&amp;"!"&amp;ADDRESS(10,COLUMN(H$9)+10)&amp;":"&amp;ADDRESS(1000,COLUMN(H$9)+10))),
SUMIF(INDIRECT(Equipo!$F$4&amp;"!B10:B1000"),$B137,INDIRECT(Equipo!$F$4&amp;"!"&amp;ADDRESS(10,COLUMN(H$9)+10)&amp;":"&amp;ADDRESS(1000,COLUMN(H$9)+10))),
SUMIF(INDIRECT(Equipo!$G$4&amp;"!B10:B1000"),$B137,INDIRECT(Equipo!$G$4&amp;"!"&amp;ADDRESS(10,COLUMN(H$9)+10)&amp;":"&amp;ADDRESS(1000,COLUMN(H$9)+10)))
))</f>
        <v>-</v>
      </c>
      <c r="I137" s="19" t="str">
        <f t="array" ref="I137">IF(ISBLANK(Tareas!$B133),"-",
SUM(
SUMIF(INDIRECT(Equipo!$C$4&amp;"!B10:B1000"),$B137,INDIRECT(Equipo!$C$4&amp;"!"&amp;ADDRESS(10,COLUMN(I$9)+10)&amp;":"&amp;ADDRESS(1000,COLUMN(I$9)+10))),
SUMIF(INDIRECT(Equipo!$D$4&amp;"!B10:B1000"),$B137,INDIRECT(Equipo!$D$4&amp;"!"&amp;ADDRESS(10,COLUMN(I$9)+10)&amp;":"&amp;ADDRESS(1000,COLUMN(I$9)+10))),
SUMIF(INDIRECT(Equipo!$E$4&amp;"!B10:B1000"),$B137,INDIRECT(Equipo!$E$4&amp;"!"&amp;ADDRESS(10,COLUMN(I$9)+10)&amp;":"&amp;ADDRESS(1000,COLUMN(I$9)+10))),
SUMIF(INDIRECT(Equipo!$F$4&amp;"!B10:B1000"),$B137,INDIRECT(Equipo!$F$4&amp;"!"&amp;ADDRESS(10,COLUMN(I$9)+10)&amp;":"&amp;ADDRESS(1000,COLUMN(I$9)+10))),
SUMIF(INDIRECT(Equipo!$G$4&amp;"!B10:B1000"),$B137,INDIRECT(Equipo!$G$4&amp;"!"&amp;ADDRESS(10,COLUMN(I$9)+10)&amp;":"&amp;ADDRESS(1000,COLUMN(I$9)+10)))
))</f>
        <v>-</v>
      </c>
      <c r="J137" s="19" t="str">
        <f t="array" ref="J137">IF(ISBLANK(Tareas!$B133),"-",
SUM(
SUMIF(INDIRECT(Equipo!$C$4&amp;"!B10:B1000"),$B137,INDIRECT(Equipo!$C$4&amp;"!"&amp;ADDRESS(10,COLUMN(J$9)+10)&amp;":"&amp;ADDRESS(1000,COLUMN(J$9)+10))),
SUMIF(INDIRECT(Equipo!$D$4&amp;"!B10:B1000"),$B137,INDIRECT(Equipo!$D$4&amp;"!"&amp;ADDRESS(10,COLUMN(J$9)+10)&amp;":"&amp;ADDRESS(1000,COLUMN(J$9)+10))),
SUMIF(INDIRECT(Equipo!$E$4&amp;"!B10:B1000"),$B137,INDIRECT(Equipo!$E$4&amp;"!"&amp;ADDRESS(10,COLUMN(J$9)+10)&amp;":"&amp;ADDRESS(1000,COLUMN(J$9)+10))),
SUMIF(INDIRECT(Equipo!$F$4&amp;"!B10:B1000"),$B137,INDIRECT(Equipo!$F$4&amp;"!"&amp;ADDRESS(10,COLUMN(J$9)+10)&amp;":"&amp;ADDRESS(1000,COLUMN(J$9)+10))),
SUMIF(INDIRECT(Equipo!$G$4&amp;"!B10:B1000"),$B137,INDIRECT(Equipo!$G$4&amp;"!"&amp;ADDRESS(10,COLUMN(J$9)+10)&amp;":"&amp;ADDRESS(1000,COLUMN(J$9)+10)))
))</f>
        <v>-</v>
      </c>
      <c r="K137" s="19" t="str">
        <f t="array" ref="K137">IF(ISBLANK(Tareas!$B133),"-",
SUM(
SUMIF(INDIRECT(Equipo!$C$4&amp;"!B10:B1000"),$B137,INDIRECT(Equipo!$C$4&amp;"!"&amp;ADDRESS(10,COLUMN(K$9)+10)&amp;":"&amp;ADDRESS(1000,COLUMN(K$9)+10))),
SUMIF(INDIRECT(Equipo!$D$4&amp;"!B10:B1000"),$B137,INDIRECT(Equipo!$D$4&amp;"!"&amp;ADDRESS(10,COLUMN(K$9)+10)&amp;":"&amp;ADDRESS(1000,COLUMN(K$9)+10))),
SUMIF(INDIRECT(Equipo!$E$4&amp;"!B10:B1000"),$B137,INDIRECT(Equipo!$E$4&amp;"!"&amp;ADDRESS(10,COLUMN(K$9)+10)&amp;":"&amp;ADDRESS(1000,COLUMN(K$9)+10))),
SUMIF(INDIRECT(Equipo!$F$4&amp;"!B10:B1000"),$B137,INDIRECT(Equipo!$F$4&amp;"!"&amp;ADDRESS(10,COLUMN(K$9)+10)&amp;":"&amp;ADDRESS(1000,COLUMN(K$9)+10))),
SUMIF(INDIRECT(Equipo!$G$4&amp;"!B10:B1000"),$B137,INDIRECT(Equipo!$G$4&amp;"!"&amp;ADDRESS(10,COLUMN(K$9)+10)&amp;":"&amp;ADDRESS(1000,COLUMN(K$9)+10)))
))</f>
        <v>-</v>
      </c>
    </row>
    <row r="138" ht="15.75" customHeight="1">
      <c r="C138" s="19" t="str">
        <f>IF(ISBLANK(Tareas!$B134),"-",SUM(D138:K138))</f>
        <v>-</v>
      </c>
      <c r="D138" s="19" t="str">
        <f t="array" ref="D138">IF(ISBLANK(Tareas!$B134),"-",
SUM(
SUMIF(INDIRECT(Equipo!$C$4&amp;"!B10:B1000"),$B138,INDIRECT(Equipo!$C$4&amp;"!"&amp;ADDRESS(10,COLUMN(D$9)+10)&amp;":"&amp;ADDRESS(1000,COLUMN(D$9)+10))),
SUMIF(INDIRECT(Equipo!$D$4&amp;"!B10:B1000"),$B138,INDIRECT(Equipo!$D$4&amp;"!"&amp;ADDRESS(10,COLUMN(D$9)+10)&amp;":"&amp;ADDRESS(1000,COLUMN(D$9)+10))),
SUMIF(INDIRECT(Equipo!$E$4&amp;"!B10:B1000"),$B138,INDIRECT(Equipo!$E$4&amp;"!"&amp;ADDRESS(10,COLUMN(D$9)+10)&amp;":"&amp;ADDRESS(1000,COLUMN(D$9)+10))),
SUMIF(INDIRECT(Equipo!$F$4&amp;"!B10:B1000"),$B138,INDIRECT(Equipo!$F$4&amp;"!"&amp;ADDRESS(10,COLUMN(D$9)+10)&amp;":"&amp;ADDRESS(1000,COLUMN(D$9)+10))),
SUMIF(INDIRECT(Equipo!$G$4&amp;"!B10:B1000"),$B138,INDIRECT(Equipo!$G$4&amp;"!"&amp;ADDRESS(10,COLUMN(D$9)+10)&amp;":"&amp;ADDRESS(1000,COLUMN(D$9)+10)))
))</f>
        <v>-</v>
      </c>
      <c r="E138" s="19" t="str">
        <f t="array" ref="E138">IF(ISBLANK(Tareas!$B134),"-",
SUM(
SUMIF(INDIRECT(Equipo!$C$4&amp;"!B10:B1000"),$B138,INDIRECT(Equipo!$C$4&amp;"!"&amp;ADDRESS(10,COLUMN(E$9)+10)&amp;":"&amp;ADDRESS(1000,COLUMN(E$9)+10))),
SUMIF(INDIRECT(Equipo!$D$4&amp;"!B10:B1000"),$B138,INDIRECT(Equipo!$D$4&amp;"!"&amp;ADDRESS(10,COLUMN(E$9)+10)&amp;":"&amp;ADDRESS(1000,COLUMN(E$9)+10))),
SUMIF(INDIRECT(Equipo!$E$4&amp;"!B10:B1000"),$B138,INDIRECT(Equipo!$E$4&amp;"!"&amp;ADDRESS(10,COLUMN(E$9)+10)&amp;":"&amp;ADDRESS(1000,COLUMN(E$9)+10))),
SUMIF(INDIRECT(Equipo!$F$4&amp;"!B10:B1000"),$B138,INDIRECT(Equipo!$F$4&amp;"!"&amp;ADDRESS(10,COLUMN(E$9)+10)&amp;":"&amp;ADDRESS(1000,COLUMN(E$9)+10))),
SUMIF(INDIRECT(Equipo!$G$4&amp;"!B10:B1000"),$B138,INDIRECT(Equipo!$G$4&amp;"!"&amp;ADDRESS(10,COLUMN(E$9)+10)&amp;":"&amp;ADDRESS(1000,COLUMN(E$9)+10)))
))</f>
        <v>-</v>
      </c>
      <c r="F138" s="19" t="str">
        <f t="array" ref="F138">IF(ISBLANK(Tareas!$B134),"-",
SUM(
SUMIF(INDIRECT(Equipo!$C$4&amp;"!B10:B1000"),$B138,INDIRECT(Equipo!$C$4&amp;"!"&amp;ADDRESS(10,COLUMN(F$9)+10)&amp;":"&amp;ADDRESS(1000,COLUMN(F$9)+10))),
SUMIF(INDIRECT(Equipo!$D$4&amp;"!B10:B1000"),$B138,INDIRECT(Equipo!$D$4&amp;"!"&amp;ADDRESS(10,COLUMN(F$9)+10)&amp;":"&amp;ADDRESS(1000,COLUMN(F$9)+10))),
SUMIF(INDIRECT(Equipo!$E$4&amp;"!B10:B1000"),$B138,INDIRECT(Equipo!$E$4&amp;"!"&amp;ADDRESS(10,COLUMN(F$9)+10)&amp;":"&amp;ADDRESS(1000,COLUMN(F$9)+10))),
SUMIF(INDIRECT(Equipo!$F$4&amp;"!B10:B1000"),$B138,INDIRECT(Equipo!$F$4&amp;"!"&amp;ADDRESS(10,COLUMN(F$9)+10)&amp;":"&amp;ADDRESS(1000,COLUMN(F$9)+10))),
SUMIF(INDIRECT(Equipo!$G$4&amp;"!B10:B1000"),$B138,INDIRECT(Equipo!$G$4&amp;"!"&amp;ADDRESS(10,COLUMN(F$9)+10)&amp;":"&amp;ADDRESS(1000,COLUMN(F$9)+10)))
))</f>
        <v>-</v>
      </c>
      <c r="G138" s="19" t="str">
        <f t="array" ref="G138">IF(ISBLANK(Tareas!$B134),"-",
SUM(
SUMIF(INDIRECT(Equipo!$C$4&amp;"!B10:B1000"),$B138,INDIRECT(Equipo!$C$4&amp;"!"&amp;ADDRESS(10,COLUMN(G$9)+10)&amp;":"&amp;ADDRESS(1000,COLUMN(G$9)+10))),
SUMIF(INDIRECT(Equipo!$D$4&amp;"!B10:B1000"),$B138,INDIRECT(Equipo!$D$4&amp;"!"&amp;ADDRESS(10,COLUMN(G$9)+10)&amp;":"&amp;ADDRESS(1000,COLUMN(G$9)+10))),
SUMIF(INDIRECT(Equipo!$E$4&amp;"!B10:B1000"),$B138,INDIRECT(Equipo!$E$4&amp;"!"&amp;ADDRESS(10,COLUMN(G$9)+10)&amp;":"&amp;ADDRESS(1000,COLUMN(G$9)+10))),
SUMIF(INDIRECT(Equipo!$F$4&amp;"!B10:B1000"),$B138,INDIRECT(Equipo!$F$4&amp;"!"&amp;ADDRESS(10,COLUMN(G$9)+10)&amp;":"&amp;ADDRESS(1000,COLUMN(G$9)+10))),
SUMIF(INDIRECT(Equipo!$G$4&amp;"!B10:B1000"),$B138,INDIRECT(Equipo!$G$4&amp;"!"&amp;ADDRESS(10,COLUMN(G$9)+10)&amp;":"&amp;ADDRESS(1000,COLUMN(G$9)+10)))
))</f>
        <v>-</v>
      </c>
      <c r="H138" s="19" t="str">
        <f t="array" ref="H138">IF(ISBLANK(Tareas!$B134),"-",
SUM(
SUMIF(INDIRECT(Equipo!$C$4&amp;"!B10:B1000"),$B138,INDIRECT(Equipo!$C$4&amp;"!"&amp;ADDRESS(10,COLUMN(H$9)+10)&amp;":"&amp;ADDRESS(1000,COLUMN(H$9)+10))),
SUMIF(INDIRECT(Equipo!$D$4&amp;"!B10:B1000"),$B138,INDIRECT(Equipo!$D$4&amp;"!"&amp;ADDRESS(10,COLUMN(H$9)+10)&amp;":"&amp;ADDRESS(1000,COLUMN(H$9)+10))),
SUMIF(INDIRECT(Equipo!$E$4&amp;"!B10:B1000"),$B138,INDIRECT(Equipo!$E$4&amp;"!"&amp;ADDRESS(10,COLUMN(H$9)+10)&amp;":"&amp;ADDRESS(1000,COLUMN(H$9)+10))),
SUMIF(INDIRECT(Equipo!$F$4&amp;"!B10:B1000"),$B138,INDIRECT(Equipo!$F$4&amp;"!"&amp;ADDRESS(10,COLUMN(H$9)+10)&amp;":"&amp;ADDRESS(1000,COLUMN(H$9)+10))),
SUMIF(INDIRECT(Equipo!$G$4&amp;"!B10:B1000"),$B138,INDIRECT(Equipo!$G$4&amp;"!"&amp;ADDRESS(10,COLUMN(H$9)+10)&amp;":"&amp;ADDRESS(1000,COLUMN(H$9)+10)))
))</f>
        <v>-</v>
      </c>
      <c r="I138" s="19" t="str">
        <f t="array" ref="I138">IF(ISBLANK(Tareas!$B134),"-",
SUM(
SUMIF(INDIRECT(Equipo!$C$4&amp;"!B10:B1000"),$B138,INDIRECT(Equipo!$C$4&amp;"!"&amp;ADDRESS(10,COLUMN(I$9)+10)&amp;":"&amp;ADDRESS(1000,COLUMN(I$9)+10))),
SUMIF(INDIRECT(Equipo!$D$4&amp;"!B10:B1000"),$B138,INDIRECT(Equipo!$D$4&amp;"!"&amp;ADDRESS(10,COLUMN(I$9)+10)&amp;":"&amp;ADDRESS(1000,COLUMN(I$9)+10))),
SUMIF(INDIRECT(Equipo!$E$4&amp;"!B10:B1000"),$B138,INDIRECT(Equipo!$E$4&amp;"!"&amp;ADDRESS(10,COLUMN(I$9)+10)&amp;":"&amp;ADDRESS(1000,COLUMN(I$9)+10))),
SUMIF(INDIRECT(Equipo!$F$4&amp;"!B10:B1000"),$B138,INDIRECT(Equipo!$F$4&amp;"!"&amp;ADDRESS(10,COLUMN(I$9)+10)&amp;":"&amp;ADDRESS(1000,COLUMN(I$9)+10))),
SUMIF(INDIRECT(Equipo!$G$4&amp;"!B10:B1000"),$B138,INDIRECT(Equipo!$G$4&amp;"!"&amp;ADDRESS(10,COLUMN(I$9)+10)&amp;":"&amp;ADDRESS(1000,COLUMN(I$9)+10)))
))</f>
        <v>-</v>
      </c>
      <c r="J138" s="19" t="str">
        <f t="array" ref="J138">IF(ISBLANK(Tareas!$B134),"-",
SUM(
SUMIF(INDIRECT(Equipo!$C$4&amp;"!B10:B1000"),$B138,INDIRECT(Equipo!$C$4&amp;"!"&amp;ADDRESS(10,COLUMN(J$9)+10)&amp;":"&amp;ADDRESS(1000,COLUMN(J$9)+10))),
SUMIF(INDIRECT(Equipo!$D$4&amp;"!B10:B1000"),$B138,INDIRECT(Equipo!$D$4&amp;"!"&amp;ADDRESS(10,COLUMN(J$9)+10)&amp;":"&amp;ADDRESS(1000,COLUMN(J$9)+10))),
SUMIF(INDIRECT(Equipo!$E$4&amp;"!B10:B1000"),$B138,INDIRECT(Equipo!$E$4&amp;"!"&amp;ADDRESS(10,COLUMN(J$9)+10)&amp;":"&amp;ADDRESS(1000,COLUMN(J$9)+10))),
SUMIF(INDIRECT(Equipo!$F$4&amp;"!B10:B1000"),$B138,INDIRECT(Equipo!$F$4&amp;"!"&amp;ADDRESS(10,COLUMN(J$9)+10)&amp;":"&amp;ADDRESS(1000,COLUMN(J$9)+10))),
SUMIF(INDIRECT(Equipo!$G$4&amp;"!B10:B1000"),$B138,INDIRECT(Equipo!$G$4&amp;"!"&amp;ADDRESS(10,COLUMN(J$9)+10)&amp;":"&amp;ADDRESS(1000,COLUMN(J$9)+10)))
))</f>
        <v>-</v>
      </c>
      <c r="K138" s="19" t="str">
        <f t="array" ref="K138">IF(ISBLANK(Tareas!$B134),"-",
SUM(
SUMIF(INDIRECT(Equipo!$C$4&amp;"!B10:B1000"),$B138,INDIRECT(Equipo!$C$4&amp;"!"&amp;ADDRESS(10,COLUMN(K$9)+10)&amp;":"&amp;ADDRESS(1000,COLUMN(K$9)+10))),
SUMIF(INDIRECT(Equipo!$D$4&amp;"!B10:B1000"),$B138,INDIRECT(Equipo!$D$4&amp;"!"&amp;ADDRESS(10,COLUMN(K$9)+10)&amp;":"&amp;ADDRESS(1000,COLUMN(K$9)+10))),
SUMIF(INDIRECT(Equipo!$E$4&amp;"!B10:B1000"),$B138,INDIRECT(Equipo!$E$4&amp;"!"&amp;ADDRESS(10,COLUMN(K$9)+10)&amp;":"&amp;ADDRESS(1000,COLUMN(K$9)+10))),
SUMIF(INDIRECT(Equipo!$F$4&amp;"!B10:B1000"),$B138,INDIRECT(Equipo!$F$4&amp;"!"&amp;ADDRESS(10,COLUMN(K$9)+10)&amp;":"&amp;ADDRESS(1000,COLUMN(K$9)+10))),
SUMIF(INDIRECT(Equipo!$G$4&amp;"!B10:B1000"),$B138,INDIRECT(Equipo!$G$4&amp;"!"&amp;ADDRESS(10,COLUMN(K$9)+10)&amp;":"&amp;ADDRESS(1000,COLUMN(K$9)+10)))
))</f>
        <v>-</v>
      </c>
    </row>
    <row r="139" ht="15.75" customHeight="1">
      <c r="C139" s="19" t="str">
        <f>IF(ISBLANK(Tareas!$B135),"-",SUM(D139:K139))</f>
        <v>-</v>
      </c>
      <c r="D139" s="19" t="str">
        <f t="array" ref="D139">IF(ISBLANK(Tareas!$B135),"-",
SUM(
SUMIF(INDIRECT(Equipo!$C$4&amp;"!B10:B1000"),$B139,INDIRECT(Equipo!$C$4&amp;"!"&amp;ADDRESS(10,COLUMN(D$9)+10)&amp;":"&amp;ADDRESS(1000,COLUMN(D$9)+10))),
SUMIF(INDIRECT(Equipo!$D$4&amp;"!B10:B1000"),$B139,INDIRECT(Equipo!$D$4&amp;"!"&amp;ADDRESS(10,COLUMN(D$9)+10)&amp;":"&amp;ADDRESS(1000,COLUMN(D$9)+10))),
SUMIF(INDIRECT(Equipo!$E$4&amp;"!B10:B1000"),$B139,INDIRECT(Equipo!$E$4&amp;"!"&amp;ADDRESS(10,COLUMN(D$9)+10)&amp;":"&amp;ADDRESS(1000,COLUMN(D$9)+10))),
SUMIF(INDIRECT(Equipo!$F$4&amp;"!B10:B1000"),$B139,INDIRECT(Equipo!$F$4&amp;"!"&amp;ADDRESS(10,COLUMN(D$9)+10)&amp;":"&amp;ADDRESS(1000,COLUMN(D$9)+10))),
SUMIF(INDIRECT(Equipo!$G$4&amp;"!B10:B1000"),$B139,INDIRECT(Equipo!$G$4&amp;"!"&amp;ADDRESS(10,COLUMN(D$9)+10)&amp;":"&amp;ADDRESS(1000,COLUMN(D$9)+10)))
))</f>
        <v>-</v>
      </c>
      <c r="E139" s="19" t="str">
        <f t="array" ref="E139">IF(ISBLANK(Tareas!$B135),"-",
SUM(
SUMIF(INDIRECT(Equipo!$C$4&amp;"!B10:B1000"),$B139,INDIRECT(Equipo!$C$4&amp;"!"&amp;ADDRESS(10,COLUMN(E$9)+10)&amp;":"&amp;ADDRESS(1000,COLUMN(E$9)+10))),
SUMIF(INDIRECT(Equipo!$D$4&amp;"!B10:B1000"),$B139,INDIRECT(Equipo!$D$4&amp;"!"&amp;ADDRESS(10,COLUMN(E$9)+10)&amp;":"&amp;ADDRESS(1000,COLUMN(E$9)+10))),
SUMIF(INDIRECT(Equipo!$E$4&amp;"!B10:B1000"),$B139,INDIRECT(Equipo!$E$4&amp;"!"&amp;ADDRESS(10,COLUMN(E$9)+10)&amp;":"&amp;ADDRESS(1000,COLUMN(E$9)+10))),
SUMIF(INDIRECT(Equipo!$F$4&amp;"!B10:B1000"),$B139,INDIRECT(Equipo!$F$4&amp;"!"&amp;ADDRESS(10,COLUMN(E$9)+10)&amp;":"&amp;ADDRESS(1000,COLUMN(E$9)+10))),
SUMIF(INDIRECT(Equipo!$G$4&amp;"!B10:B1000"),$B139,INDIRECT(Equipo!$G$4&amp;"!"&amp;ADDRESS(10,COLUMN(E$9)+10)&amp;":"&amp;ADDRESS(1000,COLUMN(E$9)+10)))
))</f>
        <v>-</v>
      </c>
      <c r="F139" s="19" t="str">
        <f t="array" ref="F139">IF(ISBLANK(Tareas!$B135),"-",
SUM(
SUMIF(INDIRECT(Equipo!$C$4&amp;"!B10:B1000"),$B139,INDIRECT(Equipo!$C$4&amp;"!"&amp;ADDRESS(10,COLUMN(F$9)+10)&amp;":"&amp;ADDRESS(1000,COLUMN(F$9)+10))),
SUMIF(INDIRECT(Equipo!$D$4&amp;"!B10:B1000"),$B139,INDIRECT(Equipo!$D$4&amp;"!"&amp;ADDRESS(10,COLUMN(F$9)+10)&amp;":"&amp;ADDRESS(1000,COLUMN(F$9)+10))),
SUMIF(INDIRECT(Equipo!$E$4&amp;"!B10:B1000"),$B139,INDIRECT(Equipo!$E$4&amp;"!"&amp;ADDRESS(10,COLUMN(F$9)+10)&amp;":"&amp;ADDRESS(1000,COLUMN(F$9)+10))),
SUMIF(INDIRECT(Equipo!$F$4&amp;"!B10:B1000"),$B139,INDIRECT(Equipo!$F$4&amp;"!"&amp;ADDRESS(10,COLUMN(F$9)+10)&amp;":"&amp;ADDRESS(1000,COLUMN(F$9)+10))),
SUMIF(INDIRECT(Equipo!$G$4&amp;"!B10:B1000"),$B139,INDIRECT(Equipo!$G$4&amp;"!"&amp;ADDRESS(10,COLUMN(F$9)+10)&amp;":"&amp;ADDRESS(1000,COLUMN(F$9)+10)))
))</f>
        <v>-</v>
      </c>
      <c r="G139" s="19" t="str">
        <f t="array" ref="G139">IF(ISBLANK(Tareas!$B135),"-",
SUM(
SUMIF(INDIRECT(Equipo!$C$4&amp;"!B10:B1000"),$B139,INDIRECT(Equipo!$C$4&amp;"!"&amp;ADDRESS(10,COLUMN(G$9)+10)&amp;":"&amp;ADDRESS(1000,COLUMN(G$9)+10))),
SUMIF(INDIRECT(Equipo!$D$4&amp;"!B10:B1000"),$B139,INDIRECT(Equipo!$D$4&amp;"!"&amp;ADDRESS(10,COLUMN(G$9)+10)&amp;":"&amp;ADDRESS(1000,COLUMN(G$9)+10))),
SUMIF(INDIRECT(Equipo!$E$4&amp;"!B10:B1000"),$B139,INDIRECT(Equipo!$E$4&amp;"!"&amp;ADDRESS(10,COLUMN(G$9)+10)&amp;":"&amp;ADDRESS(1000,COLUMN(G$9)+10))),
SUMIF(INDIRECT(Equipo!$F$4&amp;"!B10:B1000"),$B139,INDIRECT(Equipo!$F$4&amp;"!"&amp;ADDRESS(10,COLUMN(G$9)+10)&amp;":"&amp;ADDRESS(1000,COLUMN(G$9)+10))),
SUMIF(INDIRECT(Equipo!$G$4&amp;"!B10:B1000"),$B139,INDIRECT(Equipo!$G$4&amp;"!"&amp;ADDRESS(10,COLUMN(G$9)+10)&amp;":"&amp;ADDRESS(1000,COLUMN(G$9)+10)))
))</f>
        <v>-</v>
      </c>
      <c r="H139" s="19" t="str">
        <f t="array" ref="H139">IF(ISBLANK(Tareas!$B135),"-",
SUM(
SUMIF(INDIRECT(Equipo!$C$4&amp;"!B10:B1000"),$B139,INDIRECT(Equipo!$C$4&amp;"!"&amp;ADDRESS(10,COLUMN(H$9)+10)&amp;":"&amp;ADDRESS(1000,COLUMN(H$9)+10))),
SUMIF(INDIRECT(Equipo!$D$4&amp;"!B10:B1000"),$B139,INDIRECT(Equipo!$D$4&amp;"!"&amp;ADDRESS(10,COLUMN(H$9)+10)&amp;":"&amp;ADDRESS(1000,COLUMN(H$9)+10))),
SUMIF(INDIRECT(Equipo!$E$4&amp;"!B10:B1000"),$B139,INDIRECT(Equipo!$E$4&amp;"!"&amp;ADDRESS(10,COLUMN(H$9)+10)&amp;":"&amp;ADDRESS(1000,COLUMN(H$9)+10))),
SUMIF(INDIRECT(Equipo!$F$4&amp;"!B10:B1000"),$B139,INDIRECT(Equipo!$F$4&amp;"!"&amp;ADDRESS(10,COLUMN(H$9)+10)&amp;":"&amp;ADDRESS(1000,COLUMN(H$9)+10))),
SUMIF(INDIRECT(Equipo!$G$4&amp;"!B10:B1000"),$B139,INDIRECT(Equipo!$G$4&amp;"!"&amp;ADDRESS(10,COLUMN(H$9)+10)&amp;":"&amp;ADDRESS(1000,COLUMN(H$9)+10)))
))</f>
        <v>-</v>
      </c>
      <c r="I139" s="19" t="str">
        <f t="array" ref="I139">IF(ISBLANK(Tareas!$B135),"-",
SUM(
SUMIF(INDIRECT(Equipo!$C$4&amp;"!B10:B1000"),$B139,INDIRECT(Equipo!$C$4&amp;"!"&amp;ADDRESS(10,COLUMN(I$9)+10)&amp;":"&amp;ADDRESS(1000,COLUMN(I$9)+10))),
SUMIF(INDIRECT(Equipo!$D$4&amp;"!B10:B1000"),$B139,INDIRECT(Equipo!$D$4&amp;"!"&amp;ADDRESS(10,COLUMN(I$9)+10)&amp;":"&amp;ADDRESS(1000,COLUMN(I$9)+10))),
SUMIF(INDIRECT(Equipo!$E$4&amp;"!B10:B1000"),$B139,INDIRECT(Equipo!$E$4&amp;"!"&amp;ADDRESS(10,COLUMN(I$9)+10)&amp;":"&amp;ADDRESS(1000,COLUMN(I$9)+10))),
SUMIF(INDIRECT(Equipo!$F$4&amp;"!B10:B1000"),$B139,INDIRECT(Equipo!$F$4&amp;"!"&amp;ADDRESS(10,COLUMN(I$9)+10)&amp;":"&amp;ADDRESS(1000,COLUMN(I$9)+10))),
SUMIF(INDIRECT(Equipo!$G$4&amp;"!B10:B1000"),$B139,INDIRECT(Equipo!$G$4&amp;"!"&amp;ADDRESS(10,COLUMN(I$9)+10)&amp;":"&amp;ADDRESS(1000,COLUMN(I$9)+10)))
))</f>
        <v>-</v>
      </c>
      <c r="J139" s="19" t="str">
        <f t="array" ref="J139">IF(ISBLANK(Tareas!$B135),"-",
SUM(
SUMIF(INDIRECT(Equipo!$C$4&amp;"!B10:B1000"),$B139,INDIRECT(Equipo!$C$4&amp;"!"&amp;ADDRESS(10,COLUMN(J$9)+10)&amp;":"&amp;ADDRESS(1000,COLUMN(J$9)+10))),
SUMIF(INDIRECT(Equipo!$D$4&amp;"!B10:B1000"),$B139,INDIRECT(Equipo!$D$4&amp;"!"&amp;ADDRESS(10,COLUMN(J$9)+10)&amp;":"&amp;ADDRESS(1000,COLUMN(J$9)+10))),
SUMIF(INDIRECT(Equipo!$E$4&amp;"!B10:B1000"),$B139,INDIRECT(Equipo!$E$4&amp;"!"&amp;ADDRESS(10,COLUMN(J$9)+10)&amp;":"&amp;ADDRESS(1000,COLUMN(J$9)+10))),
SUMIF(INDIRECT(Equipo!$F$4&amp;"!B10:B1000"),$B139,INDIRECT(Equipo!$F$4&amp;"!"&amp;ADDRESS(10,COLUMN(J$9)+10)&amp;":"&amp;ADDRESS(1000,COLUMN(J$9)+10))),
SUMIF(INDIRECT(Equipo!$G$4&amp;"!B10:B1000"),$B139,INDIRECT(Equipo!$G$4&amp;"!"&amp;ADDRESS(10,COLUMN(J$9)+10)&amp;":"&amp;ADDRESS(1000,COLUMN(J$9)+10)))
))</f>
        <v>-</v>
      </c>
      <c r="K139" s="19" t="str">
        <f t="array" ref="K139">IF(ISBLANK(Tareas!$B135),"-",
SUM(
SUMIF(INDIRECT(Equipo!$C$4&amp;"!B10:B1000"),$B139,INDIRECT(Equipo!$C$4&amp;"!"&amp;ADDRESS(10,COLUMN(K$9)+10)&amp;":"&amp;ADDRESS(1000,COLUMN(K$9)+10))),
SUMIF(INDIRECT(Equipo!$D$4&amp;"!B10:B1000"),$B139,INDIRECT(Equipo!$D$4&amp;"!"&amp;ADDRESS(10,COLUMN(K$9)+10)&amp;":"&amp;ADDRESS(1000,COLUMN(K$9)+10))),
SUMIF(INDIRECT(Equipo!$E$4&amp;"!B10:B1000"),$B139,INDIRECT(Equipo!$E$4&amp;"!"&amp;ADDRESS(10,COLUMN(K$9)+10)&amp;":"&amp;ADDRESS(1000,COLUMN(K$9)+10))),
SUMIF(INDIRECT(Equipo!$F$4&amp;"!B10:B1000"),$B139,INDIRECT(Equipo!$F$4&amp;"!"&amp;ADDRESS(10,COLUMN(K$9)+10)&amp;":"&amp;ADDRESS(1000,COLUMN(K$9)+10))),
SUMIF(INDIRECT(Equipo!$G$4&amp;"!B10:B1000"),$B139,INDIRECT(Equipo!$G$4&amp;"!"&amp;ADDRESS(10,COLUMN(K$9)+10)&amp;":"&amp;ADDRESS(1000,COLUMN(K$9)+10)))
))</f>
        <v>-</v>
      </c>
    </row>
    <row r="140" ht="15.75" customHeight="1">
      <c r="C140" s="19" t="str">
        <f>IF(ISBLANK(Tareas!$B136),"-",SUM(D140:K140))</f>
        <v>-</v>
      </c>
      <c r="D140" s="19" t="str">
        <f t="array" ref="D140">IF(ISBLANK(Tareas!$B136),"-",
SUM(
SUMIF(INDIRECT(Equipo!$C$4&amp;"!B10:B1000"),$B140,INDIRECT(Equipo!$C$4&amp;"!"&amp;ADDRESS(10,COLUMN(D$9)+10)&amp;":"&amp;ADDRESS(1000,COLUMN(D$9)+10))),
SUMIF(INDIRECT(Equipo!$D$4&amp;"!B10:B1000"),$B140,INDIRECT(Equipo!$D$4&amp;"!"&amp;ADDRESS(10,COLUMN(D$9)+10)&amp;":"&amp;ADDRESS(1000,COLUMN(D$9)+10))),
SUMIF(INDIRECT(Equipo!$E$4&amp;"!B10:B1000"),$B140,INDIRECT(Equipo!$E$4&amp;"!"&amp;ADDRESS(10,COLUMN(D$9)+10)&amp;":"&amp;ADDRESS(1000,COLUMN(D$9)+10))),
SUMIF(INDIRECT(Equipo!$F$4&amp;"!B10:B1000"),$B140,INDIRECT(Equipo!$F$4&amp;"!"&amp;ADDRESS(10,COLUMN(D$9)+10)&amp;":"&amp;ADDRESS(1000,COLUMN(D$9)+10))),
SUMIF(INDIRECT(Equipo!$G$4&amp;"!B10:B1000"),$B140,INDIRECT(Equipo!$G$4&amp;"!"&amp;ADDRESS(10,COLUMN(D$9)+10)&amp;":"&amp;ADDRESS(1000,COLUMN(D$9)+10)))
))</f>
        <v>-</v>
      </c>
      <c r="E140" s="19" t="str">
        <f t="array" ref="E140">IF(ISBLANK(Tareas!$B136),"-",
SUM(
SUMIF(INDIRECT(Equipo!$C$4&amp;"!B10:B1000"),$B140,INDIRECT(Equipo!$C$4&amp;"!"&amp;ADDRESS(10,COLUMN(E$9)+10)&amp;":"&amp;ADDRESS(1000,COLUMN(E$9)+10))),
SUMIF(INDIRECT(Equipo!$D$4&amp;"!B10:B1000"),$B140,INDIRECT(Equipo!$D$4&amp;"!"&amp;ADDRESS(10,COLUMN(E$9)+10)&amp;":"&amp;ADDRESS(1000,COLUMN(E$9)+10))),
SUMIF(INDIRECT(Equipo!$E$4&amp;"!B10:B1000"),$B140,INDIRECT(Equipo!$E$4&amp;"!"&amp;ADDRESS(10,COLUMN(E$9)+10)&amp;":"&amp;ADDRESS(1000,COLUMN(E$9)+10))),
SUMIF(INDIRECT(Equipo!$F$4&amp;"!B10:B1000"),$B140,INDIRECT(Equipo!$F$4&amp;"!"&amp;ADDRESS(10,COLUMN(E$9)+10)&amp;":"&amp;ADDRESS(1000,COLUMN(E$9)+10))),
SUMIF(INDIRECT(Equipo!$G$4&amp;"!B10:B1000"),$B140,INDIRECT(Equipo!$G$4&amp;"!"&amp;ADDRESS(10,COLUMN(E$9)+10)&amp;":"&amp;ADDRESS(1000,COLUMN(E$9)+10)))
))</f>
        <v>-</v>
      </c>
      <c r="F140" s="19" t="str">
        <f t="array" ref="F140">IF(ISBLANK(Tareas!$B136),"-",
SUM(
SUMIF(INDIRECT(Equipo!$C$4&amp;"!B10:B1000"),$B140,INDIRECT(Equipo!$C$4&amp;"!"&amp;ADDRESS(10,COLUMN(F$9)+10)&amp;":"&amp;ADDRESS(1000,COLUMN(F$9)+10))),
SUMIF(INDIRECT(Equipo!$D$4&amp;"!B10:B1000"),$B140,INDIRECT(Equipo!$D$4&amp;"!"&amp;ADDRESS(10,COLUMN(F$9)+10)&amp;":"&amp;ADDRESS(1000,COLUMN(F$9)+10))),
SUMIF(INDIRECT(Equipo!$E$4&amp;"!B10:B1000"),$B140,INDIRECT(Equipo!$E$4&amp;"!"&amp;ADDRESS(10,COLUMN(F$9)+10)&amp;":"&amp;ADDRESS(1000,COLUMN(F$9)+10))),
SUMIF(INDIRECT(Equipo!$F$4&amp;"!B10:B1000"),$B140,INDIRECT(Equipo!$F$4&amp;"!"&amp;ADDRESS(10,COLUMN(F$9)+10)&amp;":"&amp;ADDRESS(1000,COLUMN(F$9)+10))),
SUMIF(INDIRECT(Equipo!$G$4&amp;"!B10:B1000"),$B140,INDIRECT(Equipo!$G$4&amp;"!"&amp;ADDRESS(10,COLUMN(F$9)+10)&amp;":"&amp;ADDRESS(1000,COLUMN(F$9)+10)))
))</f>
        <v>-</v>
      </c>
      <c r="G140" s="19" t="str">
        <f t="array" ref="G140">IF(ISBLANK(Tareas!$B136),"-",
SUM(
SUMIF(INDIRECT(Equipo!$C$4&amp;"!B10:B1000"),$B140,INDIRECT(Equipo!$C$4&amp;"!"&amp;ADDRESS(10,COLUMN(G$9)+10)&amp;":"&amp;ADDRESS(1000,COLUMN(G$9)+10))),
SUMIF(INDIRECT(Equipo!$D$4&amp;"!B10:B1000"),$B140,INDIRECT(Equipo!$D$4&amp;"!"&amp;ADDRESS(10,COLUMN(G$9)+10)&amp;":"&amp;ADDRESS(1000,COLUMN(G$9)+10))),
SUMIF(INDIRECT(Equipo!$E$4&amp;"!B10:B1000"),$B140,INDIRECT(Equipo!$E$4&amp;"!"&amp;ADDRESS(10,COLUMN(G$9)+10)&amp;":"&amp;ADDRESS(1000,COLUMN(G$9)+10))),
SUMIF(INDIRECT(Equipo!$F$4&amp;"!B10:B1000"),$B140,INDIRECT(Equipo!$F$4&amp;"!"&amp;ADDRESS(10,COLUMN(G$9)+10)&amp;":"&amp;ADDRESS(1000,COLUMN(G$9)+10))),
SUMIF(INDIRECT(Equipo!$G$4&amp;"!B10:B1000"),$B140,INDIRECT(Equipo!$G$4&amp;"!"&amp;ADDRESS(10,COLUMN(G$9)+10)&amp;":"&amp;ADDRESS(1000,COLUMN(G$9)+10)))
))</f>
        <v>-</v>
      </c>
      <c r="H140" s="19" t="str">
        <f t="array" ref="H140">IF(ISBLANK(Tareas!$B136),"-",
SUM(
SUMIF(INDIRECT(Equipo!$C$4&amp;"!B10:B1000"),$B140,INDIRECT(Equipo!$C$4&amp;"!"&amp;ADDRESS(10,COLUMN(H$9)+10)&amp;":"&amp;ADDRESS(1000,COLUMN(H$9)+10))),
SUMIF(INDIRECT(Equipo!$D$4&amp;"!B10:B1000"),$B140,INDIRECT(Equipo!$D$4&amp;"!"&amp;ADDRESS(10,COLUMN(H$9)+10)&amp;":"&amp;ADDRESS(1000,COLUMN(H$9)+10))),
SUMIF(INDIRECT(Equipo!$E$4&amp;"!B10:B1000"),$B140,INDIRECT(Equipo!$E$4&amp;"!"&amp;ADDRESS(10,COLUMN(H$9)+10)&amp;":"&amp;ADDRESS(1000,COLUMN(H$9)+10))),
SUMIF(INDIRECT(Equipo!$F$4&amp;"!B10:B1000"),$B140,INDIRECT(Equipo!$F$4&amp;"!"&amp;ADDRESS(10,COLUMN(H$9)+10)&amp;":"&amp;ADDRESS(1000,COLUMN(H$9)+10))),
SUMIF(INDIRECT(Equipo!$G$4&amp;"!B10:B1000"),$B140,INDIRECT(Equipo!$G$4&amp;"!"&amp;ADDRESS(10,COLUMN(H$9)+10)&amp;":"&amp;ADDRESS(1000,COLUMN(H$9)+10)))
))</f>
        <v>-</v>
      </c>
      <c r="I140" s="19" t="str">
        <f t="array" ref="I140">IF(ISBLANK(Tareas!$B136),"-",
SUM(
SUMIF(INDIRECT(Equipo!$C$4&amp;"!B10:B1000"),$B140,INDIRECT(Equipo!$C$4&amp;"!"&amp;ADDRESS(10,COLUMN(I$9)+10)&amp;":"&amp;ADDRESS(1000,COLUMN(I$9)+10))),
SUMIF(INDIRECT(Equipo!$D$4&amp;"!B10:B1000"),$B140,INDIRECT(Equipo!$D$4&amp;"!"&amp;ADDRESS(10,COLUMN(I$9)+10)&amp;":"&amp;ADDRESS(1000,COLUMN(I$9)+10))),
SUMIF(INDIRECT(Equipo!$E$4&amp;"!B10:B1000"),$B140,INDIRECT(Equipo!$E$4&amp;"!"&amp;ADDRESS(10,COLUMN(I$9)+10)&amp;":"&amp;ADDRESS(1000,COLUMN(I$9)+10))),
SUMIF(INDIRECT(Equipo!$F$4&amp;"!B10:B1000"),$B140,INDIRECT(Equipo!$F$4&amp;"!"&amp;ADDRESS(10,COLUMN(I$9)+10)&amp;":"&amp;ADDRESS(1000,COLUMN(I$9)+10))),
SUMIF(INDIRECT(Equipo!$G$4&amp;"!B10:B1000"),$B140,INDIRECT(Equipo!$G$4&amp;"!"&amp;ADDRESS(10,COLUMN(I$9)+10)&amp;":"&amp;ADDRESS(1000,COLUMN(I$9)+10)))
))</f>
        <v>-</v>
      </c>
      <c r="J140" s="19" t="str">
        <f t="array" ref="J140">IF(ISBLANK(Tareas!$B136),"-",
SUM(
SUMIF(INDIRECT(Equipo!$C$4&amp;"!B10:B1000"),$B140,INDIRECT(Equipo!$C$4&amp;"!"&amp;ADDRESS(10,COLUMN(J$9)+10)&amp;":"&amp;ADDRESS(1000,COLUMN(J$9)+10))),
SUMIF(INDIRECT(Equipo!$D$4&amp;"!B10:B1000"),$B140,INDIRECT(Equipo!$D$4&amp;"!"&amp;ADDRESS(10,COLUMN(J$9)+10)&amp;":"&amp;ADDRESS(1000,COLUMN(J$9)+10))),
SUMIF(INDIRECT(Equipo!$E$4&amp;"!B10:B1000"),$B140,INDIRECT(Equipo!$E$4&amp;"!"&amp;ADDRESS(10,COLUMN(J$9)+10)&amp;":"&amp;ADDRESS(1000,COLUMN(J$9)+10))),
SUMIF(INDIRECT(Equipo!$F$4&amp;"!B10:B1000"),$B140,INDIRECT(Equipo!$F$4&amp;"!"&amp;ADDRESS(10,COLUMN(J$9)+10)&amp;":"&amp;ADDRESS(1000,COLUMN(J$9)+10))),
SUMIF(INDIRECT(Equipo!$G$4&amp;"!B10:B1000"),$B140,INDIRECT(Equipo!$G$4&amp;"!"&amp;ADDRESS(10,COLUMN(J$9)+10)&amp;":"&amp;ADDRESS(1000,COLUMN(J$9)+10)))
))</f>
        <v>-</v>
      </c>
      <c r="K140" s="19" t="str">
        <f t="array" ref="K140">IF(ISBLANK(Tareas!$B136),"-",
SUM(
SUMIF(INDIRECT(Equipo!$C$4&amp;"!B10:B1000"),$B140,INDIRECT(Equipo!$C$4&amp;"!"&amp;ADDRESS(10,COLUMN(K$9)+10)&amp;":"&amp;ADDRESS(1000,COLUMN(K$9)+10))),
SUMIF(INDIRECT(Equipo!$D$4&amp;"!B10:B1000"),$B140,INDIRECT(Equipo!$D$4&amp;"!"&amp;ADDRESS(10,COLUMN(K$9)+10)&amp;":"&amp;ADDRESS(1000,COLUMN(K$9)+10))),
SUMIF(INDIRECT(Equipo!$E$4&amp;"!B10:B1000"),$B140,INDIRECT(Equipo!$E$4&amp;"!"&amp;ADDRESS(10,COLUMN(K$9)+10)&amp;":"&amp;ADDRESS(1000,COLUMN(K$9)+10))),
SUMIF(INDIRECT(Equipo!$F$4&amp;"!B10:B1000"),$B140,INDIRECT(Equipo!$F$4&amp;"!"&amp;ADDRESS(10,COLUMN(K$9)+10)&amp;":"&amp;ADDRESS(1000,COLUMN(K$9)+10))),
SUMIF(INDIRECT(Equipo!$G$4&amp;"!B10:B1000"),$B140,INDIRECT(Equipo!$G$4&amp;"!"&amp;ADDRESS(10,COLUMN(K$9)+10)&amp;":"&amp;ADDRESS(1000,COLUMN(K$9)+10)))
))</f>
        <v>-</v>
      </c>
    </row>
    <row r="141" ht="15.75" customHeight="1">
      <c r="C141" s="19" t="str">
        <f>IF(ISBLANK(Tareas!$B137),"-",SUM(D141:K141))</f>
        <v>-</v>
      </c>
      <c r="D141" s="19" t="str">
        <f t="array" ref="D141">IF(ISBLANK(Tareas!$B137),"-",
SUM(
SUMIF(INDIRECT(Equipo!$C$4&amp;"!B10:B1000"),$B141,INDIRECT(Equipo!$C$4&amp;"!"&amp;ADDRESS(10,COLUMN(D$9)+10)&amp;":"&amp;ADDRESS(1000,COLUMN(D$9)+10))),
SUMIF(INDIRECT(Equipo!$D$4&amp;"!B10:B1000"),$B141,INDIRECT(Equipo!$D$4&amp;"!"&amp;ADDRESS(10,COLUMN(D$9)+10)&amp;":"&amp;ADDRESS(1000,COLUMN(D$9)+10))),
SUMIF(INDIRECT(Equipo!$E$4&amp;"!B10:B1000"),$B141,INDIRECT(Equipo!$E$4&amp;"!"&amp;ADDRESS(10,COLUMN(D$9)+10)&amp;":"&amp;ADDRESS(1000,COLUMN(D$9)+10))),
SUMIF(INDIRECT(Equipo!$F$4&amp;"!B10:B1000"),$B141,INDIRECT(Equipo!$F$4&amp;"!"&amp;ADDRESS(10,COLUMN(D$9)+10)&amp;":"&amp;ADDRESS(1000,COLUMN(D$9)+10))),
SUMIF(INDIRECT(Equipo!$G$4&amp;"!B10:B1000"),$B141,INDIRECT(Equipo!$G$4&amp;"!"&amp;ADDRESS(10,COLUMN(D$9)+10)&amp;":"&amp;ADDRESS(1000,COLUMN(D$9)+10)))
))</f>
        <v>-</v>
      </c>
      <c r="E141" s="19" t="str">
        <f t="array" ref="E141">IF(ISBLANK(Tareas!$B137),"-",
SUM(
SUMIF(INDIRECT(Equipo!$C$4&amp;"!B10:B1000"),$B141,INDIRECT(Equipo!$C$4&amp;"!"&amp;ADDRESS(10,COLUMN(E$9)+10)&amp;":"&amp;ADDRESS(1000,COLUMN(E$9)+10))),
SUMIF(INDIRECT(Equipo!$D$4&amp;"!B10:B1000"),$B141,INDIRECT(Equipo!$D$4&amp;"!"&amp;ADDRESS(10,COLUMN(E$9)+10)&amp;":"&amp;ADDRESS(1000,COLUMN(E$9)+10))),
SUMIF(INDIRECT(Equipo!$E$4&amp;"!B10:B1000"),$B141,INDIRECT(Equipo!$E$4&amp;"!"&amp;ADDRESS(10,COLUMN(E$9)+10)&amp;":"&amp;ADDRESS(1000,COLUMN(E$9)+10))),
SUMIF(INDIRECT(Equipo!$F$4&amp;"!B10:B1000"),$B141,INDIRECT(Equipo!$F$4&amp;"!"&amp;ADDRESS(10,COLUMN(E$9)+10)&amp;":"&amp;ADDRESS(1000,COLUMN(E$9)+10))),
SUMIF(INDIRECT(Equipo!$G$4&amp;"!B10:B1000"),$B141,INDIRECT(Equipo!$G$4&amp;"!"&amp;ADDRESS(10,COLUMN(E$9)+10)&amp;":"&amp;ADDRESS(1000,COLUMN(E$9)+10)))
))</f>
        <v>-</v>
      </c>
      <c r="F141" s="19" t="str">
        <f t="array" ref="F141">IF(ISBLANK(Tareas!$B137),"-",
SUM(
SUMIF(INDIRECT(Equipo!$C$4&amp;"!B10:B1000"),$B141,INDIRECT(Equipo!$C$4&amp;"!"&amp;ADDRESS(10,COLUMN(F$9)+10)&amp;":"&amp;ADDRESS(1000,COLUMN(F$9)+10))),
SUMIF(INDIRECT(Equipo!$D$4&amp;"!B10:B1000"),$B141,INDIRECT(Equipo!$D$4&amp;"!"&amp;ADDRESS(10,COLUMN(F$9)+10)&amp;":"&amp;ADDRESS(1000,COLUMN(F$9)+10))),
SUMIF(INDIRECT(Equipo!$E$4&amp;"!B10:B1000"),$B141,INDIRECT(Equipo!$E$4&amp;"!"&amp;ADDRESS(10,COLUMN(F$9)+10)&amp;":"&amp;ADDRESS(1000,COLUMN(F$9)+10))),
SUMIF(INDIRECT(Equipo!$F$4&amp;"!B10:B1000"),$B141,INDIRECT(Equipo!$F$4&amp;"!"&amp;ADDRESS(10,COLUMN(F$9)+10)&amp;":"&amp;ADDRESS(1000,COLUMN(F$9)+10))),
SUMIF(INDIRECT(Equipo!$G$4&amp;"!B10:B1000"),$B141,INDIRECT(Equipo!$G$4&amp;"!"&amp;ADDRESS(10,COLUMN(F$9)+10)&amp;":"&amp;ADDRESS(1000,COLUMN(F$9)+10)))
))</f>
        <v>-</v>
      </c>
      <c r="G141" s="19" t="str">
        <f t="array" ref="G141">IF(ISBLANK(Tareas!$B137),"-",
SUM(
SUMIF(INDIRECT(Equipo!$C$4&amp;"!B10:B1000"),$B141,INDIRECT(Equipo!$C$4&amp;"!"&amp;ADDRESS(10,COLUMN(G$9)+10)&amp;":"&amp;ADDRESS(1000,COLUMN(G$9)+10))),
SUMIF(INDIRECT(Equipo!$D$4&amp;"!B10:B1000"),$B141,INDIRECT(Equipo!$D$4&amp;"!"&amp;ADDRESS(10,COLUMN(G$9)+10)&amp;":"&amp;ADDRESS(1000,COLUMN(G$9)+10))),
SUMIF(INDIRECT(Equipo!$E$4&amp;"!B10:B1000"),$B141,INDIRECT(Equipo!$E$4&amp;"!"&amp;ADDRESS(10,COLUMN(G$9)+10)&amp;":"&amp;ADDRESS(1000,COLUMN(G$9)+10))),
SUMIF(INDIRECT(Equipo!$F$4&amp;"!B10:B1000"),$B141,INDIRECT(Equipo!$F$4&amp;"!"&amp;ADDRESS(10,COLUMN(G$9)+10)&amp;":"&amp;ADDRESS(1000,COLUMN(G$9)+10))),
SUMIF(INDIRECT(Equipo!$G$4&amp;"!B10:B1000"),$B141,INDIRECT(Equipo!$G$4&amp;"!"&amp;ADDRESS(10,COLUMN(G$9)+10)&amp;":"&amp;ADDRESS(1000,COLUMN(G$9)+10)))
))</f>
        <v>-</v>
      </c>
      <c r="H141" s="19" t="str">
        <f t="array" ref="H141">IF(ISBLANK(Tareas!$B137),"-",
SUM(
SUMIF(INDIRECT(Equipo!$C$4&amp;"!B10:B1000"),$B141,INDIRECT(Equipo!$C$4&amp;"!"&amp;ADDRESS(10,COLUMN(H$9)+10)&amp;":"&amp;ADDRESS(1000,COLUMN(H$9)+10))),
SUMIF(INDIRECT(Equipo!$D$4&amp;"!B10:B1000"),$B141,INDIRECT(Equipo!$D$4&amp;"!"&amp;ADDRESS(10,COLUMN(H$9)+10)&amp;":"&amp;ADDRESS(1000,COLUMN(H$9)+10))),
SUMIF(INDIRECT(Equipo!$E$4&amp;"!B10:B1000"),$B141,INDIRECT(Equipo!$E$4&amp;"!"&amp;ADDRESS(10,COLUMN(H$9)+10)&amp;":"&amp;ADDRESS(1000,COLUMN(H$9)+10))),
SUMIF(INDIRECT(Equipo!$F$4&amp;"!B10:B1000"),$B141,INDIRECT(Equipo!$F$4&amp;"!"&amp;ADDRESS(10,COLUMN(H$9)+10)&amp;":"&amp;ADDRESS(1000,COLUMN(H$9)+10))),
SUMIF(INDIRECT(Equipo!$G$4&amp;"!B10:B1000"),$B141,INDIRECT(Equipo!$G$4&amp;"!"&amp;ADDRESS(10,COLUMN(H$9)+10)&amp;":"&amp;ADDRESS(1000,COLUMN(H$9)+10)))
))</f>
        <v>-</v>
      </c>
      <c r="I141" s="19" t="str">
        <f t="array" ref="I141">IF(ISBLANK(Tareas!$B137),"-",
SUM(
SUMIF(INDIRECT(Equipo!$C$4&amp;"!B10:B1000"),$B141,INDIRECT(Equipo!$C$4&amp;"!"&amp;ADDRESS(10,COLUMN(I$9)+10)&amp;":"&amp;ADDRESS(1000,COLUMN(I$9)+10))),
SUMIF(INDIRECT(Equipo!$D$4&amp;"!B10:B1000"),$B141,INDIRECT(Equipo!$D$4&amp;"!"&amp;ADDRESS(10,COLUMN(I$9)+10)&amp;":"&amp;ADDRESS(1000,COLUMN(I$9)+10))),
SUMIF(INDIRECT(Equipo!$E$4&amp;"!B10:B1000"),$B141,INDIRECT(Equipo!$E$4&amp;"!"&amp;ADDRESS(10,COLUMN(I$9)+10)&amp;":"&amp;ADDRESS(1000,COLUMN(I$9)+10))),
SUMIF(INDIRECT(Equipo!$F$4&amp;"!B10:B1000"),$B141,INDIRECT(Equipo!$F$4&amp;"!"&amp;ADDRESS(10,COLUMN(I$9)+10)&amp;":"&amp;ADDRESS(1000,COLUMN(I$9)+10))),
SUMIF(INDIRECT(Equipo!$G$4&amp;"!B10:B1000"),$B141,INDIRECT(Equipo!$G$4&amp;"!"&amp;ADDRESS(10,COLUMN(I$9)+10)&amp;":"&amp;ADDRESS(1000,COLUMN(I$9)+10)))
))</f>
        <v>-</v>
      </c>
      <c r="J141" s="19" t="str">
        <f t="array" ref="J141">IF(ISBLANK(Tareas!$B137),"-",
SUM(
SUMIF(INDIRECT(Equipo!$C$4&amp;"!B10:B1000"),$B141,INDIRECT(Equipo!$C$4&amp;"!"&amp;ADDRESS(10,COLUMN(J$9)+10)&amp;":"&amp;ADDRESS(1000,COLUMN(J$9)+10))),
SUMIF(INDIRECT(Equipo!$D$4&amp;"!B10:B1000"),$B141,INDIRECT(Equipo!$D$4&amp;"!"&amp;ADDRESS(10,COLUMN(J$9)+10)&amp;":"&amp;ADDRESS(1000,COLUMN(J$9)+10))),
SUMIF(INDIRECT(Equipo!$E$4&amp;"!B10:B1000"),$B141,INDIRECT(Equipo!$E$4&amp;"!"&amp;ADDRESS(10,COLUMN(J$9)+10)&amp;":"&amp;ADDRESS(1000,COLUMN(J$9)+10))),
SUMIF(INDIRECT(Equipo!$F$4&amp;"!B10:B1000"),$B141,INDIRECT(Equipo!$F$4&amp;"!"&amp;ADDRESS(10,COLUMN(J$9)+10)&amp;":"&amp;ADDRESS(1000,COLUMN(J$9)+10))),
SUMIF(INDIRECT(Equipo!$G$4&amp;"!B10:B1000"),$B141,INDIRECT(Equipo!$G$4&amp;"!"&amp;ADDRESS(10,COLUMN(J$9)+10)&amp;":"&amp;ADDRESS(1000,COLUMN(J$9)+10)))
))</f>
        <v>-</v>
      </c>
      <c r="K141" s="19" t="str">
        <f t="array" ref="K141">IF(ISBLANK(Tareas!$B137),"-",
SUM(
SUMIF(INDIRECT(Equipo!$C$4&amp;"!B10:B1000"),$B141,INDIRECT(Equipo!$C$4&amp;"!"&amp;ADDRESS(10,COLUMN(K$9)+10)&amp;":"&amp;ADDRESS(1000,COLUMN(K$9)+10))),
SUMIF(INDIRECT(Equipo!$D$4&amp;"!B10:B1000"),$B141,INDIRECT(Equipo!$D$4&amp;"!"&amp;ADDRESS(10,COLUMN(K$9)+10)&amp;":"&amp;ADDRESS(1000,COLUMN(K$9)+10))),
SUMIF(INDIRECT(Equipo!$E$4&amp;"!B10:B1000"),$B141,INDIRECT(Equipo!$E$4&amp;"!"&amp;ADDRESS(10,COLUMN(K$9)+10)&amp;":"&amp;ADDRESS(1000,COLUMN(K$9)+10))),
SUMIF(INDIRECT(Equipo!$F$4&amp;"!B10:B1000"),$B141,INDIRECT(Equipo!$F$4&amp;"!"&amp;ADDRESS(10,COLUMN(K$9)+10)&amp;":"&amp;ADDRESS(1000,COLUMN(K$9)+10))),
SUMIF(INDIRECT(Equipo!$G$4&amp;"!B10:B1000"),$B141,INDIRECT(Equipo!$G$4&amp;"!"&amp;ADDRESS(10,COLUMN(K$9)+10)&amp;":"&amp;ADDRESS(1000,COLUMN(K$9)+10)))
))</f>
        <v>-</v>
      </c>
    </row>
    <row r="142" ht="15.75" customHeight="1">
      <c r="C142" s="19" t="str">
        <f>IF(ISBLANK(Tareas!$B138),"-",SUM(D142:K142))</f>
        <v>-</v>
      </c>
      <c r="D142" s="19" t="str">
        <f t="array" ref="D142">IF(ISBLANK(Tareas!$B138),"-",
SUM(
SUMIF(INDIRECT(Equipo!$C$4&amp;"!B10:B1000"),$B142,INDIRECT(Equipo!$C$4&amp;"!"&amp;ADDRESS(10,COLUMN(D$9)+10)&amp;":"&amp;ADDRESS(1000,COLUMN(D$9)+10))),
SUMIF(INDIRECT(Equipo!$D$4&amp;"!B10:B1000"),$B142,INDIRECT(Equipo!$D$4&amp;"!"&amp;ADDRESS(10,COLUMN(D$9)+10)&amp;":"&amp;ADDRESS(1000,COLUMN(D$9)+10))),
SUMIF(INDIRECT(Equipo!$E$4&amp;"!B10:B1000"),$B142,INDIRECT(Equipo!$E$4&amp;"!"&amp;ADDRESS(10,COLUMN(D$9)+10)&amp;":"&amp;ADDRESS(1000,COLUMN(D$9)+10))),
SUMIF(INDIRECT(Equipo!$F$4&amp;"!B10:B1000"),$B142,INDIRECT(Equipo!$F$4&amp;"!"&amp;ADDRESS(10,COLUMN(D$9)+10)&amp;":"&amp;ADDRESS(1000,COLUMN(D$9)+10))),
SUMIF(INDIRECT(Equipo!$G$4&amp;"!B10:B1000"),$B142,INDIRECT(Equipo!$G$4&amp;"!"&amp;ADDRESS(10,COLUMN(D$9)+10)&amp;":"&amp;ADDRESS(1000,COLUMN(D$9)+10)))
))</f>
        <v>-</v>
      </c>
      <c r="E142" s="19" t="str">
        <f t="array" ref="E142">IF(ISBLANK(Tareas!$B138),"-",
SUM(
SUMIF(INDIRECT(Equipo!$C$4&amp;"!B10:B1000"),$B142,INDIRECT(Equipo!$C$4&amp;"!"&amp;ADDRESS(10,COLUMN(E$9)+10)&amp;":"&amp;ADDRESS(1000,COLUMN(E$9)+10))),
SUMIF(INDIRECT(Equipo!$D$4&amp;"!B10:B1000"),$B142,INDIRECT(Equipo!$D$4&amp;"!"&amp;ADDRESS(10,COLUMN(E$9)+10)&amp;":"&amp;ADDRESS(1000,COLUMN(E$9)+10))),
SUMIF(INDIRECT(Equipo!$E$4&amp;"!B10:B1000"),$B142,INDIRECT(Equipo!$E$4&amp;"!"&amp;ADDRESS(10,COLUMN(E$9)+10)&amp;":"&amp;ADDRESS(1000,COLUMN(E$9)+10))),
SUMIF(INDIRECT(Equipo!$F$4&amp;"!B10:B1000"),$B142,INDIRECT(Equipo!$F$4&amp;"!"&amp;ADDRESS(10,COLUMN(E$9)+10)&amp;":"&amp;ADDRESS(1000,COLUMN(E$9)+10))),
SUMIF(INDIRECT(Equipo!$G$4&amp;"!B10:B1000"),$B142,INDIRECT(Equipo!$G$4&amp;"!"&amp;ADDRESS(10,COLUMN(E$9)+10)&amp;":"&amp;ADDRESS(1000,COLUMN(E$9)+10)))
))</f>
        <v>-</v>
      </c>
      <c r="F142" s="19" t="str">
        <f t="array" ref="F142">IF(ISBLANK(Tareas!$B138),"-",
SUM(
SUMIF(INDIRECT(Equipo!$C$4&amp;"!B10:B1000"),$B142,INDIRECT(Equipo!$C$4&amp;"!"&amp;ADDRESS(10,COLUMN(F$9)+10)&amp;":"&amp;ADDRESS(1000,COLUMN(F$9)+10))),
SUMIF(INDIRECT(Equipo!$D$4&amp;"!B10:B1000"),$B142,INDIRECT(Equipo!$D$4&amp;"!"&amp;ADDRESS(10,COLUMN(F$9)+10)&amp;":"&amp;ADDRESS(1000,COLUMN(F$9)+10))),
SUMIF(INDIRECT(Equipo!$E$4&amp;"!B10:B1000"),$B142,INDIRECT(Equipo!$E$4&amp;"!"&amp;ADDRESS(10,COLUMN(F$9)+10)&amp;":"&amp;ADDRESS(1000,COLUMN(F$9)+10))),
SUMIF(INDIRECT(Equipo!$F$4&amp;"!B10:B1000"),$B142,INDIRECT(Equipo!$F$4&amp;"!"&amp;ADDRESS(10,COLUMN(F$9)+10)&amp;":"&amp;ADDRESS(1000,COLUMN(F$9)+10))),
SUMIF(INDIRECT(Equipo!$G$4&amp;"!B10:B1000"),$B142,INDIRECT(Equipo!$G$4&amp;"!"&amp;ADDRESS(10,COLUMN(F$9)+10)&amp;":"&amp;ADDRESS(1000,COLUMN(F$9)+10)))
))</f>
        <v>-</v>
      </c>
      <c r="G142" s="19" t="str">
        <f t="array" ref="G142">IF(ISBLANK(Tareas!$B138),"-",
SUM(
SUMIF(INDIRECT(Equipo!$C$4&amp;"!B10:B1000"),$B142,INDIRECT(Equipo!$C$4&amp;"!"&amp;ADDRESS(10,COLUMN(G$9)+10)&amp;":"&amp;ADDRESS(1000,COLUMN(G$9)+10))),
SUMIF(INDIRECT(Equipo!$D$4&amp;"!B10:B1000"),$B142,INDIRECT(Equipo!$D$4&amp;"!"&amp;ADDRESS(10,COLUMN(G$9)+10)&amp;":"&amp;ADDRESS(1000,COLUMN(G$9)+10))),
SUMIF(INDIRECT(Equipo!$E$4&amp;"!B10:B1000"),$B142,INDIRECT(Equipo!$E$4&amp;"!"&amp;ADDRESS(10,COLUMN(G$9)+10)&amp;":"&amp;ADDRESS(1000,COLUMN(G$9)+10))),
SUMIF(INDIRECT(Equipo!$F$4&amp;"!B10:B1000"),$B142,INDIRECT(Equipo!$F$4&amp;"!"&amp;ADDRESS(10,COLUMN(G$9)+10)&amp;":"&amp;ADDRESS(1000,COLUMN(G$9)+10))),
SUMIF(INDIRECT(Equipo!$G$4&amp;"!B10:B1000"),$B142,INDIRECT(Equipo!$G$4&amp;"!"&amp;ADDRESS(10,COLUMN(G$9)+10)&amp;":"&amp;ADDRESS(1000,COLUMN(G$9)+10)))
))</f>
        <v>-</v>
      </c>
      <c r="H142" s="19" t="str">
        <f t="array" ref="H142">IF(ISBLANK(Tareas!$B138),"-",
SUM(
SUMIF(INDIRECT(Equipo!$C$4&amp;"!B10:B1000"),$B142,INDIRECT(Equipo!$C$4&amp;"!"&amp;ADDRESS(10,COLUMN(H$9)+10)&amp;":"&amp;ADDRESS(1000,COLUMN(H$9)+10))),
SUMIF(INDIRECT(Equipo!$D$4&amp;"!B10:B1000"),$B142,INDIRECT(Equipo!$D$4&amp;"!"&amp;ADDRESS(10,COLUMN(H$9)+10)&amp;":"&amp;ADDRESS(1000,COLUMN(H$9)+10))),
SUMIF(INDIRECT(Equipo!$E$4&amp;"!B10:B1000"),$B142,INDIRECT(Equipo!$E$4&amp;"!"&amp;ADDRESS(10,COLUMN(H$9)+10)&amp;":"&amp;ADDRESS(1000,COLUMN(H$9)+10))),
SUMIF(INDIRECT(Equipo!$F$4&amp;"!B10:B1000"),$B142,INDIRECT(Equipo!$F$4&amp;"!"&amp;ADDRESS(10,COLUMN(H$9)+10)&amp;":"&amp;ADDRESS(1000,COLUMN(H$9)+10))),
SUMIF(INDIRECT(Equipo!$G$4&amp;"!B10:B1000"),$B142,INDIRECT(Equipo!$G$4&amp;"!"&amp;ADDRESS(10,COLUMN(H$9)+10)&amp;":"&amp;ADDRESS(1000,COLUMN(H$9)+10)))
))</f>
        <v>-</v>
      </c>
      <c r="I142" s="19" t="str">
        <f t="array" ref="I142">IF(ISBLANK(Tareas!$B138),"-",
SUM(
SUMIF(INDIRECT(Equipo!$C$4&amp;"!B10:B1000"),$B142,INDIRECT(Equipo!$C$4&amp;"!"&amp;ADDRESS(10,COLUMN(I$9)+10)&amp;":"&amp;ADDRESS(1000,COLUMN(I$9)+10))),
SUMIF(INDIRECT(Equipo!$D$4&amp;"!B10:B1000"),$B142,INDIRECT(Equipo!$D$4&amp;"!"&amp;ADDRESS(10,COLUMN(I$9)+10)&amp;":"&amp;ADDRESS(1000,COLUMN(I$9)+10))),
SUMIF(INDIRECT(Equipo!$E$4&amp;"!B10:B1000"),$B142,INDIRECT(Equipo!$E$4&amp;"!"&amp;ADDRESS(10,COLUMN(I$9)+10)&amp;":"&amp;ADDRESS(1000,COLUMN(I$9)+10))),
SUMIF(INDIRECT(Equipo!$F$4&amp;"!B10:B1000"),$B142,INDIRECT(Equipo!$F$4&amp;"!"&amp;ADDRESS(10,COLUMN(I$9)+10)&amp;":"&amp;ADDRESS(1000,COLUMN(I$9)+10))),
SUMIF(INDIRECT(Equipo!$G$4&amp;"!B10:B1000"),$B142,INDIRECT(Equipo!$G$4&amp;"!"&amp;ADDRESS(10,COLUMN(I$9)+10)&amp;":"&amp;ADDRESS(1000,COLUMN(I$9)+10)))
))</f>
        <v>-</v>
      </c>
      <c r="J142" s="19" t="str">
        <f t="array" ref="J142">IF(ISBLANK(Tareas!$B138),"-",
SUM(
SUMIF(INDIRECT(Equipo!$C$4&amp;"!B10:B1000"),$B142,INDIRECT(Equipo!$C$4&amp;"!"&amp;ADDRESS(10,COLUMN(J$9)+10)&amp;":"&amp;ADDRESS(1000,COLUMN(J$9)+10))),
SUMIF(INDIRECT(Equipo!$D$4&amp;"!B10:B1000"),$B142,INDIRECT(Equipo!$D$4&amp;"!"&amp;ADDRESS(10,COLUMN(J$9)+10)&amp;":"&amp;ADDRESS(1000,COLUMN(J$9)+10))),
SUMIF(INDIRECT(Equipo!$E$4&amp;"!B10:B1000"),$B142,INDIRECT(Equipo!$E$4&amp;"!"&amp;ADDRESS(10,COLUMN(J$9)+10)&amp;":"&amp;ADDRESS(1000,COLUMN(J$9)+10))),
SUMIF(INDIRECT(Equipo!$F$4&amp;"!B10:B1000"),$B142,INDIRECT(Equipo!$F$4&amp;"!"&amp;ADDRESS(10,COLUMN(J$9)+10)&amp;":"&amp;ADDRESS(1000,COLUMN(J$9)+10))),
SUMIF(INDIRECT(Equipo!$G$4&amp;"!B10:B1000"),$B142,INDIRECT(Equipo!$G$4&amp;"!"&amp;ADDRESS(10,COLUMN(J$9)+10)&amp;":"&amp;ADDRESS(1000,COLUMN(J$9)+10)))
))</f>
        <v>-</v>
      </c>
      <c r="K142" s="19" t="str">
        <f t="array" ref="K142">IF(ISBLANK(Tareas!$B138),"-",
SUM(
SUMIF(INDIRECT(Equipo!$C$4&amp;"!B10:B1000"),$B142,INDIRECT(Equipo!$C$4&amp;"!"&amp;ADDRESS(10,COLUMN(K$9)+10)&amp;":"&amp;ADDRESS(1000,COLUMN(K$9)+10))),
SUMIF(INDIRECT(Equipo!$D$4&amp;"!B10:B1000"),$B142,INDIRECT(Equipo!$D$4&amp;"!"&amp;ADDRESS(10,COLUMN(K$9)+10)&amp;":"&amp;ADDRESS(1000,COLUMN(K$9)+10))),
SUMIF(INDIRECT(Equipo!$E$4&amp;"!B10:B1000"),$B142,INDIRECT(Equipo!$E$4&amp;"!"&amp;ADDRESS(10,COLUMN(K$9)+10)&amp;":"&amp;ADDRESS(1000,COLUMN(K$9)+10))),
SUMIF(INDIRECT(Equipo!$F$4&amp;"!B10:B1000"),$B142,INDIRECT(Equipo!$F$4&amp;"!"&amp;ADDRESS(10,COLUMN(K$9)+10)&amp;":"&amp;ADDRESS(1000,COLUMN(K$9)+10))),
SUMIF(INDIRECT(Equipo!$G$4&amp;"!B10:B1000"),$B142,INDIRECT(Equipo!$G$4&amp;"!"&amp;ADDRESS(10,COLUMN(K$9)+10)&amp;":"&amp;ADDRESS(1000,COLUMN(K$9)+10)))
))</f>
        <v>-</v>
      </c>
    </row>
    <row r="143" ht="15.75" customHeight="1">
      <c r="C143" s="19" t="str">
        <f>IF(ISBLANK(Tareas!$B139),"-",SUM(D143:K143))</f>
        <v>-</v>
      </c>
      <c r="D143" s="19" t="str">
        <f t="array" ref="D143">IF(ISBLANK(Tareas!$B139),"-",
SUM(
SUMIF(INDIRECT(Equipo!$C$4&amp;"!B10:B1000"),$B143,INDIRECT(Equipo!$C$4&amp;"!"&amp;ADDRESS(10,COLUMN(D$9)+10)&amp;":"&amp;ADDRESS(1000,COLUMN(D$9)+10))),
SUMIF(INDIRECT(Equipo!$D$4&amp;"!B10:B1000"),$B143,INDIRECT(Equipo!$D$4&amp;"!"&amp;ADDRESS(10,COLUMN(D$9)+10)&amp;":"&amp;ADDRESS(1000,COLUMN(D$9)+10))),
SUMIF(INDIRECT(Equipo!$E$4&amp;"!B10:B1000"),$B143,INDIRECT(Equipo!$E$4&amp;"!"&amp;ADDRESS(10,COLUMN(D$9)+10)&amp;":"&amp;ADDRESS(1000,COLUMN(D$9)+10))),
SUMIF(INDIRECT(Equipo!$F$4&amp;"!B10:B1000"),$B143,INDIRECT(Equipo!$F$4&amp;"!"&amp;ADDRESS(10,COLUMN(D$9)+10)&amp;":"&amp;ADDRESS(1000,COLUMN(D$9)+10))),
SUMIF(INDIRECT(Equipo!$G$4&amp;"!B10:B1000"),$B143,INDIRECT(Equipo!$G$4&amp;"!"&amp;ADDRESS(10,COLUMN(D$9)+10)&amp;":"&amp;ADDRESS(1000,COLUMN(D$9)+10)))
))</f>
        <v>-</v>
      </c>
      <c r="E143" s="19" t="str">
        <f t="array" ref="E143">IF(ISBLANK(Tareas!$B139),"-",
SUM(
SUMIF(INDIRECT(Equipo!$C$4&amp;"!B10:B1000"),$B143,INDIRECT(Equipo!$C$4&amp;"!"&amp;ADDRESS(10,COLUMN(E$9)+10)&amp;":"&amp;ADDRESS(1000,COLUMN(E$9)+10))),
SUMIF(INDIRECT(Equipo!$D$4&amp;"!B10:B1000"),$B143,INDIRECT(Equipo!$D$4&amp;"!"&amp;ADDRESS(10,COLUMN(E$9)+10)&amp;":"&amp;ADDRESS(1000,COLUMN(E$9)+10))),
SUMIF(INDIRECT(Equipo!$E$4&amp;"!B10:B1000"),$B143,INDIRECT(Equipo!$E$4&amp;"!"&amp;ADDRESS(10,COLUMN(E$9)+10)&amp;":"&amp;ADDRESS(1000,COLUMN(E$9)+10))),
SUMIF(INDIRECT(Equipo!$F$4&amp;"!B10:B1000"),$B143,INDIRECT(Equipo!$F$4&amp;"!"&amp;ADDRESS(10,COLUMN(E$9)+10)&amp;":"&amp;ADDRESS(1000,COLUMN(E$9)+10))),
SUMIF(INDIRECT(Equipo!$G$4&amp;"!B10:B1000"),$B143,INDIRECT(Equipo!$G$4&amp;"!"&amp;ADDRESS(10,COLUMN(E$9)+10)&amp;":"&amp;ADDRESS(1000,COLUMN(E$9)+10)))
))</f>
        <v>-</v>
      </c>
      <c r="F143" s="19" t="str">
        <f t="array" ref="F143">IF(ISBLANK(Tareas!$B139),"-",
SUM(
SUMIF(INDIRECT(Equipo!$C$4&amp;"!B10:B1000"),$B143,INDIRECT(Equipo!$C$4&amp;"!"&amp;ADDRESS(10,COLUMN(F$9)+10)&amp;":"&amp;ADDRESS(1000,COLUMN(F$9)+10))),
SUMIF(INDIRECT(Equipo!$D$4&amp;"!B10:B1000"),$B143,INDIRECT(Equipo!$D$4&amp;"!"&amp;ADDRESS(10,COLUMN(F$9)+10)&amp;":"&amp;ADDRESS(1000,COLUMN(F$9)+10))),
SUMIF(INDIRECT(Equipo!$E$4&amp;"!B10:B1000"),$B143,INDIRECT(Equipo!$E$4&amp;"!"&amp;ADDRESS(10,COLUMN(F$9)+10)&amp;":"&amp;ADDRESS(1000,COLUMN(F$9)+10))),
SUMIF(INDIRECT(Equipo!$F$4&amp;"!B10:B1000"),$B143,INDIRECT(Equipo!$F$4&amp;"!"&amp;ADDRESS(10,COLUMN(F$9)+10)&amp;":"&amp;ADDRESS(1000,COLUMN(F$9)+10))),
SUMIF(INDIRECT(Equipo!$G$4&amp;"!B10:B1000"),$B143,INDIRECT(Equipo!$G$4&amp;"!"&amp;ADDRESS(10,COLUMN(F$9)+10)&amp;":"&amp;ADDRESS(1000,COLUMN(F$9)+10)))
))</f>
        <v>-</v>
      </c>
      <c r="G143" s="19" t="str">
        <f t="array" ref="G143">IF(ISBLANK(Tareas!$B139),"-",
SUM(
SUMIF(INDIRECT(Equipo!$C$4&amp;"!B10:B1000"),$B143,INDIRECT(Equipo!$C$4&amp;"!"&amp;ADDRESS(10,COLUMN(G$9)+10)&amp;":"&amp;ADDRESS(1000,COLUMN(G$9)+10))),
SUMIF(INDIRECT(Equipo!$D$4&amp;"!B10:B1000"),$B143,INDIRECT(Equipo!$D$4&amp;"!"&amp;ADDRESS(10,COLUMN(G$9)+10)&amp;":"&amp;ADDRESS(1000,COLUMN(G$9)+10))),
SUMIF(INDIRECT(Equipo!$E$4&amp;"!B10:B1000"),$B143,INDIRECT(Equipo!$E$4&amp;"!"&amp;ADDRESS(10,COLUMN(G$9)+10)&amp;":"&amp;ADDRESS(1000,COLUMN(G$9)+10))),
SUMIF(INDIRECT(Equipo!$F$4&amp;"!B10:B1000"),$B143,INDIRECT(Equipo!$F$4&amp;"!"&amp;ADDRESS(10,COLUMN(G$9)+10)&amp;":"&amp;ADDRESS(1000,COLUMN(G$9)+10))),
SUMIF(INDIRECT(Equipo!$G$4&amp;"!B10:B1000"),$B143,INDIRECT(Equipo!$G$4&amp;"!"&amp;ADDRESS(10,COLUMN(G$9)+10)&amp;":"&amp;ADDRESS(1000,COLUMN(G$9)+10)))
))</f>
        <v>-</v>
      </c>
      <c r="H143" s="19" t="str">
        <f t="array" ref="H143">IF(ISBLANK(Tareas!$B139),"-",
SUM(
SUMIF(INDIRECT(Equipo!$C$4&amp;"!B10:B1000"),$B143,INDIRECT(Equipo!$C$4&amp;"!"&amp;ADDRESS(10,COLUMN(H$9)+10)&amp;":"&amp;ADDRESS(1000,COLUMN(H$9)+10))),
SUMIF(INDIRECT(Equipo!$D$4&amp;"!B10:B1000"),$B143,INDIRECT(Equipo!$D$4&amp;"!"&amp;ADDRESS(10,COLUMN(H$9)+10)&amp;":"&amp;ADDRESS(1000,COLUMN(H$9)+10))),
SUMIF(INDIRECT(Equipo!$E$4&amp;"!B10:B1000"),$B143,INDIRECT(Equipo!$E$4&amp;"!"&amp;ADDRESS(10,COLUMN(H$9)+10)&amp;":"&amp;ADDRESS(1000,COLUMN(H$9)+10))),
SUMIF(INDIRECT(Equipo!$F$4&amp;"!B10:B1000"),$B143,INDIRECT(Equipo!$F$4&amp;"!"&amp;ADDRESS(10,COLUMN(H$9)+10)&amp;":"&amp;ADDRESS(1000,COLUMN(H$9)+10))),
SUMIF(INDIRECT(Equipo!$G$4&amp;"!B10:B1000"),$B143,INDIRECT(Equipo!$G$4&amp;"!"&amp;ADDRESS(10,COLUMN(H$9)+10)&amp;":"&amp;ADDRESS(1000,COLUMN(H$9)+10)))
))</f>
        <v>-</v>
      </c>
      <c r="I143" s="19" t="str">
        <f t="array" ref="I143">IF(ISBLANK(Tareas!$B139),"-",
SUM(
SUMIF(INDIRECT(Equipo!$C$4&amp;"!B10:B1000"),$B143,INDIRECT(Equipo!$C$4&amp;"!"&amp;ADDRESS(10,COLUMN(I$9)+10)&amp;":"&amp;ADDRESS(1000,COLUMN(I$9)+10))),
SUMIF(INDIRECT(Equipo!$D$4&amp;"!B10:B1000"),$B143,INDIRECT(Equipo!$D$4&amp;"!"&amp;ADDRESS(10,COLUMN(I$9)+10)&amp;":"&amp;ADDRESS(1000,COLUMN(I$9)+10))),
SUMIF(INDIRECT(Equipo!$E$4&amp;"!B10:B1000"),$B143,INDIRECT(Equipo!$E$4&amp;"!"&amp;ADDRESS(10,COLUMN(I$9)+10)&amp;":"&amp;ADDRESS(1000,COLUMN(I$9)+10))),
SUMIF(INDIRECT(Equipo!$F$4&amp;"!B10:B1000"),$B143,INDIRECT(Equipo!$F$4&amp;"!"&amp;ADDRESS(10,COLUMN(I$9)+10)&amp;":"&amp;ADDRESS(1000,COLUMN(I$9)+10))),
SUMIF(INDIRECT(Equipo!$G$4&amp;"!B10:B1000"),$B143,INDIRECT(Equipo!$G$4&amp;"!"&amp;ADDRESS(10,COLUMN(I$9)+10)&amp;":"&amp;ADDRESS(1000,COLUMN(I$9)+10)))
))</f>
        <v>-</v>
      </c>
      <c r="J143" s="19" t="str">
        <f t="array" ref="J143">IF(ISBLANK(Tareas!$B139),"-",
SUM(
SUMIF(INDIRECT(Equipo!$C$4&amp;"!B10:B1000"),$B143,INDIRECT(Equipo!$C$4&amp;"!"&amp;ADDRESS(10,COLUMN(J$9)+10)&amp;":"&amp;ADDRESS(1000,COLUMN(J$9)+10))),
SUMIF(INDIRECT(Equipo!$D$4&amp;"!B10:B1000"),$B143,INDIRECT(Equipo!$D$4&amp;"!"&amp;ADDRESS(10,COLUMN(J$9)+10)&amp;":"&amp;ADDRESS(1000,COLUMN(J$9)+10))),
SUMIF(INDIRECT(Equipo!$E$4&amp;"!B10:B1000"),$B143,INDIRECT(Equipo!$E$4&amp;"!"&amp;ADDRESS(10,COLUMN(J$9)+10)&amp;":"&amp;ADDRESS(1000,COLUMN(J$9)+10))),
SUMIF(INDIRECT(Equipo!$F$4&amp;"!B10:B1000"),$B143,INDIRECT(Equipo!$F$4&amp;"!"&amp;ADDRESS(10,COLUMN(J$9)+10)&amp;":"&amp;ADDRESS(1000,COLUMN(J$9)+10))),
SUMIF(INDIRECT(Equipo!$G$4&amp;"!B10:B1000"),$B143,INDIRECT(Equipo!$G$4&amp;"!"&amp;ADDRESS(10,COLUMN(J$9)+10)&amp;":"&amp;ADDRESS(1000,COLUMN(J$9)+10)))
))</f>
        <v>-</v>
      </c>
      <c r="K143" s="19" t="str">
        <f t="array" ref="K143">IF(ISBLANK(Tareas!$B139),"-",
SUM(
SUMIF(INDIRECT(Equipo!$C$4&amp;"!B10:B1000"),$B143,INDIRECT(Equipo!$C$4&amp;"!"&amp;ADDRESS(10,COLUMN(K$9)+10)&amp;":"&amp;ADDRESS(1000,COLUMN(K$9)+10))),
SUMIF(INDIRECT(Equipo!$D$4&amp;"!B10:B1000"),$B143,INDIRECT(Equipo!$D$4&amp;"!"&amp;ADDRESS(10,COLUMN(K$9)+10)&amp;":"&amp;ADDRESS(1000,COLUMN(K$9)+10))),
SUMIF(INDIRECT(Equipo!$E$4&amp;"!B10:B1000"),$B143,INDIRECT(Equipo!$E$4&amp;"!"&amp;ADDRESS(10,COLUMN(K$9)+10)&amp;":"&amp;ADDRESS(1000,COLUMN(K$9)+10))),
SUMIF(INDIRECT(Equipo!$F$4&amp;"!B10:B1000"),$B143,INDIRECT(Equipo!$F$4&amp;"!"&amp;ADDRESS(10,COLUMN(K$9)+10)&amp;":"&amp;ADDRESS(1000,COLUMN(K$9)+10))),
SUMIF(INDIRECT(Equipo!$G$4&amp;"!B10:B1000"),$B143,INDIRECT(Equipo!$G$4&amp;"!"&amp;ADDRESS(10,COLUMN(K$9)+10)&amp;":"&amp;ADDRESS(1000,COLUMN(K$9)+10)))
))</f>
        <v>-</v>
      </c>
    </row>
    <row r="144" ht="15.75" customHeight="1">
      <c r="C144" s="19" t="str">
        <f>IF(ISBLANK(Tareas!$B140),"-",SUM(D144:K144))</f>
        <v>-</v>
      </c>
      <c r="D144" s="19" t="str">
        <f t="array" ref="D144">IF(ISBLANK(Tareas!$B140),"-",
SUM(
SUMIF(INDIRECT(Equipo!$C$4&amp;"!B10:B1000"),$B144,INDIRECT(Equipo!$C$4&amp;"!"&amp;ADDRESS(10,COLUMN(D$9)+10)&amp;":"&amp;ADDRESS(1000,COLUMN(D$9)+10))),
SUMIF(INDIRECT(Equipo!$D$4&amp;"!B10:B1000"),$B144,INDIRECT(Equipo!$D$4&amp;"!"&amp;ADDRESS(10,COLUMN(D$9)+10)&amp;":"&amp;ADDRESS(1000,COLUMN(D$9)+10))),
SUMIF(INDIRECT(Equipo!$E$4&amp;"!B10:B1000"),$B144,INDIRECT(Equipo!$E$4&amp;"!"&amp;ADDRESS(10,COLUMN(D$9)+10)&amp;":"&amp;ADDRESS(1000,COLUMN(D$9)+10))),
SUMIF(INDIRECT(Equipo!$F$4&amp;"!B10:B1000"),$B144,INDIRECT(Equipo!$F$4&amp;"!"&amp;ADDRESS(10,COLUMN(D$9)+10)&amp;":"&amp;ADDRESS(1000,COLUMN(D$9)+10))),
SUMIF(INDIRECT(Equipo!$G$4&amp;"!B10:B1000"),$B144,INDIRECT(Equipo!$G$4&amp;"!"&amp;ADDRESS(10,COLUMN(D$9)+10)&amp;":"&amp;ADDRESS(1000,COLUMN(D$9)+10)))
))</f>
        <v>-</v>
      </c>
      <c r="E144" s="19" t="str">
        <f t="array" ref="E144">IF(ISBLANK(Tareas!$B140),"-",
SUM(
SUMIF(INDIRECT(Equipo!$C$4&amp;"!B10:B1000"),$B144,INDIRECT(Equipo!$C$4&amp;"!"&amp;ADDRESS(10,COLUMN(E$9)+10)&amp;":"&amp;ADDRESS(1000,COLUMN(E$9)+10))),
SUMIF(INDIRECT(Equipo!$D$4&amp;"!B10:B1000"),$B144,INDIRECT(Equipo!$D$4&amp;"!"&amp;ADDRESS(10,COLUMN(E$9)+10)&amp;":"&amp;ADDRESS(1000,COLUMN(E$9)+10))),
SUMIF(INDIRECT(Equipo!$E$4&amp;"!B10:B1000"),$B144,INDIRECT(Equipo!$E$4&amp;"!"&amp;ADDRESS(10,COLUMN(E$9)+10)&amp;":"&amp;ADDRESS(1000,COLUMN(E$9)+10))),
SUMIF(INDIRECT(Equipo!$F$4&amp;"!B10:B1000"),$B144,INDIRECT(Equipo!$F$4&amp;"!"&amp;ADDRESS(10,COLUMN(E$9)+10)&amp;":"&amp;ADDRESS(1000,COLUMN(E$9)+10))),
SUMIF(INDIRECT(Equipo!$G$4&amp;"!B10:B1000"),$B144,INDIRECT(Equipo!$G$4&amp;"!"&amp;ADDRESS(10,COLUMN(E$9)+10)&amp;":"&amp;ADDRESS(1000,COLUMN(E$9)+10)))
))</f>
        <v>-</v>
      </c>
      <c r="F144" s="19" t="str">
        <f t="array" ref="F144">IF(ISBLANK(Tareas!$B140),"-",
SUM(
SUMIF(INDIRECT(Equipo!$C$4&amp;"!B10:B1000"),$B144,INDIRECT(Equipo!$C$4&amp;"!"&amp;ADDRESS(10,COLUMN(F$9)+10)&amp;":"&amp;ADDRESS(1000,COLUMN(F$9)+10))),
SUMIF(INDIRECT(Equipo!$D$4&amp;"!B10:B1000"),$B144,INDIRECT(Equipo!$D$4&amp;"!"&amp;ADDRESS(10,COLUMN(F$9)+10)&amp;":"&amp;ADDRESS(1000,COLUMN(F$9)+10))),
SUMIF(INDIRECT(Equipo!$E$4&amp;"!B10:B1000"),$B144,INDIRECT(Equipo!$E$4&amp;"!"&amp;ADDRESS(10,COLUMN(F$9)+10)&amp;":"&amp;ADDRESS(1000,COLUMN(F$9)+10))),
SUMIF(INDIRECT(Equipo!$F$4&amp;"!B10:B1000"),$B144,INDIRECT(Equipo!$F$4&amp;"!"&amp;ADDRESS(10,COLUMN(F$9)+10)&amp;":"&amp;ADDRESS(1000,COLUMN(F$9)+10))),
SUMIF(INDIRECT(Equipo!$G$4&amp;"!B10:B1000"),$B144,INDIRECT(Equipo!$G$4&amp;"!"&amp;ADDRESS(10,COLUMN(F$9)+10)&amp;":"&amp;ADDRESS(1000,COLUMN(F$9)+10)))
))</f>
        <v>-</v>
      </c>
      <c r="G144" s="19" t="str">
        <f t="array" ref="G144">IF(ISBLANK(Tareas!$B140),"-",
SUM(
SUMIF(INDIRECT(Equipo!$C$4&amp;"!B10:B1000"),$B144,INDIRECT(Equipo!$C$4&amp;"!"&amp;ADDRESS(10,COLUMN(G$9)+10)&amp;":"&amp;ADDRESS(1000,COLUMN(G$9)+10))),
SUMIF(INDIRECT(Equipo!$D$4&amp;"!B10:B1000"),$B144,INDIRECT(Equipo!$D$4&amp;"!"&amp;ADDRESS(10,COLUMN(G$9)+10)&amp;":"&amp;ADDRESS(1000,COLUMN(G$9)+10))),
SUMIF(INDIRECT(Equipo!$E$4&amp;"!B10:B1000"),$B144,INDIRECT(Equipo!$E$4&amp;"!"&amp;ADDRESS(10,COLUMN(G$9)+10)&amp;":"&amp;ADDRESS(1000,COLUMN(G$9)+10))),
SUMIF(INDIRECT(Equipo!$F$4&amp;"!B10:B1000"),$B144,INDIRECT(Equipo!$F$4&amp;"!"&amp;ADDRESS(10,COLUMN(G$9)+10)&amp;":"&amp;ADDRESS(1000,COLUMN(G$9)+10))),
SUMIF(INDIRECT(Equipo!$G$4&amp;"!B10:B1000"),$B144,INDIRECT(Equipo!$G$4&amp;"!"&amp;ADDRESS(10,COLUMN(G$9)+10)&amp;":"&amp;ADDRESS(1000,COLUMN(G$9)+10)))
))</f>
        <v>-</v>
      </c>
      <c r="H144" s="19" t="str">
        <f t="array" ref="H144">IF(ISBLANK(Tareas!$B140),"-",
SUM(
SUMIF(INDIRECT(Equipo!$C$4&amp;"!B10:B1000"),$B144,INDIRECT(Equipo!$C$4&amp;"!"&amp;ADDRESS(10,COLUMN(H$9)+10)&amp;":"&amp;ADDRESS(1000,COLUMN(H$9)+10))),
SUMIF(INDIRECT(Equipo!$D$4&amp;"!B10:B1000"),$B144,INDIRECT(Equipo!$D$4&amp;"!"&amp;ADDRESS(10,COLUMN(H$9)+10)&amp;":"&amp;ADDRESS(1000,COLUMN(H$9)+10))),
SUMIF(INDIRECT(Equipo!$E$4&amp;"!B10:B1000"),$B144,INDIRECT(Equipo!$E$4&amp;"!"&amp;ADDRESS(10,COLUMN(H$9)+10)&amp;":"&amp;ADDRESS(1000,COLUMN(H$9)+10))),
SUMIF(INDIRECT(Equipo!$F$4&amp;"!B10:B1000"),$B144,INDIRECT(Equipo!$F$4&amp;"!"&amp;ADDRESS(10,COLUMN(H$9)+10)&amp;":"&amp;ADDRESS(1000,COLUMN(H$9)+10))),
SUMIF(INDIRECT(Equipo!$G$4&amp;"!B10:B1000"),$B144,INDIRECT(Equipo!$G$4&amp;"!"&amp;ADDRESS(10,COLUMN(H$9)+10)&amp;":"&amp;ADDRESS(1000,COLUMN(H$9)+10)))
))</f>
        <v>-</v>
      </c>
      <c r="I144" s="19" t="str">
        <f t="array" ref="I144">IF(ISBLANK(Tareas!$B140),"-",
SUM(
SUMIF(INDIRECT(Equipo!$C$4&amp;"!B10:B1000"),$B144,INDIRECT(Equipo!$C$4&amp;"!"&amp;ADDRESS(10,COLUMN(I$9)+10)&amp;":"&amp;ADDRESS(1000,COLUMN(I$9)+10))),
SUMIF(INDIRECT(Equipo!$D$4&amp;"!B10:B1000"),$B144,INDIRECT(Equipo!$D$4&amp;"!"&amp;ADDRESS(10,COLUMN(I$9)+10)&amp;":"&amp;ADDRESS(1000,COLUMN(I$9)+10))),
SUMIF(INDIRECT(Equipo!$E$4&amp;"!B10:B1000"),$B144,INDIRECT(Equipo!$E$4&amp;"!"&amp;ADDRESS(10,COLUMN(I$9)+10)&amp;":"&amp;ADDRESS(1000,COLUMN(I$9)+10))),
SUMIF(INDIRECT(Equipo!$F$4&amp;"!B10:B1000"),$B144,INDIRECT(Equipo!$F$4&amp;"!"&amp;ADDRESS(10,COLUMN(I$9)+10)&amp;":"&amp;ADDRESS(1000,COLUMN(I$9)+10))),
SUMIF(INDIRECT(Equipo!$G$4&amp;"!B10:B1000"),$B144,INDIRECT(Equipo!$G$4&amp;"!"&amp;ADDRESS(10,COLUMN(I$9)+10)&amp;":"&amp;ADDRESS(1000,COLUMN(I$9)+10)))
))</f>
        <v>-</v>
      </c>
      <c r="J144" s="19" t="str">
        <f t="array" ref="J144">IF(ISBLANK(Tareas!$B140),"-",
SUM(
SUMIF(INDIRECT(Equipo!$C$4&amp;"!B10:B1000"),$B144,INDIRECT(Equipo!$C$4&amp;"!"&amp;ADDRESS(10,COLUMN(J$9)+10)&amp;":"&amp;ADDRESS(1000,COLUMN(J$9)+10))),
SUMIF(INDIRECT(Equipo!$D$4&amp;"!B10:B1000"),$B144,INDIRECT(Equipo!$D$4&amp;"!"&amp;ADDRESS(10,COLUMN(J$9)+10)&amp;":"&amp;ADDRESS(1000,COLUMN(J$9)+10))),
SUMIF(INDIRECT(Equipo!$E$4&amp;"!B10:B1000"),$B144,INDIRECT(Equipo!$E$4&amp;"!"&amp;ADDRESS(10,COLUMN(J$9)+10)&amp;":"&amp;ADDRESS(1000,COLUMN(J$9)+10))),
SUMIF(INDIRECT(Equipo!$F$4&amp;"!B10:B1000"),$B144,INDIRECT(Equipo!$F$4&amp;"!"&amp;ADDRESS(10,COLUMN(J$9)+10)&amp;":"&amp;ADDRESS(1000,COLUMN(J$9)+10))),
SUMIF(INDIRECT(Equipo!$G$4&amp;"!B10:B1000"),$B144,INDIRECT(Equipo!$G$4&amp;"!"&amp;ADDRESS(10,COLUMN(J$9)+10)&amp;":"&amp;ADDRESS(1000,COLUMN(J$9)+10)))
))</f>
        <v>-</v>
      </c>
      <c r="K144" s="19" t="str">
        <f t="array" ref="K144">IF(ISBLANK(Tareas!$B140),"-",
SUM(
SUMIF(INDIRECT(Equipo!$C$4&amp;"!B10:B1000"),$B144,INDIRECT(Equipo!$C$4&amp;"!"&amp;ADDRESS(10,COLUMN(K$9)+10)&amp;":"&amp;ADDRESS(1000,COLUMN(K$9)+10))),
SUMIF(INDIRECT(Equipo!$D$4&amp;"!B10:B1000"),$B144,INDIRECT(Equipo!$D$4&amp;"!"&amp;ADDRESS(10,COLUMN(K$9)+10)&amp;":"&amp;ADDRESS(1000,COLUMN(K$9)+10))),
SUMIF(INDIRECT(Equipo!$E$4&amp;"!B10:B1000"),$B144,INDIRECT(Equipo!$E$4&amp;"!"&amp;ADDRESS(10,COLUMN(K$9)+10)&amp;":"&amp;ADDRESS(1000,COLUMN(K$9)+10))),
SUMIF(INDIRECT(Equipo!$F$4&amp;"!B10:B1000"),$B144,INDIRECT(Equipo!$F$4&amp;"!"&amp;ADDRESS(10,COLUMN(K$9)+10)&amp;":"&amp;ADDRESS(1000,COLUMN(K$9)+10))),
SUMIF(INDIRECT(Equipo!$G$4&amp;"!B10:B1000"),$B144,INDIRECT(Equipo!$G$4&amp;"!"&amp;ADDRESS(10,COLUMN(K$9)+10)&amp;":"&amp;ADDRESS(1000,COLUMN(K$9)+10)))
))</f>
        <v>-</v>
      </c>
    </row>
    <row r="145" ht="15.75" customHeight="1">
      <c r="C145" s="19" t="str">
        <f>IF(ISBLANK(Tareas!$B141),"-",SUM(D145:K145))</f>
        <v>-</v>
      </c>
      <c r="D145" s="19" t="str">
        <f t="array" ref="D145">IF(ISBLANK(Tareas!$B141),"-",
SUM(
SUMIF(INDIRECT(Equipo!$C$4&amp;"!B10:B1000"),$B145,INDIRECT(Equipo!$C$4&amp;"!"&amp;ADDRESS(10,COLUMN(D$9)+10)&amp;":"&amp;ADDRESS(1000,COLUMN(D$9)+10))),
SUMIF(INDIRECT(Equipo!$D$4&amp;"!B10:B1000"),$B145,INDIRECT(Equipo!$D$4&amp;"!"&amp;ADDRESS(10,COLUMN(D$9)+10)&amp;":"&amp;ADDRESS(1000,COLUMN(D$9)+10))),
SUMIF(INDIRECT(Equipo!$E$4&amp;"!B10:B1000"),$B145,INDIRECT(Equipo!$E$4&amp;"!"&amp;ADDRESS(10,COLUMN(D$9)+10)&amp;":"&amp;ADDRESS(1000,COLUMN(D$9)+10))),
SUMIF(INDIRECT(Equipo!$F$4&amp;"!B10:B1000"),$B145,INDIRECT(Equipo!$F$4&amp;"!"&amp;ADDRESS(10,COLUMN(D$9)+10)&amp;":"&amp;ADDRESS(1000,COLUMN(D$9)+10))),
SUMIF(INDIRECT(Equipo!$G$4&amp;"!B10:B1000"),$B145,INDIRECT(Equipo!$G$4&amp;"!"&amp;ADDRESS(10,COLUMN(D$9)+10)&amp;":"&amp;ADDRESS(1000,COLUMN(D$9)+10)))
))</f>
        <v>-</v>
      </c>
      <c r="E145" s="19" t="str">
        <f t="array" ref="E145">IF(ISBLANK(Tareas!$B141),"-",
SUM(
SUMIF(INDIRECT(Equipo!$C$4&amp;"!B10:B1000"),$B145,INDIRECT(Equipo!$C$4&amp;"!"&amp;ADDRESS(10,COLUMN(E$9)+10)&amp;":"&amp;ADDRESS(1000,COLUMN(E$9)+10))),
SUMIF(INDIRECT(Equipo!$D$4&amp;"!B10:B1000"),$B145,INDIRECT(Equipo!$D$4&amp;"!"&amp;ADDRESS(10,COLUMN(E$9)+10)&amp;":"&amp;ADDRESS(1000,COLUMN(E$9)+10))),
SUMIF(INDIRECT(Equipo!$E$4&amp;"!B10:B1000"),$B145,INDIRECT(Equipo!$E$4&amp;"!"&amp;ADDRESS(10,COLUMN(E$9)+10)&amp;":"&amp;ADDRESS(1000,COLUMN(E$9)+10))),
SUMIF(INDIRECT(Equipo!$F$4&amp;"!B10:B1000"),$B145,INDIRECT(Equipo!$F$4&amp;"!"&amp;ADDRESS(10,COLUMN(E$9)+10)&amp;":"&amp;ADDRESS(1000,COLUMN(E$9)+10))),
SUMIF(INDIRECT(Equipo!$G$4&amp;"!B10:B1000"),$B145,INDIRECT(Equipo!$G$4&amp;"!"&amp;ADDRESS(10,COLUMN(E$9)+10)&amp;":"&amp;ADDRESS(1000,COLUMN(E$9)+10)))
))</f>
        <v>-</v>
      </c>
      <c r="F145" s="19" t="str">
        <f t="array" ref="F145">IF(ISBLANK(Tareas!$B141),"-",
SUM(
SUMIF(INDIRECT(Equipo!$C$4&amp;"!B10:B1000"),$B145,INDIRECT(Equipo!$C$4&amp;"!"&amp;ADDRESS(10,COLUMN(F$9)+10)&amp;":"&amp;ADDRESS(1000,COLUMN(F$9)+10))),
SUMIF(INDIRECT(Equipo!$D$4&amp;"!B10:B1000"),$B145,INDIRECT(Equipo!$D$4&amp;"!"&amp;ADDRESS(10,COLUMN(F$9)+10)&amp;":"&amp;ADDRESS(1000,COLUMN(F$9)+10))),
SUMIF(INDIRECT(Equipo!$E$4&amp;"!B10:B1000"),$B145,INDIRECT(Equipo!$E$4&amp;"!"&amp;ADDRESS(10,COLUMN(F$9)+10)&amp;":"&amp;ADDRESS(1000,COLUMN(F$9)+10))),
SUMIF(INDIRECT(Equipo!$F$4&amp;"!B10:B1000"),$B145,INDIRECT(Equipo!$F$4&amp;"!"&amp;ADDRESS(10,COLUMN(F$9)+10)&amp;":"&amp;ADDRESS(1000,COLUMN(F$9)+10))),
SUMIF(INDIRECT(Equipo!$G$4&amp;"!B10:B1000"),$B145,INDIRECT(Equipo!$G$4&amp;"!"&amp;ADDRESS(10,COLUMN(F$9)+10)&amp;":"&amp;ADDRESS(1000,COLUMN(F$9)+10)))
))</f>
        <v>-</v>
      </c>
      <c r="G145" s="19" t="str">
        <f t="array" ref="G145">IF(ISBLANK(Tareas!$B141),"-",
SUM(
SUMIF(INDIRECT(Equipo!$C$4&amp;"!B10:B1000"),$B145,INDIRECT(Equipo!$C$4&amp;"!"&amp;ADDRESS(10,COLUMN(G$9)+10)&amp;":"&amp;ADDRESS(1000,COLUMN(G$9)+10))),
SUMIF(INDIRECT(Equipo!$D$4&amp;"!B10:B1000"),$B145,INDIRECT(Equipo!$D$4&amp;"!"&amp;ADDRESS(10,COLUMN(G$9)+10)&amp;":"&amp;ADDRESS(1000,COLUMN(G$9)+10))),
SUMIF(INDIRECT(Equipo!$E$4&amp;"!B10:B1000"),$B145,INDIRECT(Equipo!$E$4&amp;"!"&amp;ADDRESS(10,COLUMN(G$9)+10)&amp;":"&amp;ADDRESS(1000,COLUMN(G$9)+10))),
SUMIF(INDIRECT(Equipo!$F$4&amp;"!B10:B1000"),$B145,INDIRECT(Equipo!$F$4&amp;"!"&amp;ADDRESS(10,COLUMN(G$9)+10)&amp;":"&amp;ADDRESS(1000,COLUMN(G$9)+10))),
SUMIF(INDIRECT(Equipo!$G$4&amp;"!B10:B1000"),$B145,INDIRECT(Equipo!$G$4&amp;"!"&amp;ADDRESS(10,COLUMN(G$9)+10)&amp;":"&amp;ADDRESS(1000,COLUMN(G$9)+10)))
))</f>
        <v>-</v>
      </c>
      <c r="H145" s="19" t="str">
        <f t="array" ref="H145">IF(ISBLANK(Tareas!$B141),"-",
SUM(
SUMIF(INDIRECT(Equipo!$C$4&amp;"!B10:B1000"),$B145,INDIRECT(Equipo!$C$4&amp;"!"&amp;ADDRESS(10,COLUMN(H$9)+10)&amp;":"&amp;ADDRESS(1000,COLUMN(H$9)+10))),
SUMIF(INDIRECT(Equipo!$D$4&amp;"!B10:B1000"),$B145,INDIRECT(Equipo!$D$4&amp;"!"&amp;ADDRESS(10,COLUMN(H$9)+10)&amp;":"&amp;ADDRESS(1000,COLUMN(H$9)+10))),
SUMIF(INDIRECT(Equipo!$E$4&amp;"!B10:B1000"),$B145,INDIRECT(Equipo!$E$4&amp;"!"&amp;ADDRESS(10,COLUMN(H$9)+10)&amp;":"&amp;ADDRESS(1000,COLUMN(H$9)+10))),
SUMIF(INDIRECT(Equipo!$F$4&amp;"!B10:B1000"),$B145,INDIRECT(Equipo!$F$4&amp;"!"&amp;ADDRESS(10,COLUMN(H$9)+10)&amp;":"&amp;ADDRESS(1000,COLUMN(H$9)+10))),
SUMIF(INDIRECT(Equipo!$G$4&amp;"!B10:B1000"),$B145,INDIRECT(Equipo!$G$4&amp;"!"&amp;ADDRESS(10,COLUMN(H$9)+10)&amp;":"&amp;ADDRESS(1000,COLUMN(H$9)+10)))
))</f>
        <v>-</v>
      </c>
      <c r="I145" s="19" t="str">
        <f t="array" ref="I145">IF(ISBLANK(Tareas!$B141),"-",
SUM(
SUMIF(INDIRECT(Equipo!$C$4&amp;"!B10:B1000"),$B145,INDIRECT(Equipo!$C$4&amp;"!"&amp;ADDRESS(10,COLUMN(I$9)+10)&amp;":"&amp;ADDRESS(1000,COLUMN(I$9)+10))),
SUMIF(INDIRECT(Equipo!$D$4&amp;"!B10:B1000"),$B145,INDIRECT(Equipo!$D$4&amp;"!"&amp;ADDRESS(10,COLUMN(I$9)+10)&amp;":"&amp;ADDRESS(1000,COLUMN(I$9)+10))),
SUMIF(INDIRECT(Equipo!$E$4&amp;"!B10:B1000"),$B145,INDIRECT(Equipo!$E$4&amp;"!"&amp;ADDRESS(10,COLUMN(I$9)+10)&amp;":"&amp;ADDRESS(1000,COLUMN(I$9)+10))),
SUMIF(INDIRECT(Equipo!$F$4&amp;"!B10:B1000"),$B145,INDIRECT(Equipo!$F$4&amp;"!"&amp;ADDRESS(10,COLUMN(I$9)+10)&amp;":"&amp;ADDRESS(1000,COLUMN(I$9)+10))),
SUMIF(INDIRECT(Equipo!$G$4&amp;"!B10:B1000"),$B145,INDIRECT(Equipo!$G$4&amp;"!"&amp;ADDRESS(10,COLUMN(I$9)+10)&amp;":"&amp;ADDRESS(1000,COLUMN(I$9)+10)))
))</f>
        <v>-</v>
      </c>
      <c r="J145" s="19" t="str">
        <f t="array" ref="J145">IF(ISBLANK(Tareas!$B141),"-",
SUM(
SUMIF(INDIRECT(Equipo!$C$4&amp;"!B10:B1000"),$B145,INDIRECT(Equipo!$C$4&amp;"!"&amp;ADDRESS(10,COLUMN(J$9)+10)&amp;":"&amp;ADDRESS(1000,COLUMN(J$9)+10))),
SUMIF(INDIRECT(Equipo!$D$4&amp;"!B10:B1000"),$B145,INDIRECT(Equipo!$D$4&amp;"!"&amp;ADDRESS(10,COLUMN(J$9)+10)&amp;":"&amp;ADDRESS(1000,COLUMN(J$9)+10))),
SUMIF(INDIRECT(Equipo!$E$4&amp;"!B10:B1000"),$B145,INDIRECT(Equipo!$E$4&amp;"!"&amp;ADDRESS(10,COLUMN(J$9)+10)&amp;":"&amp;ADDRESS(1000,COLUMN(J$9)+10))),
SUMIF(INDIRECT(Equipo!$F$4&amp;"!B10:B1000"),$B145,INDIRECT(Equipo!$F$4&amp;"!"&amp;ADDRESS(10,COLUMN(J$9)+10)&amp;":"&amp;ADDRESS(1000,COLUMN(J$9)+10))),
SUMIF(INDIRECT(Equipo!$G$4&amp;"!B10:B1000"),$B145,INDIRECT(Equipo!$G$4&amp;"!"&amp;ADDRESS(10,COLUMN(J$9)+10)&amp;":"&amp;ADDRESS(1000,COLUMN(J$9)+10)))
))</f>
        <v>-</v>
      </c>
      <c r="K145" s="19" t="str">
        <f t="array" ref="K145">IF(ISBLANK(Tareas!$B141),"-",
SUM(
SUMIF(INDIRECT(Equipo!$C$4&amp;"!B10:B1000"),$B145,INDIRECT(Equipo!$C$4&amp;"!"&amp;ADDRESS(10,COLUMN(K$9)+10)&amp;":"&amp;ADDRESS(1000,COLUMN(K$9)+10))),
SUMIF(INDIRECT(Equipo!$D$4&amp;"!B10:B1000"),$B145,INDIRECT(Equipo!$D$4&amp;"!"&amp;ADDRESS(10,COLUMN(K$9)+10)&amp;":"&amp;ADDRESS(1000,COLUMN(K$9)+10))),
SUMIF(INDIRECT(Equipo!$E$4&amp;"!B10:B1000"),$B145,INDIRECT(Equipo!$E$4&amp;"!"&amp;ADDRESS(10,COLUMN(K$9)+10)&amp;":"&amp;ADDRESS(1000,COLUMN(K$9)+10))),
SUMIF(INDIRECT(Equipo!$F$4&amp;"!B10:B1000"),$B145,INDIRECT(Equipo!$F$4&amp;"!"&amp;ADDRESS(10,COLUMN(K$9)+10)&amp;":"&amp;ADDRESS(1000,COLUMN(K$9)+10))),
SUMIF(INDIRECT(Equipo!$G$4&amp;"!B10:B1000"),$B145,INDIRECT(Equipo!$G$4&amp;"!"&amp;ADDRESS(10,COLUMN(K$9)+10)&amp;":"&amp;ADDRESS(1000,COLUMN(K$9)+10)))
))</f>
        <v>-</v>
      </c>
    </row>
    <row r="146" ht="15.75" customHeight="1">
      <c r="C146" s="19" t="str">
        <f>IF(ISBLANK(Tareas!$B142),"-",SUM(D146:K146))</f>
        <v>-</v>
      </c>
      <c r="D146" s="19" t="str">
        <f t="array" ref="D146">IF(ISBLANK(Tareas!$B142),"-",
SUM(
SUMIF(INDIRECT(Equipo!$C$4&amp;"!B10:B1000"),$B146,INDIRECT(Equipo!$C$4&amp;"!"&amp;ADDRESS(10,COLUMN(D$9)+10)&amp;":"&amp;ADDRESS(1000,COLUMN(D$9)+10))),
SUMIF(INDIRECT(Equipo!$D$4&amp;"!B10:B1000"),$B146,INDIRECT(Equipo!$D$4&amp;"!"&amp;ADDRESS(10,COLUMN(D$9)+10)&amp;":"&amp;ADDRESS(1000,COLUMN(D$9)+10))),
SUMIF(INDIRECT(Equipo!$E$4&amp;"!B10:B1000"),$B146,INDIRECT(Equipo!$E$4&amp;"!"&amp;ADDRESS(10,COLUMN(D$9)+10)&amp;":"&amp;ADDRESS(1000,COLUMN(D$9)+10))),
SUMIF(INDIRECT(Equipo!$F$4&amp;"!B10:B1000"),$B146,INDIRECT(Equipo!$F$4&amp;"!"&amp;ADDRESS(10,COLUMN(D$9)+10)&amp;":"&amp;ADDRESS(1000,COLUMN(D$9)+10))),
SUMIF(INDIRECT(Equipo!$G$4&amp;"!B10:B1000"),$B146,INDIRECT(Equipo!$G$4&amp;"!"&amp;ADDRESS(10,COLUMN(D$9)+10)&amp;":"&amp;ADDRESS(1000,COLUMN(D$9)+10)))
))</f>
        <v>-</v>
      </c>
      <c r="E146" s="19" t="str">
        <f t="array" ref="E146">IF(ISBLANK(Tareas!$B142),"-",
SUM(
SUMIF(INDIRECT(Equipo!$C$4&amp;"!B10:B1000"),$B146,INDIRECT(Equipo!$C$4&amp;"!"&amp;ADDRESS(10,COLUMN(E$9)+10)&amp;":"&amp;ADDRESS(1000,COLUMN(E$9)+10))),
SUMIF(INDIRECT(Equipo!$D$4&amp;"!B10:B1000"),$B146,INDIRECT(Equipo!$D$4&amp;"!"&amp;ADDRESS(10,COLUMN(E$9)+10)&amp;":"&amp;ADDRESS(1000,COLUMN(E$9)+10))),
SUMIF(INDIRECT(Equipo!$E$4&amp;"!B10:B1000"),$B146,INDIRECT(Equipo!$E$4&amp;"!"&amp;ADDRESS(10,COLUMN(E$9)+10)&amp;":"&amp;ADDRESS(1000,COLUMN(E$9)+10))),
SUMIF(INDIRECT(Equipo!$F$4&amp;"!B10:B1000"),$B146,INDIRECT(Equipo!$F$4&amp;"!"&amp;ADDRESS(10,COLUMN(E$9)+10)&amp;":"&amp;ADDRESS(1000,COLUMN(E$9)+10))),
SUMIF(INDIRECT(Equipo!$G$4&amp;"!B10:B1000"),$B146,INDIRECT(Equipo!$G$4&amp;"!"&amp;ADDRESS(10,COLUMN(E$9)+10)&amp;":"&amp;ADDRESS(1000,COLUMN(E$9)+10)))
))</f>
        <v>-</v>
      </c>
      <c r="F146" s="19" t="str">
        <f t="array" ref="F146">IF(ISBLANK(Tareas!$B142),"-",
SUM(
SUMIF(INDIRECT(Equipo!$C$4&amp;"!B10:B1000"),$B146,INDIRECT(Equipo!$C$4&amp;"!"&amp;ADDRESS(10,COLUMN(F$9)+10)&amp;":"&amp;ADDRESS(1000,COLUMN(F$9)+10))),
SUMIF(INDIRECT(Equipo!$D$4&amp;"!B10:B1000"),$B146,INDIRECT(Equipo!$D$4&amp;"!"&amp;ADDRESS(10,COLUMN(F$9)+10)&amp;":"&amp;ADDRESS(1000,COLUMN(F$9)+10))),
SUMIF(INDIRECT(Equipo!$E$4&amp;"!B10:B1000"),$B146,INDIRECT(Equipo!$E$4&amp;"!"&amp;ADDRESS(10,COLUMN(F$9)+10)&amp;":"&amp;ADDRESS(1000,COLUMN(F$9)+10))),
SUMIF(INDIRECT(Equipo!$F$4&amp;"!B10:B1000"),$B146,INDIRECT(Equipo!$F$4&amp;"!"&amp;ADDRESS(10,COLUMN(F$9)+10)&amp;":"&amp;ADDRESS(1000,COLUMN(F$9)+10))),
SUMIF(INDIRECT(Equipo!$G$4&amp;"!B10:B1000"),$B146,INDIRECT(Equipo!$G$4&amp;"!"&amp;ADDRESS(10,COLUMN(F$9)+10)&amp;":"&amp;ADDRESS(1000,COLUMN(F$9)+10)))
))</f>
        <v>-</v>
      </c>
      <c r="G146" s="19" t="str">
        <f t="array" ref="G146">IF(ISBLANK(Tareas!$B142),"-",
SUM(
SUMIF(INDIRECT(Equipo!$C$4&amp;"!B10:B1000"),$B146,INDIRECT(Equipo!$C$4&amp;"!"&amp;ADDRESS(10,COLUMN(G$9)+10)&amp;":"&amp;ADDRESS(1000,COLUMN(G$9)+10))),
SUMIF(INDIRECT(Equipo!$D$4&amp;"!B10:B1000"),$B146,INDIRECT(Equipo!$D$4&amp;"!"&amp;ADDRESS(10,COLUMN(G$9)+10)&amp;":"&amp;ADDRESS(1000,COLUMN(G$9)+10))),
SUMIF(INDIRECT(Equipo!$E$4&amp;"!B10:B1000"),$B146,INDIRECT(Equipo!$E$4&amp;"!"&amp;ADDRESS(10,COLUMN(G$9)+10)&amp;":"&amp;ADDRESS(1000,COLUMN(G$9)+10))),
SUMIF(INDIRECT(Equipo!$F$4&amp;"!B10:B1000"),$B146,INDIRECT(Equipo!$F$4&amp;"!"&amp;ADDRESS(10,COLUMN(G$9)+10)&amp;":"&amp;ADDRESS(1000,COLUMN(G$9)+10))),
SUMIF(INDIRECT(Equipo!$G$4&amp;"!B10:B1000"),$B146,INDIRECT(Equipo!$G$4&amp;"!"&amp;ADDRESS(10,COLUMN(G$9)+10)&amp;":"&amp;ADDRESS(1000,COLUMN(G$9)+10)))
))</f>
        <v>-</v>
      </c>
      <c r="H146" s="19" t="str">
        <f t="array" ref="H146">IF(ISBLANK(Tareas!$B142),"-",
SUM(
SUMIF(INDIRECT(Equipo!$C$4&amp;"!B10:B1000"),$B146,INDIRECT(Equipo!$C$4&amp;"!"&amp;ADDRESS(10,COLUMN(H$9)+10)&amp;":"&amp;ADDRESS(1000,COLUMN(H$9)+10))),
SUMIF(INDIRECT(Equipo!$D$4&amp;"!B10:B1000"),$B146,INDIRECT(Equipo!$D$4&amp;"!"&amp;ADDRESS(10,COLUMN(H$9)+10)&amp;":"&amp;ADDRESS(1000,COLUMN(H$9)+10))),
SUMIF(INDIRECT(Equipo!$E$4&amp;"!B10:B1000"),$B146,INDIRECT(Equipo!$E$4&amp;"!"&amp;ADDRESS(10,COLUMN(H$9)+10)&amp;":"&amp;ADDRESS(1000,COLUMN(H$9)+10))),
SUMIF(INDIRECT(Equipo!$F$4&amp;"!B10:B1000"),$B146,INDIRECT(Equipo!$F$4&amp;"!"&amp;ADDRESS(10,COLUMN(H$9)+10)&amp;":"&amp;ADDRESS(1000,COLUMN(H$9)+10))),
SUMIF(INDIRECT(Equipo!$G$4&amp;"!B10:B1000"),$B146,INDIRECT(Equipo!$G$4&amp;"!"&amp;ADDRESS(10,COLUMN(H$9)+10)&amp;":"&amp;ADDRESS(1000,COLUMN(H$9)+10)))
))</f>
        <v>-</v>
      </c>
      <c r="I146" s="19" t="str">
        <f t="array" ref="I146">IF(ISBLANK(Tareas!$B142),"-",
SUM(
SUMIF(INDIRECT(Equipo!$C$4&amp;"!B10:B1000"),$B146,INDIRECT(Equipo!$C$4&amp;"!"&amp;ADDRESS(10,COLUMN(I$9)+10)&amp;":"&amp;ADDRESS(1000,COLUMN(I$9)+10))),
SUMIF(INDIRECT(Equipo!$D$4&amp;"!B10:B1000"),$B146,INDIRECT(Equipo!$D$4&amp;"!"&amp;ADDRESS(10,COLUMN(I$9)+10)&amp;":"&amp;ADDRESS(1000,COLUMN(I$9)+10))),
SUMIF(INDIRECT(Equipo!$E$4&amp;"!B10:B1000"),$B146,INDIRECT(Equipo!$E$4&amp;"!"&amp;ADDRESS(10,COLUMN(I$9)+10)&amp;":"&amp;ADDRESS(1000,COLUMN(I$9)+10))),
SUMIF(INDIRECT(Equipo!$F$4&amp;"!B10:B1000"),$B146,INDIRECT(Equipo!$F$4&amp;"!"&amp;ADDRESS(10,COLUMN(I$9)+10)&amp;":"&amp;ADDRESS(1000,COLUMN(I$9)+10))),
SUMIF(INDIRECT(Equipo!$G$4&amp;"!B10:B1000"),$B146,INDIRECT(Equipo!$G$4&amp;"!"&amp;ADDRESS(10,COLUMN(I$9)+10)&amp;":"&amp;ADDRESS(1000,COLUMN(I$9)+10)))
))</f>
        <v>-</v>
      </c>
      <c r="J146" s="19" t="str">
        <f t="array" ref="J146">IF(ISBLANK(Tareas!$B142),"-",
SUM(
SUMIF(INDIRECT(Equipo!$C$4&amp;"!B10:B1000"),$B146,INDIRECT(Equipo!$C$4&amp;"!"&amp;ADDRESS(10,COLUMN(J$9)+10)&amp;":"&amp;ADDRESS(1000,COLUMN(J$9)+10))),
SUMIF(INDIRECT(Equipo!$D$4&amp;"!B10:B1000"),$B146,INDIRECT(Equipo!$D$4&amp;"!"&amp;ADDRESS(10,COLUMN(J$9)+10)&amp;":"&amp;ADDRESS(1000,COLUMN(J$9)+10))),
SUMIF(INDIRECT(Equipo!$E$4&amp;"!B10:B1000"),$B146,INDIRECT(Equipo!$E$4&amp;"!"&amp;ADDRESS(10,COLUMN(J$9)+10)&amp;":"&amp;ADDRESS(1000,COLUMN(J$9)+10))),
SUMIF(INDIRECT(Equipo!$F$4&amp;"!B10:B1000"),$B146,INDIRECT(Equipo!$F$4&amp;"!"&amp;ADDRESS(10,COLUMN(J$9)+10)&amp;":"&amp;ADDRESS(1000,COLUMN(J$9)+10))),
SUMIF(INDIRECT(Equipo!$G$4&amp;"!B10:B1000"),$B146,INDIRECT(Equipo!$G$4&amp;"!"&amp;ADDRESS(10,COLUMN(J$9)+10)&amp;":"&amp;ADDRESS(1000,COLUMN(J$9)+10)))
))</f>
        <v>-</v>
      </c>
      <c r="K146" s="19" t="str">
        <f t="array" ref="K146">IF(ISBLANK(Tareas!$B142),"-",
SUM(
SUMIF(INDIRECT(Equipo!$C$4&amp;"!B10:B1000"),$B146,INDIRECT(Equipo!$C$4&amp;"!"&amp;ADDRESS(10,COLUMN(K$9)+10)&amp;":"&amp;ADDRESS(1000,COLUMN(K$9)+10))),
SUMIF(INDIRECT(Equipo!$D$4&amp;"!B10:B1000"),$B146,INDIRECT(Equipo!$D$4&amp;"!"&amp;ADDRESS(10,COLUMN(K$9)+10)&amp;":"&amp;ADDRESS(1000,COLUMN(K$9)+10))),
SUMIF(INDIRECT(Equipo!$E$4&amp;"!B10:B1000"),$B146,INDIRECT(Equipo!$E$4&amp;"!"&amp;ADDRESS(10,COLUMN(K$9)+10)&amp;":"&amp;ADDRESS(1000,COLUMN(K$9)+10))),
SUMIF(INDIRECT(Equipo!$F$4&amp;"!B10:B1000"),$B146,INDIRECT(Equipo!$F$4&amp;"!"&amp;ADDRESS(10,COLUMN(K$9)+10)&amp;":"&amp;ADDRESS(1000,COLUMN(K$9)+10))),
SUMIF(INDIRECT(Equipo!$G$4&amp;"!B10:B1000"),$B146,INDIRECT(Equipo!$G$4&amp;"!"&amp;ADDRESS(10,COLUMN(K$9)+10)&amp;":"&amp;ADDRESS(1000,COLUMN(K$9)+10)))
))</f>
        <v>-</v>
      </c>
    </row>
    <row r="147" ht="15.75" customHeight="1">
      <c r="C147" s="19" t="str">
        <f>IF(ISBLANK(Tareas!$B143),"-",SUM(D147:K147))</f>
        <v>-</v>
      </c>
      <c r="D147" s="19" t="str">
        <f t="array" ref="D147">IF(ISBLANK(Tareas!$B143),"-",
SUM(
SUMIF(INDIRECT(Equipo!$C$4&amp;"!B10:B1000"),$B147,INDIRECT(Equipo!$C$4&amp;"!"&amp;ADDRESS(10,COLUMN(D$9)+10)&amp;":"&amp;ADDRESS(1000,COLUMN(D$9)+10))),
SUMIF(INDIRECT(Equipo!$D$4&amp;"!B10:B1000"),$B147,INDIRECT(Equipo!$D$4&amp;"!"&amp;ADDRESS(10,COLUMN(D$9)+10)&amp;":"&amp;ADDRESS(1000,COLUMN(D$9)+10))),
SUMIF(INDIRECT(Equipo!$E$4&amp;"!B10:B1000"),$B147,INDIRECT(Equipo!$E$4&amp;"!"&amp;ADDRESS(10,COLUMN(D$9)+10)&amp;":"&amp;ADDRESS(1000,COLUMN(D$9)+10))),
SUMIF(INDIRECT(Equipo!$F$4&amp;"!B10:B1000"),$B147,INDIRECT(Equipo!$F$4&amp;"!"&amp;ADDRESS(10,COLUMN(D$9)+10)&amp;":"&amp;ADDRESS(1000,COLUMN(D$9)+10))),
SUMIF(INDIRECT(Equipo!$G$4&amp;"!B10:B1000"),$B147,INDIRECT(Equipo!$G$4&amp;"!"&amp;ADDRESS(10,COLUMN(D$9)+10)&amp;":"&amp;ADDRESS(1000,COLUMN(D$9)+10)))
))</f>
        <v>-</v>
      </c>
      <c r="E147" s="19" t="str">
        <f t="array" ref="E147">IF(ISBLANK(Tareas!$B143),"-",
SUM(
SUMIF(INDIRECT(Equipo!$C$4&amp;"!B10:B1000"),$B147,INDIRECT(Equipo!$C$4&amp;"!"&amp;ADDRESS(10,COLUMN(E$9)+10)&amp;":"&amp;ADDRESS(1000,COLUMN(E$9)+10))),
SUMIF(INDIRECT(Equipo!$D$4&amp;"!B10:B1000"),$B147,INDIRECT(Equipo!$D$4&amp;"!"&amp;ADDRESS(10,COLUMN(E$9)+10)&amp;":"&amp;ADDRESS(1000,COLUMN(E$9)+10))),
SUMIF(INDIRECT(Equipo!$E$4&amp;"!B10:B1000"),$B147,INDIRECT(Equipo!$E$4&amp;"!"&amp;ADDRESS(10,COLUMN(E$9)+10)&amp;":"&amp;ADDRESS(1000,COLUMN(E$9)+10))),
SUMIF(INDIRECT(Equipo!$F$4&amp;"!B10:B1000"),$B147,INDIRECT(Equipo!$F$4&amp;"!"&amp;ADDRESS(10,COLUMN(E$9)+10)&amp;":"&amp;ADDRESS(1000,COLUMN(E$9)+10))),
SUMIF(INDIRECT(Equipo!$G$4&amp;"!B10:B1000"),$B147,INDIRECT(Equipo!$G$4&amp;"!"&amp;ADDRESS(10,COLUMN(E$9)+10)&amp;":"&amp;ADDRESS(1000,COLUMN(E$9)+10)))
))</f>
        <v>-</v>
      </c>
      <c r="F147" s="19" t="str">
        <f t="array" ref="F147">IF(ISBLANK(Tareas!$B143),"-",
SUM(
SUMIF(INDIRECT(Equipo!$C$4&amp;"!B10:B1000"),$B147,INDIRECT(Equipo!$C$4&amp;"!"&amp;ADDRESS(10,COLUMN(F$9)+10)&amp;":"&amp;ADDRESS(1000,COLUMN(F$9)+10))),
SUMIF(INDIRECT(Equipo!$D$4&amp;"!B10:B1000"),$B147,INDIRECT(Equipo!$D$4&amp;"!"&amp;ADDRESS(10,COLUMN(F$9)+10)&amp;":"&amp;ADDRESS(1000,COLUMN(F$9)+10))),
SUMIF(INDIRECT(Equipo!$E$4&amp;"!B10:B1000"),$B147,INDIRECT(Equipo!$E$4&amp;"!"&amp;ADDRESS(10,COLUMN(F$9)+10)&amp;":"&amp;ADDRESS(1000,COLUMN(F$9)+10))),
SUMIF(INDIRECT(Equipo!$F$4&amp;"!B10:B1000"),$B147,INDIRECT(Equipo!$F$4&amp;"!"&amp;ADDRESS(10,COLUMN(F$9)+10)&amp;":"&amp;ADDRESS(1000,COLUMN(F$9)+10))),
SUMIF(INDIRECT(Equipo!$G$4&amp;"!B10:B1000"),$B147,INDIRECT(Equipo!$G$4&amp;"!"&amp;ADDRESS(10,COLUMN(F$9)+10)&amp;":"&amp;ADDRESS(1000,COLUMN(F$9)+10)))
))</f>
        <v>-</v>
      </c>
      <c r="G147" s="19" t="str">
        <f t="array" ref="G147">IF(ISBLANK(Tareas!$B143),"-",
SUM(
SUMIF(INDIRECT(Equipo!$C$4&amp;"!B10:B1000"),$B147,INDIRECT(Equipo!$C$4&amp;"!"&amp;ADDRESS(10,COLUMN(G$9)+10)&amp;":"&amp;ADDRESS(1000,COLUMN(G$9)+10))),
SUMIF(INDIRECT(Equipo!$D$4&amp;"!B10:B1000"),$B147,INDIRECT(Equipo!$D$4&amp;"!"&amp;ADDRESS(10,COLUMN(G$9)+10)&amp;":"&amp;ADDRESS(1000,COLUMN(G$9)+10))),
SUMIF(INDIRECT(Equipo!$E$4&amp;"!B10:B1000"),$B147,INDIRECT(Equipo!$E$4&amp;"!"&amp;ADDRESS(10,COLUMN(G$9)+10)&amp;":"&amp;ADDRESS(1000,COLUMN(G$9)+10))),
SUMIF(INDIRECT(Equipo!$F$4&amp;"!B10:B1000"),$B147,INDIRECT(Equipo!$F$4&amp;"!"&amp;ADDRESS(10,COLUMN(G$9)+10)&amp;":"&amp;ADDRESS(1000,COLUMN(G$9)+10))),
SUMIF(INDIRECT(Equipo!$G$4&amp;"!B10:B1000"),$B147,INDIRECT(Equipo!$G$4&amp;"!"&amp;ADDRESS(10,COLUMN(G$9)+10)&amp;":"&amp;ADDRESS(1000,COLUMN(G$9)+10)))
))</f>
        <v>-</v>
      </c>
      <c r="H147" s="19" t="str">
        <f t="array" ref="H147">IF(ISBLANK(Tareas!$B143),"-",
SUM(
SUMIF(INDIRECT(Equipo!$C$4&amp;"!B10:B1000"),$B147,INDIRECT(Equipo!$C$4&amp;"!"&amp;ADDRESS(10,COLUMN(H$9)+10)&amp;":"&amp;ADDRESS(1000,COLUMN(H$9)+10))),
SUMIF(INDIRECT(Equipo!$D$4&amp;"!B10:B1000"),$B147,INDIRECT(Equipo!$D$4&amp;"!"&amp;ADDRESS(10,COLUMN(H$9)+10)&amp;":"&amp;ADDRESS(1000,COLUMN(H$9)+10))),
SUMIF(INDIRECT(Equipo!$E$4&amp;"!B10:B1000"),$B147,INDIRECT(Equipo!$E$4&amp;"!"&amp;ADDRESS(10,COLUMN(H$9)+10)&amp;":"&amp;ADDRESS(1000,COLUMN(H$9)+10))),
SUMIF(INDIRECT(Equipo!$F$4&amp;"!B10:B1000"),$B147,INDIRECT(Equipo!$F$4&amp;"!"&amp;ADDRESS(10,COLUMN(H$9)+10)&amp;":"&amp;ADDRESS(1000,COLUMN(H$9)+10))),
SUMIF(INDIRECT(Equipo!$G$4&amp;"!B10:B1000"),$B147,INDIRECT(Equipo!$G$4&amp;"!"&amp;ADDRESS(10,COLUMN(H$9)+10)&amp;":"&amp;ADDRESS(1000,COLUMN(H$9)+10)))
))</f>
        <v>-</v>
      </c>
      <c r="I147" s="19" t="str">
        <f t="array" ref="I147">IF(ISBLANK(Tareas!$B143),"-",
SUM(
SUMIF(INDIRECT(Equipo!$C$4&amp;"!B10:B1000"),$B147,INDIRECT(Equipo!$C$4&amp;"!"&amp;ADDRESS(10,COLUMN(I$9)+10)&amp;":"&amp;ADDRESS(1000,COLUMN(I$9)+10))),
SUMIF(INDIRECT(Equipo!$D$4&amp;"!B10:B1000"),$B147,INDIRECT(Equipo!$D$4&amp;"!"&amp;ADDRESS(10,COLUMN(I$9)+10)&amp;":"&amp;ADDRESS(1000,COLUMN(I$9)+10))),
SUMIF(INDIRECT(Equipo!$E$4&amp;"!B10:B1000"),$B147,INDIRECT(Equipo!$E$4&amp;"!"&amp;ADDRESS(10,COLUMN(I$9)+10)&amp;":"&amp;ADDRESS(1000,COLUMN(I$9)+10))),
SUMIF(INDIRECT(Equipo!$F$4&amp;"!B10:B1000"),$B147,INDIRECT(Equipo!$F$4&amp;"!"&amp;ADDRESS(10,COLUMN(I$9)+10)&amp;":"&amp;ADDRESS(1000,COLUMN(I$9)+10))),
SUMIF(INDIRECT(Equipo!$G$4&amp;"!B10:B1000"),$B147,INDIRECT(Equipo!$G$4&amp;"!"&amp;ADDRESS(10,COLUMN(I$9)+10)&amp;":"&amp;ADDRESS(1000,COLUMN(I$9)+10)))
))</f>
        <v>-</v>
      </c>
      <c r="J147" s="19" t="str">
        <f t="array" ref="J147">IF(ISBLANK(Tareas!$B143),"-",
SUM(
SUMIF(INDIRECT(Equipo!$C$4&amp;"!B10:B1000"),$B147,INDIRECT(Equipo!$C$4&amp;"!"&amp;ADDRESS(10,COLUMN(J$9)+10)&amp;":"&amp;ADDRESS(1000,COLUMN(J$9)+10))),
SUMIF(INDIRECT(Equipo!$D$4&amp;"!B10:B1000"),$B147,INDIRECT(Equipo!$D$4&amp;"!"&amp;ADDRESS(10,COLUMN(J$9)+10)&amp;":"&amp;ADDRESS(1000,COLUMN(J$9)+10))),
SUMIF(INDIRECT(Equipo!$E$4&amp;"!B10:B1000"),$B147,INDIRECT(Equipo!$E$4&amp;"!"&amp;ADDRESS(10,COLUMN(J$9)+10)&amp;":"&amp;ADDRESS(1000,COLUMN(J$9)+10))),
SUMIF(INDIRECT(Equipo!$F$4&amp;"!B10:B1000"),$B147,INDIRECT(Equipo!$F$4&amp;"!"&amp;ADDRESS(10,COLUMN(J$9)+10)&amp;":"&amp;ADDRESS(1000,COLUMN(J$9)+10))),
SUMIF(INDIRECT(Equipo!$G$4&amp;"!B10:B1000"),$B147,INDIRECT(Equipo!$G$4&amp;"!"&amp;ADDRESS(10,COLUMN(J$9)+10)&amp;":"&amp;ADDRESS(1000,COLUMN(J$9)+10)))
))</f>
        <v>-</v>
      </c>
      <c r="K147" s="19" t="str">
        <f t="array" ref="K147">IF(ISBLANK(Tareas!$B143),"-",
SUM(
SUMIF(INDIRECT(Equipo!$C$4&amp;"!B10:B1000"),$B147,INDIRECT(Equipo!$C$4&amp;"!"&amp;ADDRESS(10,COLUMN(K$9)+10)&amp;":"&amp;ADDRESS(1000,COLUMN(K$9)+10))),
SUMIF(INDIRECT(Equipo!$D$4&amp;"!B10:B1000"),$B147,INDIRECT(Equipo!$D$4&amp;"!"&amp;ADDRESS(10,COLUMN(K$9)+10)&amp;":"&amp;ADDRESS(1000,COLUMN(K$9)+10))),
SUMIF(INDIRECT(Equipo!$E$4&amp;"!B10:B1000"),$B147,INDIRECT(Equipo!$E$4&amp;"!"&amp;ADDRESS(10,COLUMN(K$9)+10)&amp;":"&amp;ADDRESS(1000,COLUMN(K$9)+10))),
SUMIF(INDIRECT(Equipo!$F$4&amp;"!B10:B1000"),$B147,INDIRECT(Equipo!$F$4&amp;"!"&amp;ADDRESS(10,COLUMN(K$9)+10)&amp;":"&amp;ADDRESS(1000,COLUMN(K$9)+10))),
SUMIF(INDIRECT(Equipo!$G$4&amp;"!B10:B1000"),$B147,INDIRECT(Equipo!$G$4&amp;"!"&amp;ADDRESS(10,COLUMN(K$9)+10)&amp;":"&amp;ADDRESS(1000,COLUMN(K$9)+10)))
))</f>
        <v>-</v>
      </c>
    </row>
    <row r="148" ht="15.75" customHeight="1">
      <c r="C148" s="19" t="str">
        <f>IF(ISBLANK(Tareas!$B144),"-",SUM(D148:K148))</f>
        <v>-</v>
      </c>
      <c r="D148" s="19" t="str">
        <f t="array" ref="D148">IF(ISBLANK(Tareas!$B144),"-",
SUM(
SUMIF(INDIRECT(Equipo!$C$4&amp;"!B10:B1000"),$B148,INDIRECT(Equipo!$C$4&amp;"!"&amp;ADDRESS(10,COLUMN(D$9)+10)&amp;":"&amp;ADDRESS(1000,COLUMN(D$9)+10))),
SUMIF(INDIRECT(Equipo!$D$4&amp;"!B10:B1000"),$B148,INDIRECT(Equipo!$D$4&amp;"!"&amp;ADDRESS(10,COLUMN(D$9)+10)&amp;":"&amp;ADDRESS(1000,COLUMN(D$9)+10))),
SUMIF(INDIRECT(Equipo!$E$4&amp;"!B10:B1000"),$B148,INDIRECT(Equipo!$E$4&amp;"!"&amp;ADDRESS(10,COLUMN(D$9)+10)&amp;":"&amp;ADDRESS(1000,COLUMN(D$9)+10))),
SUMIF(INDIRECT(Equipo!$F$4&amp;"!B10:B1000"),$B148,INDIRECT(Equipo!$F$4&amp;"!"&amp;ADDRESS(10,COLUMN(D$9)+10)&amp;":"&amp;ADDRESS(1000,COLUMN(D$9)+10))),
SUMIF(INDIRECT(Equipo!$G$4&amp;"!B10:B1000"),$B148,INDIRECT(Equipo!$G$4&amp;"!"&amp;ADDRESS(10,COLUMN(D$9)+10)&amp;":"&amp;ADDRESS(1000,COLUMN(D$9)+10)))
))</f>
        <v>-</v>
      </c>
      <c r="E148" s="19" t="str">
        <f t="array" ref="E148">IF(ISBLANK(Tareas!$B144),"-",
SUM(
SUMIF(INDIRECT(Equipo!$C$4&amp;"!B10:B1000"),$B148,INDIRECT(Equipo!$C$4&amp;"!"&amp;ADDRESS(10,COLUMN(E$9)+10)&amp;":"&amp;ADDRESS(1000,COLUMN(E$9)+10))),
SUMIF(INDIRECT(Equipo!$D$4&amp;"!B10:B1000"),$B148,INDIRECT(Equipo!$D$4&amp;"!"&amp;ADDRESS(10,COLUMN(E$9)+10)&amp;":"&amp;ADDRESS(1000,COLUMN(E$9)+10))),
SUMIF(INDIRECT(Equipo!$E$4&amp;"!B10:B1000"),$B148,INDIRECT(Equipo!$E$4&amp;"!"&amp;ADDRESS(10,COLUMN(E$9)+10)&amp;":"&amp;ADDRESS(1000,COLUMN(E$9)+10))),
SUMIF(INDIRECT(Equipo!$F$4&amp;"!B10:B1000"),$B148,INDIRECT(Equipo!$F$4&amp;"!"&amp;ADDRESS(10,COLUMN(E$9)+10)&amp;":"&amp;ADDRESS(1000,COLUMN(E$9)+10))),
SUMIF(INDIRECT(Equipo!$G$4&amp;"!B10:B1000"),$B148,INDIRECT(Equipo!$G$4&amp;"!"&amp;ADDRESS(10,COLUMN(E$9)+10)&amp;":"&amp;ADDRESS(1000,COLUMN(E$9)+10)))
))</f>
        <v>-</v>
      </c>
      <c r="F148" s="19" t="str">
        <f t="array" ref="F148">IF(ISBLANK(Tareas!$B144),"-",
SUM(
SUMIF(INDIRECT(Equipo!$C$4&amp;"!B10:B1000"),$B148,INDIRECT(Equipo!$C$4&amp;"!"&amp;ADDRESS(10,COLUMN(F$9)+10)&amp;":"&amp;ADDRESS(1000,COLUMN(F$9)+10))),
SUMIF(INDIRECT(Equipo!$D$4&amp;"!B10:B1000"),$B148,INDIRECT(Equipo!$D$4&amp;"!"&amp;ADDRESS(10,COLUMN(F$9)+10)&amp;":"&amp;ADDRESS(1000,COLUMN(F$9)+10))),
SUMIF(INDIRECT(Equipo!$E$4&amp;"!B10:B1000"),$B148,INDIRECT(Equipo!$E$4&amp;"!"&amp;ADDRESS(10,COLUMN(F$9)+10)&amp;":"&amp;ADDRESS(1000,COLUMN(F$9)+10))),
SUMIF(INDIRECT(Equipo!$F$4&amp;"!B10:B1000"),$B148,INDIRECT(Equipo!$F$4&amp;"!"&amp;ADDRESS(10,COLUMN(F$9)+10)&amp;":"&amp;ADDRESS(1000,COLUMN(F$9)+10))),
SUMIF(INDIRECT(Equipo!$G$4&amp;"!B10:B1000"),$B148,INDIRECT(Equipo!$G$4&amp;"!"&amp;ADDRESS(10,COLUMN(F$9)+10)&amp;":"&amp;ADDRESS(1000,COLUMN(F$9)+10)))
))</f>
        <v>-</v>
      </c>
      <c r="G148" s="19" t="str">
        <f t="array" ref="G148">IF(ISBLANK(Tareas!$B144),"-",
SUM(
SUMIF(INDIRECT(Equipo!$C$4&amp;"!B10:B1000"),$B148,INDIRECT(Equipo!$C$4&amp;"!"&amp;ADDRESS(10,COLUMN(G$9)+10)&amp;":"&amp;ADDRESS(1000,COLUMN(G$9)+10))),
SUMIF(INDIRECT(Equipo!$D$4&amp;"!B10:B1000"),$B148,INDIRECT(Equipo!$D$4&amp;"!"&amp;ADDRESS(10,COLUMN(G$9)+10)&amp;":"&amp;ADDRESS(1000,COLUMN(G$9)+10))),
SUMIF(INDIRECT(Equipo!$E$4&amp;"!B10:B1000"),$B148,INDIRECT(Equipo!$E$4&amp;"!"&amp;ADDRESS(10,COLUMN(G$9)+10)&amp;":"&amp;ADDRESS(1000,COLUMN(G$9)+10))),
SUMIF(INDIRECT(Equipo!$F$4&amp;"!B10:B1000"),$B148,INDIRECT(Equipo!$F$4&amp;"!"&amp;ADDRESS(10,COLUMN(G$9)+10)&amp;":"&amp;ADDRESS(1000,COLUMN(G$9)+10))),
SUMIF(INDIRECT(Equipo!$G$4&amp;"!B10:B1000"),$B148,INDIRECT(Equipo!$G$4&amp;"!"&amp;ADDRESS(10,COLUMN(G$9)+10)&amp;":"&amp;ADDRESS(1000,COLUMN(G$9)+10)))
))</f>
        <v>-</v>
      </c>
      <c r="H148" s="19" t="str">
        <f t="array" ref="H148">IF(ISBLANK(Tareas!$B144),"-",
SUM(
SUMIF(INDIRECT(Equipo!$C$4&amp;"!B10:B1000"),$B148,INDIRECT(Equipo!$C$4&amp;"!"&amp;ADDRESS(10,COLUMN(H$9)+10)&amp;":"&amp;ADDRESS(1000,COLUMN(H$9)+10))),
SUMIF(INDIRECT(Equipo!$D$4&amp;"!B10:B1000"),$B148,INDIRECT(Equipo!$D$4&amp;"!"&amp;ADDRESS(10,COLUMN(H$9)+10)&amp;":"&amp;ADDRESS(1000,COLUMN(H$9)+10))),
SUMIF(INDIRECT(Equipo!$E$4&amp;"!B10:B1000"),$B148,INDIRECT(Equipo!$E$4&amp;"!"&amp;ADDRESS(10,COLUMN(H$9)+10)&amp;":"&amp;ADDRESS(1000,COLUMN(H$9)+10))),
SUMIF(INDIRECT(Equipo!$F$4&amp;"!B10:B1000"),$B148,INDIRECT(Equipo!$F$4&amp;"!"&amp;ADDRESS(10,COLUMN(H$9)+10)&amp;":"&amp;ADDRESS(1000,COLUMN(H$9)+10))),
SUMIF(INDIRECT(Equipo!$G$4&amp;"!B10:B1000"),$B148,INDIRECT(Equipo!$G$4&amp;"!"&amp;ADDRESS(10,COLUMN(H$9)+10)&amp;":"&amp;ADDRESS(1000,COLUMN(H$9)+10)))
))</f>
        <v>-</v>
      </c>
      <c r="I148" s="19" t="str">
        <f t="array" ref="I148">IF(ISBLANK(Tareas!$B144),"-",
SUM(
SUMIF(INDIRECT(Equipo!$C$4&amp;"!B10:B1000"),$B148,INDIRECT(Equipo!$C$4&amp;"!"&amp;ADDRESS(10,COLUMN(I$9)+10)&amp;":"&amp;ADDRESS(1000,COLUMN(I$9)+10))),
SUMIF(INDIRECT(Equipo!$D$4&amp;"!B10:B1000"),$B148,INDIRECT(Equipo!$D$4&amp;"!"&amp;ADDRESS(10,COLUMN(I$9)+10)&amp;":"&amp;ADDRESS(1000,COLUMN(I$9)+10))),
SUMIF(INDIRECT(Equipo!$E$4&amp;"!B10:B1000"),$B148,INDIRECT(Equipo!$E$4&amp;"!"&amp;ADDRESS(10,COLUMN(I$9)+10)&amp;":"&amp;ADDRESS(1000,COLUMN(I$9)+10))),
SUMIF(INDIRECT(Equipo!$F$4&amp;"!B10:B1000"),$B148,INDIRECT(Equipo!$F$4&amp;"!"&amp;ADDRESS(10,COLUMN(I$9)+10)&amp;":"&amp;ADDRESS(1000,COLUMN(I$9)+10))),
SUMIF(INDIRECT(Equipo!$G$4&amp;"!B10:B1000"),$B148,INDIRECT(Equipo!$G$4&amp;"!"&amp;ADDRESS(10,COLUMN(I$9)+10)&amp;":"&amp;ADDRESS(1000,COLUMN(I$9)+10)))
))</f>
        <v>-</v>
      </c>
      <c r="J148" s="19" t="str">
        <f t="array" ref="J148">IF(ISBLANK(Tareas!$B144),"-",
SUM(
SUMIF(INDIRECT(Equipo!$C$4&amp;"!B10:B1000"),$B148,INDIRECT(Equipo!$C$4&amp;"!"&amp;ADDRESS(10,COLUMN(J$9)+10)&amp;":"&amp;ADDRESS(1000,COLUMN(J$9)+10))),
SUMIF(INDIRECT(Equipo!$D$4&amp;"!B10:B1000"),$B148,INDIRECT(Equipo!$D$4&amp;"!"&amp;ADDRESS(10,COLUMN(J$9)+10)&amp;":"&amp;ADDRESS(1000,COLUMN(J$9)+10))),
SUMIF(INDIRECT(Equipo!$E$4&amp;"!B10:B1000"),$B148,INDIRECT(Equipo!$E$4&amp;"!"&amp;ADDRESS(10,COLUMN(J$9)+10)&amp;":"&amp;ADDRESS(1000,COLUMN(J$9)+10))),
SUMIF(INDIRECT(Equipo!$F$4&amp;"!B10:B1000"),$B148,INDIRECT(Equipo!$F$4&amp;"!"&amp;ADDRESS(10,COLUMN(J$9)+10)&amp;":"&amp;ADDRESS(1000,COLUMN(J$9)+10))),
SUMIF(INDIRECT(Equipo!$G$4&amp;"!B10:B1000"),$B148,INDIRECT(Equipo!$G$4&amp;"!"&amp;ADDRESS(10,COLUMN(J$9)+10)&amp;":"&amp;ADDRESS(1000,COLUMN(J$9)+10)))
))</f>
        <v>-</v>
      </c>
      <c r="K148" s="19" t="str">
        <f t="array" ref="K148">IF(ISBLANK(Tareas!$B144),"-",
SUM(
SUMIF(INDIRECT(Equipo!$C$4&amp;"!B10:B1000"),$B148,INDIRECT(Equipo!$C$4&amp;"!"&amp;ADDRESS(10,COLUMN(K$9)+10)&amp;":"&amp;ADDRESS(1000,COLUMN(K$9)+10))),
SUMIF(INDIRECT(Equipo!$D$4&amp;"!B10:B1000"),$B148,INDIRECT(Equipo!$D$4&amp;"!"&amp;ADDRESS(10,COLUMN(K$9)+10)&amp;":"&amp;ADDRESS(1000,COLUMN(K$9)+10))),
SUMIF(INDIRECT(Equipo!$E$4&amp;"!B10:B1000"),$B148,INDIRECT(Equipo!$E$4&amp;"!"&amp;ADDRESS(10,COLUMN(K$9)+10)&amp;":"&amp;ADDRESS(1000,COLUMN(K$9)+10))),
SUMIF(INDIRECT(Equipo!$F$4&amp;"!B10:B1000"),$B148,INDIRECT(Equipo!$F$4&amp;"!"&amp;ADDRESS(10,COLUMN(K$9)+10)&amp;":"&amp;ADDRESS(1000,COLUMN(K$9)+10))),
SUMIF(INDIRECT(Equipo!$G$4&amp;"!B10:B1000"),$B148,INDIRECT(Equipo!$G$4&amp;"!"&amp;ADDRESS(10,COLUMN(K$9)+10)&amp;":"&amp;ADDRESS(1000,COLUMN(K$9)+10)))
))</f>
        <v>-</v>
      </c>
    </row>
    <row r="149" ht="15.75" customHeight="1">
      <c r="C149" s="19" t="str">
        <f>IF(ISBLANK(Tareas!$B145),"-",SUM(D149:K149))</f>
        <v>-</v>
      </c>
      <c r="D149" s="19" t="str">
        <f t="array" ref="D149">IF(ISBLANK(Tareas!$B145),"-",
SUM(
SUMIF(INDIRECT(Equipo!$C$4&amp;"!B10:B1000"),$B149,INDIRECT(Equipo!$C$4&amp;"!"&amp;ADDRESS(10,COLUMN(D$9)+10)&amp;":"&amp;ADDRESS(1000,COLUMN(D$9)+10))),
SUMIF(INDIRECT(Equipo!$D$4&amp;"!B10:B1000"),$B149,INDIRECT(Equipo!$D$4&amp;"!"&amp;ADDRESS(10,COLUMN(D$9)+10)&amp;":"&amp;ADDRESS(1000,COLUMN(D$9)+10))),
SUMIF(INDIRECT(Equipo!$E$4&amp;"!B10:B1000"),$B149,INDIRECT(Equipo!$E$4&amp;"!"&amp;ADDRESS(10,COLUMN(D$9)+10)&amp;":"&amp;ADDRESS(1000,COLUMN(D$9)+10))),
SUMIF(INDIRECT(Equipo!$F$4&amp;"!B10:B1000"),$B149,INDIRECT(Equipo!$F$4&amp;"!"&amp;ADDRESS(10,COLUMN(D$9)+10)&amp;":"&amp;ADDRESS(1000,COLUMN(D$9)+10))),
SUMIF(INDIRECT(Equipo!$G$4&amp;"!B10:B1000"),$B149,INDIRECT(Equipo!$G$4&amp;"!"&amp;ADDRESS(10,COLUMN(D$9)+10)&amp;":"&amp;ADDRESS(1000,COLUMN(D$9)+10)))
))</f>
        <v>-</v>
      </c>
      <c r="E149" s="19" t="str">
        <f t="array" ref="E149">IF(ISBLANK(Tareas!$B145),"-",
SUM(
SUMIF(INDIRECT(Equipo!$C$4&amp;"!B10:B1000"),$B149,INDIRECT(Equipo!$C$4&amp;"!"&amp;ADDRESS(10,COLUMN(E$9)+10)&amp;":"&amp;ADDRESS(1000,COLUMN(E$9)+10))),
SUMIF(INDIRECT(Equipo!$D$4&amp;"!B10:B1000"),$B149,INDIRECT(Equipo!$D$4&amp;"!"&amp;ADDRESS(10,COLUMN(E$9)+10)&amp;":"&amp;ADDRESS(1000,COLUMN(E$9)+10))),
SUMIF(INDIRECT(Equipo!$E$4&amp;"!B10:B1000"),$B149,INDIRECT(Equipo!$E$4&amp;"!"&amp;ADDRESS(10,COLUMN(E$9)+10)&amp;":"&amp;ADDRESS(1000,COLUMN(E$9)+10))),
SUMIF(INDIRECT(Equipo!$F$4&amp;"!B10:B1000"),$B149,INDIRECT(Equipo!$F$4&amp;"!"&amp;ADDRESS(10,COLUMN(E$9)+10)&amp;":"&amp;ADDRESS(1000,COLUMN(E$9)+10))),
SUMIF(INDIRECT(Equipo!$G$4&amp;"!B10:B1000"),$B149,INDIRECT(Equipo!$G$4&amp;"!"&amp;ADDRESS(10,COLUMN(E$9)+10)&amp;":"&amp;ADDRESS(1000,COLUMN(E$9)+10)))
))</f>
        <v>-</v>
      </c>
      <c r="F149" s="19" t="str">
        <f t="array" ref="F149">IF(ISBLANK(Tareas!$B145),"-",
SUM(
SUMIF(INDIRECT(Equipo!$C$4&amp;"!B10:B1000"),$B149,INDIRECT(Equipo!$C$4&amp;"!"&amp;ADDRESS(10,COLUMN(F$9)+10)&amp;":"&amp;ADDRESS(1000,COLUMN(F$9)+10))),
SUMIF(INDIRECT(Equipo!$D$4&amp;"!B10:B1000"),$B149,INDIRECT(Equipo!$D$4&amp;"!"&amp;ADDRESS(10,COLUMN(F$9)+10)&amp;":"&amp;ADDRESS(1000,COLUMN(F$9)+10))),
SUMIF(INDIRECT(Equipo!$E$4&amp;"!B10:B1000"),$B149,INDIRECT(Equipo!$E$4&amp;"!"&amp;ADDRESS(10,COLUMN(F$9)+10)&amp;":"&amp;ADDRESS(1000,COLUMN(F$9)+10))),
SUMIF(INDIRECT(Equipo!$F$4&amp;"!B10:B1000"),$B149,INDIRECT(Equipo!$F$4&amp;"!"&amp;ADDRESS(10,COLUMN(F$9)+10)&amp;":"&amp;ADDRESS(1000,COLUMN(F$9)+10))),
SUMIF(INDIRECT(Equipo!$G$4&amp;"!B10:B1000"),$B149,INDIRECT(Equipo!$G$4&amp;"!"&amp;ADDRESS(10,COLUMN(F$9)+10)&amp;":"&amp;ADDRESS(1000,COLUMN(F$9)+10)))
))</f>
        <v>-</v>
      </c>
      <c r="G149" s="19" t="str">
        <f t="array" ref="G149">IF(ISBLANK(Tareas!$B145),"-",
SUM(
SUMIF(INDIRECT(Equipo!$C$4&amp;"!B10:B1000"),$B149,INDIRECT(Equipo!$C$4&amp;"!"&amp;ADDRESS(10,COLUMN(G$9)+10)&amp;":"&amp;ADDRESS(1000,COLUMN(G$9)+10))),
SUMIF(INDIRECT(Equipo!$D$4&amp;"!B10:B1000"),$B149,INDIRECT(Equipo!$D$4&amp;"!"&amp;ADDRESS(10,COLUMN(G$9)+10)&amp;":"&amp;ADDRESS(1000,COLUMN(G$9)+10))),
SUMIF(INDIRECT(Equipo!$E$4&amp;"!B10:B1000"),$B149,INDIRECT(Equipo!$E$4&amp;"!"&amp;ADDRESS(10,COLUMN(G$9)+10)&amp;":"&amp;ADDRESS(1000,COLUMN(G$9)+10))),
SUMIF(INDIRECT(Equipo!$F$4&amp;"!B10:B1000"),$B149,INDIRECT(Equipo!$F$4&amp;"!"&amp;ADDRESS(10,COLUMN(G$9)+10)&amp;":"&amp;ADDRESS(1000,COLUMN(G$9)+10))),
SUMIF(INDIRECT(Equipo!$G$4&amp;"!B10:B1000"),$B149,INDIRECT(Equipo!$G$4&amp;"!"&amp;ADDRESS(10,COLUMN(G$9)+10)&amp;":"&amp;ADDRESS(1000,COLUMN(G$9)+10)))
))</f>
        <v>-</v>
      </c>
      <c r="H149" s="19" t="str">
        <f t="array" ref="H149">IF(ISBLANK(Tareas!$B145),"-",
SUM(
SUMIF(INDIRECT(Equipo!$C$4&amp;"!B10:B1000"),$B149,INDIRECT(Equipo!$C$4&amp;"!"&amp;ADDRESS(10,COLUMN(H$9)+10)&amp;":"&amp;ADDRESS(1000,COLUMN(H$9)+10))),
SUMIF(INDIRECT(Equipo!$D$4&amp;"!B10:B1000"),$B149,INDIRECT(Equipo!$D$4&amp;"!"&amp;ADDRESS(10,COLUMN(H$9)+10)&amp;":"&amp;ADDRESS(1000,COLUMN(H$9)+10))),
SUMIF(INDIRECT(Equipo!$E$4&amp;"!B10:B1000"),$B149,INDIRECT(Equipo!$E$4&amp;"!"&amp;ADDRESS(10,COLUMN(H$9)+10)&amp;":"&amp;ADDRESS(1000,COLUMN(H$9)+10))),
SUMIF(INDIRECT(Equipo!$F$4&amp;"!B10:B1000"),$B149,INDIRECT(Equipo!$F$4&amp;"!"&amp;ADDRESS(10,COLUMN(H$9)+10)&amp;":"&amp;ADDRESS(1000,COLUMN(H$9)+10))),
SUMIF(INDIRECT(Equipo!$G$4&amp;"!B10:B1000"),$B149,INDIRECT(Equipo!$G$4&amp;"!"&amp;ADDRESS(10,COLUMN(H$9)+10)&amp;":"&amp;ADDRESS(1000,COLUMN(H$9)+10)))
))</f>
        <v>-</v>
      </c>
      <c r="I149" s="19" t="str">
        <f t="array" ref="I149">IF(ISBLANK(Tareas!$B145),"-",
SUM(
SUMIF(INDIRECT(Equipo!$C$4&amp;"!B10:B1000"),$B149,INDIRECT(Equipo!$C$4&amp;"!"&amp;ADDRESS(10,COLUMN(I$9)+10)&amp;":"&amp;ADDRESS(1000,COLUMN(I$9)+10))),
SUMIF(INDIRECT(Equipo!$D$4&amp;"!B10:B1000"),$B149,INDIRECT(Equipo!$D$4&amp;"!"&amp;ADDRESS(10,COLUMN(I$9)+10)&amp;":"&amp;ADDRESS(1000,COLUMN(I$9)+10))),
SUMIF(INDIRECT(Equipo!$E$4&amp;"!B10:B1000"),$B149,INDIRECT(Equipo!$E$4&amp;"!"&amp;ADDRESS(10,COLUMN(I$9)+10)&amp;":"&amp;ADDRESS(1000,COLUMN(I$9)+10))),
SUMIF(INDIRECT(Equipo!$F$4&amp;"!B10:B1000"),$B149,INDIRECT(Equipo!$F$4&amp;"!"&amp;ADDRESS(10,COLUMN(I$9)+10)&amp;":"&amp;ADDRESS(1000,COLUMN(I$9)+10))),
SUMIF(INDIRECT(Equipo!$G$4&amp;"!B10:B1000"),$B149,INDIRECT(Equipo!$G$4&amp;"!"&amp;ADDRESS(10,COLUMN(I$9)+10)&amp;":"&amp;ADDRESS(1000,COLUMN(I$9)+10)))
))</f>
        <v>-</v>
      </c>
      <c r="J149" s="19" t="str">
        <f t="array" ref="J149">IF(ISBLANK(Tareas!$B145),"-",
SUM(
SUMIF(INDIRECT(Equipo!$C$4&amp;"!B10:B1000"),$B149,INDIRECT(Equipo!$C$4&amp;"!"&amp;ADDRESS(10,COLUMN(J$9)+10)&amp;":"&amp;ADDRESS(1000,COLUMN(J$9)+10))),
SUMIF(INDIRECT(Equipo!$D$4&amp;"!B10:B1000"),$B149,INDIRECT(Equipo!$D$4&amp;"!"&amp;ADDRESS(10,COLUMN(J$9)+10)&amp;":"&amp;ADDRESS(1000,COLUMN(J$9)+10))),
SUMIF(INDIRECT(Equipo!$E$4&amp;"!B10:B1000"),$B149,INDIRECT(Equipo!$E$4&amp;"!"&amp;ADDRESS(10,COLUMN(J$9)+10)&amp;":"&amp;ADDRESS(1000,COLUMN(J$9)+10))),
SUMIF(INDIRECT(Equipo!$F$4&amp;"!B10:B1000"),$B149,INDIRECT(Equipo!$F$4&amp;"!"&amp;ADDRESS(10,COLUMN(J$9)+10)&amp;":"&amp;ADDRESS(1000,COLUMN(J$9)+10))),
SUMIF(INDIRECT(Equipo!$G$4&amp;"!B10:B1000"),$B149,INDIRECT(Equipo!$G$4&amp;"!"&amp;ADDRESS(10,COLUMN(J$9)+10)&amp;":"&amp;ADDRESS(1000,COLUMN(J$9)+10)))
))</f>
        <v>-</v>
      </c>
      <c r="K149" s="19" t="str">
        <f t="array" ref="K149">IF(ISBLANK(Tareas!$B145),"-",
SUM(
SUMIF(INDIRECT(Equipo!$C$4&amp;"!B10:B1000"),$B149,INDIRECT(Equipo!$C$4&amp;"!"&amp;ADDRESS(10,COLUMN(K$9)+10)&amp;":"&amp;ADDRESS(1000,COLUMN(K$9)+10))),
SUMIF(INDIRECT(Equipo!$D$4&amp;"!B10:B1000"),$B149,INDIRECT(Equipo!$D$4&amp;"!"&amp;ADDRESS(10,COLUMN(K$9)+10)&amp;":"&amp;ADDRESS(1000,COLUMN(K$9)+10))),
SUMIF(INDIRECT(Equipo!$E$4&amp;"!B10:B1000"),$B149,INDIRECT(Equipo!$E$4&amp;"!"&amp;ADDRESS(10,COLUMN(K$9)+10)&amp;":"&amp;ADDRESS(1000,COLUMN(K$9)+10))),
SUMIF(INDIRECT(Equipo!$F$4&amp;"!B10:B1000"),$B149,INDIRECT(Equipo!$F$4&amp;"!"&amp;ADDRESS(10,COLUMN(K$9)+10)&amp;":"&amp;ADDRESS(1000,COLUMN(K$9)+10))),
SUMIF(INDIRECT(Equipo!$G$4&amp;"!B10:B1000"),$B149,INDIRECT(Equipo!$G$4&amp;"!"&amp;ADDRESS(10,COLUMN(K$9)+10)&amp;":"&amp;ADDRESS(1000,COLUMN(K$9)+10)))
))</f>
        <v>-</v>
      </c>
    </row>
    <row r="150" ht="15.75" customHeight="1">
      <c r="C150" s="19" t="str">
        <f>IF(ISBLANK(Tareas!$B146),"-",SUM(D150:K150))</f>
        <v>-</v>
      </c>
      <c r="D150" s="19" t="str">
        <f t="array" ref="D150">IF(ISBLANK(Tareas!$B146),"-",
SUM(
SUMIF(INDIRECT(Equipo!$C$4&amp;"!B10:B1000"),$B150,INDIRECT(Equipo!$C$4&amp;"!"&amp;ADDRESS(10,COLUMN(D$9)+10)&amp;":"&amp;ADDRESS(1000,COLUMN(D$9)+10))),
SUMIF(INDIRECT(Equipo!$D$4&amp;"!B10:B1000"),$B150,INDIRECT(Equipo!$D$4&amp;"!"&amp;ADDRESS(10,COLUMN(D$9)+10)&amp;":"&amp;ADDRESS(1000,COLUMN(D$9)+10))),
SUMIF(INDIRECT(Equipo!$E$4&amp;"!B10:B1000"),$B150,INDIRECT(Equipo!$E$4&amp;"!"&amp;ADDRESS(10,COLUMN(D$9)+10)&amp;":"&amp;ADDRESS(1000,COLUMN(D$9)+10))),
SUMIF(INDIRECT(Equipo!$F$4&amp;"!B10:B1000"),$B150,INDIRECT(Equipo!$F$4&amp;"!"&amp;ADDRESS(10,COLUMN(D$9)+10)&amp;":"&amp;ADDRESS(1000,COLUMN(D$9)+10))),
SUMIF(INDIRECT(Equipo!$G$4&amp;"!B10:B1000"),$B150,INDIRECT(Equipo!$G$4&amp;"!"&amp;ADDRESS(10,COLUMN(D$9)+10)&amp;":"&amp;ADDRESS(1000,COLUMN(D$9)+10)))
))</f>
        <v>-</v>
      </c>
      <c r="E150" s="19" t="str">
        <f t="array" ref="E150">IF(ISBLANK(Tareas!$B146),"-",
SUM(
SUMIF(INDIRECT(Equipo!$C$4&amp;"!B10:B1000"),$B150,INDIRECT(Equipo!$C$4&amp;"!"&amp;ADDRESS(10,COLUMN(E$9)+10)&amp;":"&amp;ADDRESS(1000,COLUMN(E$9)+10))),
SUMIF(INDIRECT(Equipo!$D$4&amp;"!B10:B1000"),$B150,INDIRECT(Equipo!$D$4&amp;"!"&amp;ADDRESS(10,COLUMN(E$9)+10)&amp;":"&amp;ADDRESS(1000,COLUMN(E$9)+10))),
SUMIF(INDIRECT(Equipo!$E$4&amp;"!B10:B1000"),$B150,INDIRECT(Equipo!$E$4&amp;"!"&amp;ADDRESS(10,COLUMN(E$9)+10)&amp;":"&amp;ADDRESS(1000,COLUMN(E$9)+10))),
SUMIF(INDIRECT(Equipo!$F$4&amp;"!B10:B1000"),$B150,INDIRECT(Equipo!$F$4&amp;"!"&amp;ADDRESS(10,COLUMN(E$9)+10)&amp;":"&amp;ADDRESS(1000,COLUMN(E$9)+10))),
SUMIF(INDIRECT(Equipo!$G$4&amp;"!B10:B1000"),$B150,INDIRECT(Equipo!$G$4&amp;"!"&amp;ADDRESS(10,COLUMN(E$9)+10)&amp;":"&amp;ADDRESS(1000,COLUMN(E$9)+10)))
))</f>
        <v>-</v>
      </c>
      <c r="F150" s="19" t="str">
        <f t="array" ref="F150">IF(ISBLANK(Tareas!$B146),"-",
SUM(
SUMIF(INDIRECT(Equipo!$C$4&amp;"!B10:B1000"),$B150,INDIRECT(Equipo!$C$4&amp;"!"&amp;ADDRESS(10,COLUMN(F$9)+10)&amp;":"&amp;ADDRESS(1000,COLUMN(F$9)+10))),
SUMIF(INDIRECT(Equipo!$D$4&amp;"!B10:B1000"),$B150,INDIRECT(Equipo!$D$4&amp;"!"&amp;ADDRESS(10,COLUMN(F$9)+10)&amp;":"&amp;ADDRESS(1000,COLUMN(F$9)+10))),
SUMIF(INDIRECT(Equipo!$E$4&amp;"!B10:B1000"),$B150,INDIRECT(Equipo!$E$4&amp;"!"&amp;ADDRESS(10,COLUMN(F$9)+10)&amp;":"&amp;ADDRESS(1000,COLUMN(F$9)+10))),
SUMIF(INDIRECT(Equipo!$F$4&amp;"!B10:B1000"),$B150,INDIRECT(Equipo!$F$4&amp;"!"&amp;ADDRESS(10,COLUMN(F$9)+10)&amp;":"&amp;ADDRESS(1000,COLUMN(F$9)+10))),
SUMIF(INDIRECT(Equipo!$G$4&amp;"!B10:B1000"),$B150,INDIRECT(Equipo!$G$4&amp;"!"&amp;ADDRESS(10,COLUMN(F$9)+10)&amp;":"&amp;ADDRESS(1000,COLUMN(F$9)+10)))
))</f>
        <v>-</v>
      </c>
      <c r="G150" s="19" t="str">
        <f t="array" ref="G150">IF(ISBLANK(Tareas!$B146),"-",
SUM(
SUMIF(INDIRECT(Equipo!$C$4&amp;"!B10:B1000"),$B150,INDIRECT(Equipo!$C$4&amp;"!"&amp;ADDRESS(10,COLUMN(G$9)+10)&amp;":"&amp;ADDRESS(1000,COLUMN(G$9)+10))),
SUMIF(INDIRECT(Equipo!$D$4&amp;"!B10:B1000"),$B150,INDIRECT(Equipo!$D$4&amp;"!"&amp;ADDRESS(10,COLUMN(G$9)+10)&amp;":"&amp;ADDRESS(1000,COLUMN(G$9)+10))),
SUMIF(INDIRECT(Equipo!$E$4&amp;"!B10:B1000"),$B150,INDIRECT(Equipo!$E$4&amp;"!"&amp;ADDRESS(10,COLUMN(G$9)+10)&amp;":"&amp;ADDRESS(1000,COLUMN(G$9)+10))),
SUMIF(INDIRECT(Equipo!$F$4&amp;"!B10:B1000"),$B150,INDIRECT(Equipo!$F$4&amp;"!"&amp;ADDRESS(10,COLUMN(G$9)+10)&amp;":"&amp;ADDRESS(1000,COLUMN(G$9)+10))),
SUMIF(INDIRECT(Equipo!$G$4&amp;"!B10:B1000"),$B150,INDIRECT(Equipo!$G$4&amp;"!"&amp;ADDRESS(10,COLUMN(G$9)+10)&amp;":"&amp;ADDRESS(1000,COLUMN(G$9)+10)))
))</f>
        <v>-</v>
      </c>
      <c r="H150" s="19" t="str">
        <f t="array" ref="H150">IF(ISBLANK(Tareas!$B146),"-",
SUM(
SUMIF(INDIRECT(Equipo!$C$4&amp;"!B10:B1000"),$B150,INDIRECT(Equipo!$C$4&amp;"!"&amp;ADDRESS(10,COLUMN(H$9)+10)&amp;":"&amp;ADDRESS(1000,COLUMN(H$9)+10))),
SUMIF(INDIRECT(Equipo!$D$4&amp;"!B10:B1000"),$B150,INDIRECT(Equipo!$D$4&amp;"!"&amp;ADDRESS(10,COLUMN(H$9)+10)&amp;":"&amp;ADDRESS(1000,COLUMN(H$9)+10))),
SUMIF(INDIRECT(Equipo!$E$4&amp;"!B10:B1000"),$B150,INDIRECT(Equipo!$E$4&amp;"!"&amp;ADDRESS(10,COLUMN(H$9)+10)&amp;":"&amp;ADDRESS(1000,COLUMN(H$9)+10))),
SUMIF(INDIRECT(Equipo!$F$4&amp;"!B10:B1000"),$B150,INDIRECT(Equipo!$F$4&amp;"!"&amp;ADDRESS(10,COLUMN(H$9)+10)&amp;":"&amp;ADDRESS(1000,COLUMN(H$9)+10))),
SUMIF(INDIRECT(Equipo!$G$4&amp;"!B10:B1000"),$B150,INDIRECT(Equipo!$G$4&amp;"!"&amp;ADDRESS(10,COLUMN(H$9)+10)&amp;":"&amp;ADDRESS(1000,COLUMN(H$9)+10)))
))</f>
        <v>-</v>
      </c>
      <c r="I150" s="19" t="str">
        <f t="array" ref="I150">IF(ISBLANK(Tareas!$B146),"-",
SUM(
SUMIF(INDIRECT(Equipo!$C$4&amp;"!B10:B1000"),$B150,INDIRECT(Equipo!$C$4&amp;"!"&amp;ADDRESS(10,COLUMN(I$9)+10)&amp;":"&amp;ADDRESS(1000,COLUMN(I$9)+10))),
SUMIF(INDIRECT(Equipo!$D$4&amp;"!B10:B1000"),$B150,INDIRECT(Equipo!$D$4&amp;"!"&amp;ADDRESS(10,COLUMN(I$9)+10)&amp;":"&amp;ADDRESS(1000,COLUMN(I$9)+10))),
SUMIF(INDIRECT(Equipo!$E$4&amp;"!B10:B1000"),$B150,INDIRECT(Equipo!$E$4&amp;"!"&amp;ADDRESS(10,COLUMN(I$9)+10)&amp;":"&amp;ADDRESS(1000,COLUMN(I$9)+10))),
SUMIF(INDIRECT(Equipo!$F$4&amp;"!B10:B1000"),$B150,INDIRECT(Equipo!$F$4&amp;"!"&amp;ADDRESS(10,COLUMN(I$9)+10)&amp;":"&amp;ADDRESS(1000,COLUMN(I$9)+10))),
SUMIF(INDIRECT(Equipo!$G$4&amp;"!B10:B1000"),$B150,INDIRECT(Equipo!$G$4&amp;"!"&amp;ADDRESS(10,COLUMN(I$9)+10)&amp;":"&amp;ADDRESS(1000,COLUMN(I$9)+10)))
))</f>
        <v>-</v>
      </c>
      <c r="J150" s="19" t="str">
        <f t="array" ref="J150">IF(ISBLANK(Tareas!$B146),"-",
SUM(
SUMIF(INDIRECT(Equipo!$C$4&amp;"!B10:B1000"),$B150,INDIRECT(Equipo!$C$4&amp;"!"&amp;ADDRESS(10,COLUMN(J$9)+10)&amp;":"&amp;ADDRESS(1000,COLUMN(J$9)+10))),
SUMIF(INDIRECT(Equipo!$D$4&amp;"!B10:B1000"),$B150,INDIRECT(Equipo!$D$4&amp;"!"&amp;ADDRESS(10,COLUMN(J$9)+10)&amp;":"&amp;ADDRESS(1000,COLUMN(J$9)+10))),
SUMIF(INDIRECT(Equipo!$E$4&amp;"!B10:B1000"),$B150,INDIRECT(Equipo!$E$4&amp;"!"&amp;ADDRESS(10,COLUMN(J$9)+10)&amp;":"&amp;ADDRESS(1000,COLUMN(J$9)+10))),
SUMIF(INDIRECT(Equipo!$F$4&amp;"!B10:B1000"),$B150,INDIRECT(Equipo!$F$4&amp;"!"&amp;ADDRESS(10,COLUMN(J$9)+10)&amp;":"&amp;ADDRESS(1000,COLUMN(J$9)+10))),
SUMIF(INDIRECT(Equipo!$G$4&amp;"!B10:B1000"),$B150,INDIRECT(Equipo!$G$4&amp;"!"&amp;ADDRESS(10,COLUMN(J$9)+10)&amp;":"&amp;ADDRESS(1000,COLUMN(J$9)+10)))
))</f>
        <v>-</v>
      </c>
      <c r="K150" s="19" t="str">
        <f t="array" ref="K150">IF(ISBLANK(Tareas!$B146),"-",
SUM(
SUMIF(INDIRECT(Equipo!$C$4&amp;"!B10:B1000"),$B150,INDIRECT(Equipo!$C$4&amp;"!"&amp;ADDRESS(10,COLUMN(K$9)+10)&amp;":"&amp;ADDRESS(1000,COLUMN(K$9)+10))),
SUMIF(INDIRECT(Equipo!$D$4&amp;"!B10:B1000"),$B150,INDIRECT(Equipo!$D$4&amp;"!"&amp;ADDRESS(10,COLUMN(K$9)+10)&amp;":"&amp;ADDRESS(1000,COLUMN(K$9)+10))),
SUMIF(INDIRECT(Equipo!$E$4&amp;"!B10:B1000"),$B150,INDIRECT(Equipo!$E$4&amp;"!"&amp;ADDRESS(10,COLUMN(K$9)+10)&amp;":"&amp;ADDRESS(1000,COLUMN(K$9)+10))),
SUMIF(INDIRECT(Equipo!$F$4&amp;"!B10:B1000"),$B150,INDIRECT(Equipo!$F$4&amp;"!"&amp;ADDRESS(10,COLUMN(K$9)+10)&amp;":"&amp;ADDRESS(1000,COLUMN(K$9)+10))),
SUMIF(INDIRECT(Equipo!$G$4&amp;"!B10:B1000"),$B150,INDIRECT(Equipo!$G$4&amp;"!"&amp;ADDRESS(10,COLUMN(K$9)+10)&amp;":"&amp;ADDRESS(1000,COLUMN(K$9)+10)))
))</f>
        <v>-</v>
      </c>
    </row>
    <row r="151" ht="15.75" customHeight="1">
      <c r="C151" s="19" t="str">
        <f>IF(ISBLANK(Tareas!$B147),"-",SUM(D151:K151))</f>
        <v>-</v>
      </c>
      <c r="D151" s="19" t="str">
        <f t="array" ref="D151">IF(ISBLANK(Tareas!$B147),"-",
SUM(
SUMIF(INDIRECT(Equipo!$C$4&amp;"!B10:B1000"),$B151,INDIRECT(Equipo!$C$4&amp;"!"&amp;ADDRESS(10,COLUMN(D$9)+10)&amp;":"&amp;ADDRESS(1000,COLUMN(D$9)+10))),
SUMIF(INDIRECT(Equipo!$D$4&amp;"!B10:B1000"),$B151,INDIRECT(Equipo!$D$4&amp;"!"&amp;ADDRESS(10,COLUMN(D$9)+10)&amp;":"&amp;ADDRESS(1000,COLUMN(D$9)+10))),
SUMIF(INDIRECT(Equipo!$E$4&amp;"!B10:B1000"),$B151,INDIRECT(Equipo!$E$4&amp;"!"&amp;ADDRESS(10,COLUMN(D$9)+10)&amp;":"&amp;ADDRESS(1000,COLUMN(D$9)+10))),
SUMIF(INDIRECT(Equipo!$F$4&amp;"!B10:B1000"),$B151,INDIRECT(Equipo!$F$4&amp;"!"&amp;ADDRESS(10,COLUMN(D$9)+10)&amp;":"&amp;ADDRESS(1000,COLUMN(D$9)+10))),
SUMIF(INDIRECT(Equipo!$G$4&amp;"!B10:B1000"),$B151,INDIRECT(Equipo!$G$4&amp;"!"&amp;ADDRESS(10,COLUMN(D$9)+10)&amp;":"&amp;ADDRESS(1000,COLUMN(D$9)+10)))
))</f>
        <v>-</v>
      </c>
      <c r="E151" s="19" t="str">
        <f t="array" ref="E151">IF(ISBLANK(Tareas!$B147),"-",
SUM(
SUMIF(INDIRECT(Equipo!$C$4&amp;"!B10:B1000"),$B151,INDIRECT(Equipo!$C$4&amp;"!"&amp;ADDRESS(10,COLUMN(E$9)+10)&amp;":"&amp;ADDRESS(1000,COLUMN(E$9)+10))),
SUMIF(INDIRECT(Equipo!$D$4&amp;"!B10:B1000"),$B151,INDIRECT(Equipo!$D$4&amp;"!"&amp;ADDRESS(10,COLUMN(E$9)+10)&amp;":"&amp;ADDRESS(1000,COLUMN(E$9)+10))),
SUMIF(INDIRECT(Equipo!$E$4&amp;"!B10:B1000"),$B151,INDIRECT(Equipo!$E$4&amp;"!"&amp;ADDRESS(10,COLUMN(E$9)+10)&amp;":"&amp;ADDRESS(1000,COLUMN(E$9)+10))),
SUMIF(INDIRECT(Equipo!$F$4&amp;"!B10:B1000"),$B151,INDIRECT(Equipo!$F$4&amp;"!"&amp;ADDRESS(10,COLUMN(E$9)+10)&amp;":"&amp;ADDRESS(1000,COLUMN(E$9)+10))),
SUMIF(INDIRECT(Equipo!$G$4&amp;"!B10:B1000"),$B151,INDIRECT(Equipo!$G$4&amp;"!"&amp;ADDRESS(10,COLUMN(E$9)+10)&amp;":"&amp;ADDRESS(1000,COLUMN(E$9)+10)))
))</f>
        <v>-</v>
      </c>
      <c r="F151" s="19" t="str">
        <f t="array" ref="F151">IF(ISBLANK(Tareas!$B147),"-",
SUM(
SUMIF(INDIRECT(Equipo!$C$4&amp;"!B10:B1000"),$B151,INDIRECT(Equipo!$C$4&amp;"!"&amp;ADDRESS(10,COLUMN(F$9)+10)&amp;":"&amp;ADDRESS(1000,COLUMN(F$9)+10))),
SUMIF(INDIRECT(Equipo!$D$4&amp;"!B10:B1000"),$B151,INDIRECT(Equipo!$D$4&amp;"!"&amp;ADDRESS(10,COLUMN(F$9)+10)&amp;":"&amp;ADDRESS(1000,COLUMN(F$9)+10))),
SUMIF(INDIRECT(Equipo!$E$4&amp;"!B10:B1000"),$B151,INDIRECT(Equipo!$E$4&amp;"!"&amp;ADDRESS(10,COLUMN(F$9)+10)&amp;":"&amp;ADDRESS(1000,COLUMN(F$9)+10))),
SUMIF(INDIRECT(Equipo!$F$4&amp;"!B10:B1000"),$B151,INDIRECT(Equipo!$F$4&amp;"!"&amp;ADDRESS(10,COLUMN(F$9)+10)&amp;":"&amp;ADDRESS(1000,COLUMN(F$9)+10))),
SUMIF(INDIRECT(Equipo!$G$4&amp;"!B10:B1000"),$B151,INDIRECT(Equipo!$G$4&amp;"!"&amp;ADDRESS(10,COLUMN(F$9)+10)&amp;":"&amp;ADDRESS(1000,COLUMN(F$9)+10)))
))</f>
        <v>-</v>
      </c>
      <c r="G151" s="19" t="str">
        <f t="array" ref="G151">IF(ISBLANK(Tareas!$B147),"-",
SUM(
SUMIF(INDIRECT(Equipo!$C$4&amp;"!B10:B1000"),$B151,INDIRECT(Equipo!$C$4&amp;"!"&amp;ADDRESS(10,COLUMN(G$9)+10)&amp;":"&amp;ADDRESS(1000,COLUMN(G$9)+10))),
SUMIF(INDIRECT(Equipo!$D$4&amp;"!B10:B1000"),$B151,INDIRECT(Equipo!$D$4&amp;"!"&amp;ADDRESS(10,COLUMN(G$9)+10)&amp;":"&amp;ADDRESS(1000,COLUMN(G$9)+10))),
SUMIF(INDIRECT(Equipo!$E$4&amp;"!B10:B1000"),$B151,INDIRECT(Equipo!$E$4&amp;"!"&amp;ADDRESS(10,COLUMN(G$9)+10)&amp;":"&amp;ADDRESS(1000,COLUMN(G$9)+10))),
SUMIF(INDIRECT(Equipo!$F$4&amp;"!B10:B1000"),$B151,INDIRECT(Equipo!$F$4&amp;"!"&amp;ADDRESS(10,COLUMN(G$9)+10)&amp;":"&amp;ADDRESS(1000,COLUMN(G$9)+10))),
SUMIF(INDIRECT(Equipo!$G$4&amp;"!B10:B1000"),$B151,INDIRECT(Equipo!$G$4&amp;"!"&amp;ADDRESS(10,COLUMN(G$9)+10)&amp;":"&amp;ADDRESS(1000,COLUMN(G$9)+10)))
))</f>
        <v>-</v>
      </c>
      <c r="H151" s="19" t="str">
        <f t="array" ref="H151">IF(ISBLANK(Tareas!$B147),"-",
SUM(
SUMIF(INDIRECT(Equipo!$C$4&amp;"!B10:B1000"),$B151,INDIRECT(Equipo!$C$4&amp;"!"&amp;ADDRESS(10,COLUMN(H$9)+10)&amp;":"&amp;ADDRESS(1000,COLUMN(H$9)+10))),
SUMIF(INDIRECT(Equipo!$D$4&amp;"!B10:B1000"),$B151,INDIRECT(Equipo!$D$4&amp;"!"&amp;ADDRESS(10,COLUMN(H$9)+10)&amp;":"&amp;ADDRESS(1000,COLUMN(H$9)+10))),
SUMIF(INDIRECT(Equipo!$E$4&amp;"!B10:B1000"),$B151,INDIRECT(Equipo!$E$4&amp;"!"&amp;ADDRESS(10,COLUMN(H$9)+10)&amp;":"&amp;ADDRESS(1000,COLUMN(H$9)+10))),
SUMIF(INDIRECT(Equipo!$F$4&amp;"!B10:B1000"),$B151,INDIRECT(Equipo!$F$4&amp;"!"&amp;ADDRESS(10,COLUMN(H$9)+10)&amp;":"&amp;ADDRESS(1000,COLUMN(H$9)+10))),
SUMIF(INDIRECT(Equipo!$G$4&amp;"!B10:B1000"),$B151,INDIRECT(Equipo!$G$4&amp;"!"&amp;ADDRESS(10,COLUMN(H$9)+10)&amp;":"&amp;ADDRESS(1000,COLUMN(H$9)+10)))
))</f>
        <v>-</v>
      </c>
      <c r="I151" s="19" t="str">
        <f t="array" ref="I151">IF(ISBLANK(Tareas!$B147),"-",
SUM(
SUMIF(INDIRECT(Equipo!$C$4&amp;"!B10:B1000"),$B151,INDIRECT(Equipo!$C$4&amp;"!"&amp;ADDRESS(10,COLUMN(I$9)+10)&amp;":"&amp;ADDRESS(1000,COLUMN(I$9)+10))),
SUMIF(INDIRECT(Equipo!$D$4&amp;"!B10:B1000"),$B151,INDIRECT(Equipo!$D$4&amp;"!"&amp;ADDRESS(10,COLUMN(I$9)+10)&amp;":"&amp;ADDRESS(1000,COLUMN(I$9)+10))),
SUMIF(INDIRECT(Equipo!$E$4&amp;"!B10:B1000"),$B151,INDIRECT(Equipo!$E$4&amp;"!"&amp;ADDRESS(10,COLUMN(I$9)+10)&amp;":"&amp;ADDRESS(1000,COLUMN(I$9)+10))),
SUMIF(INDIRECT(Equipo!$F$4&amp;"!B10:B1000"),$B151,INDIRECT(Equipo!$F$4&amp;"!"&amp;ADDRESS(10,COLUMN(I$9)+10)&amp;":"&amp;ADDRESS(1000,COLUMN(I$9)+10))),
SUMIF(INDIRECT(Equipo!$G$4&amp;"!B10:B1000"),$B151,INDIRECT(Equipo!$G$4&amp;"!"&amp;ADDRESS(10,COLUMN(I$9)+10)&amp;":"&amp;ADDRESS(1000,COLUMN(I$9)+10)))
))</f>
        <v>-</v>
      </c>
      <c r="J151" s="19" t="str">
        <f t="array" ref="J151">IF(ISBLANK(Tareas!$B147),"-",
SUM(
SUMIF(INDIRECT(Equipo!$C$4&amp;"!B10:B1000"),$B151,INDIRECT(Equipo!$C$4&amp;"!"&amp;ADDRESS(10,COLUMN(J$9)+10)&amp;":"&amp;ADDRESS(1000,COLUMN(J$9)+10))),
SUMIF(INDIRECT(Equipo!$D$4&amp;"!B10:B1000"),$B151,INDIRECT(Equipo!$D$4&amp;"!"&amp;ADDRESS(10,COLUMN(J$9)+10)&amp;":"&amp;ADDRESS(1000,COLUMN(J$9)+10))),
SUMIF(INDIRECT(Equipo!$E$4&amp;"!B10:B1000"),$B151,INDIRECT(Equipo!$E$4&amp;"!"&amp;ADDRESS(10,COLUMN(J$9)+10)&amp;":"&amp;ADDRESS(1000,COLUMN(J$9)+10))),
SUMIF(INDIRECT(Equipo!$F$4&amp;"!B10:B1000"),$B151,INDIRECT(Equipo!$F$4&amp;"!"&amp;ADDRESS(10,COLUMN(J$9)+10)&amp;":"&amp;ADDRESS(1000,COLUMN(J$9)+10))),
SUMIF(INDIRECT(Equipo!$G$4&amp;"!B10:B1000"),$B151,INDIRECT(Equipo!$G$4&amp;"!"&amp;ADDRESS(10,COLUMN(J$9)+10)&amp;":"&amp;ADDRESS(1000,COLUMN(J$9)+10)))
))</f>
        <v>-</v>
      </c>
      <c r="K151" s="19" t="str">
        <f t="array" ref="K151">IF(ISBLANK(Tareas!$B147),"-",
SUM(
SUMIF(INDIRECT(Equipo!$C$4&amp;"!B10:B1000"),$B151,INDIRECT(Equipo!$C$4&amp;"!"&amp;ADDRESS(10,COLUMN(K$9)+10)&amp;":"&amp;ADDRESS(1000,COLUMN(K$9)+10))),
SUMIF(INDIRECT(Equipo!$D$4&amp;"!B10:B1000"),$B151,INDIRECT(Equipo!$D$4&amp;"!"&amp;ADDRESS(10,COLUMN(K$9)+10)&amp;":"&amp;ADDRESS(1000,COLUMN(K$9)+10))),
SUMIF(INDIRECT(Equipo!$E$4&amp;"!B10:B1000"),$B151,INDIRECT(Equipo!$E$4&amp;"!"&amp;ADDRESS(10,COLUMN(K$9)+10)&amp;":"&amp;ADDRESS(1000,COLUMN(K$9)+10))),
SUMIF(INDIRECT(Equipo!$F$4&amp;"!B10:B1000"),$B151,INDIRECT(Equipo!$F$4&amp;"!"&amp;ADDRESS(10,COLUMN(K$9)+10)&amp;":"&amp;ADDRESS(1000,COLUMN(K$9)+10))),
SUMIF(INDIRECT(Equipo!$G$4&amp;"!B10:B1000"),$B151,INDIRECT(Equipo!$G$4&amp;"!"&amp;ADDRESS(10,COLUMN(K$9)+10)&amp;":"&amp;ADDRESS(1000,COLUMN(K$9)+10)))
))</f>
        <v>-</v>
      </c>
    </row>
    <row r="152" ht="15.75" customHeight="1">
      <c r="C152" s="19" t="str">
        <f>IF(ISBLANK(Tareas!$B148),"-",SUM(D152:K152))</f>
        <v>-</v>
      </c>
      <c r="D152" s="19" t="str">
        <f t="array" ref="D152">IF(ISBLANK(Tareas!$B148),"-",
SUM(
SUMIF(INDIRECT(Equipo!$C$4&amp;"!B10:B1000"),$B152,INDIRECT(Equipo!$C$4&amp;"!"&amp;ADDRESS(10,COLUMN(D$9)+10)&amp;":"&amp;ADDRESS(1000,COLUMN(D$9)+10))),
SUMIF(INDIRECT(Equipo!$D$4&amp;"!B10:B1000"),$B152,INDIRECT(Equipo!$D$4&amp;"!"&amp;ADDRESS(10,COLUMN(D$9)+10)&amp;":"&amp;ADDRESS(1000,COLUMN(D$9)+10))),
SUMIF(INDIRECT(Equipo!$E$4&amp;"!B10:B1000"),$B152,INDIRECT(Equipo!$E$4&amp;"!"&amp;ADDRESS(10,COLUMN(D$9)+10)&amp;":"&amp;ADDRESS(1000,COLUMN(D$9)+10))),
SUMIF(INDIRECT(Equipo!$F$4&amp;"!B10:B1000"),$B152,INDIRECT(Equipo!$F$4&amp;"!"&amp;ADDRESS(10,COLUMN(D$9)+10)&amp;":"&amp;ADDRESS(1000,COLUMN(D$9)+10))),
SUMIF(INDIRECT(Equipo!$G$4&amp;"!B10:B1000"),$B152,INDIRECT(Equipo!$G$4&amp;"!"&amp;ADDRESS(10,COLUMN(D$9)+10)&amp;":"&amp;ADDRESS(1000,COLUMN(D$9)+10)))
))</f>
        <v>-</v>
      </c>
      <c r="E152" s="19" t="str">
        <f t="array" ref="E152">IF(ISBLANK(Tareas!$B148),"-",
SUM(
SUMIF(INDIRECT(Equipo!$C$4&amp;"!B10:B1000"),$B152,INDIRECT(Equipo!$C$4&amp;"!"&amp;ADDRESS(10,COLUMN(E$9)+10)&amp;":"&amp;ADDRESS(1000,COLUMN(E$9)+10))),
SUMIF(INDIRECT(Equipo!$D$4&amp;"!B10:B1000"),$B152,INDIRECT(Equipo!$D$4&amp;"!"&amp;ADDRESS(10,COLUMN(E$9)+10)&amp;":"&amp;ADDRESS(1000,COLUMN(E$9)+10))),
SUMIF(INDIRECT(Equipo!$E$4&amp;"!B10:B1000"),$B152,INDIRECT(Equipo!$E$4&amp;"!"&amp;ADDRESS(10,COLUMN(E$9)+10)&amp;":"&amp;ADDRESS(1000,COLUMN(E$9)+10))),
SUMIF(INDIRECT(Equipo!$F$4&amp;"!B10:B1000"),$B152,INDIRECT(Equipo!$F$4&amp;"!"&amp;ADDRESS(10,COLUMN(E$9)+10)&amp;":"&amp;ADDRESS(1000,COLUMN(E$9)+10))),
SUMIF(INDIRECT(Equipo!$G$4&amp;"!B10:B1000"),$B152,INDIRECT(Equipo!$G$4&amp;"!"&amp;ADDRESS(10,COLUMN(E$9)+10)&amp;":"&amp;ADDRESS(1000,COLUMN(E$9)+10)))
))</f>
        <v>-</v>
      </c>
      <c r="F152" s="19" t="str">
        <f t="array" ref="F152">IF(ISBLANK(Tareas!$B148),"-",
SUM(
SUMIF(INDIRECT(Equipo!$C$4&amp;"!B10:B1000"),$B152,INDIRECT(Equipo!$C$4&amp;"!"&amp;ADDRESS(10,COLUMN(F$9)+10)&amp;":"&amp;ADDRESS(1000,COLUMN(F$9)+10))),
SUMIF(INDIRECT(Equipo!$D$4&amp;"!B10:B1000"),$B152,INDIRECT(Equipo!$D$4&amp;"!"&amp;ADDRESS(10,COLUMN(F$9)+10)&amp;":"&amp;ADDRESS(1000,COLUMN(F$9)+10))),
SUMIF(INDIRECT(Equipo!$E$4&amp;"!B10:B1000"),$B152,INDIRECT(Equipo!$E$4&amp;"!"&amp;ADDRESS(10,COLUMN(F$9)+10)&amp;":"&amp;ADDRESS(1000,COLUMN(F$9)+10))),
SUMIF(INDIRECT(Equipo!$F$4&amp;"!B10:B1000"),$B152,INDIRECT(Equipo!$F$4&amp;"!"&amp;ADDRESS(10,COLUMN(F$9)+10)&amp;":"&amp;ADDRESS(1000,COLUMN(F$9)+10))),
SUMIF(INDIRECT(Equipo!$G$4&amp;"!B10:B1000"),$B152,INDIRECT(Equipo!$G$4&amp;"!"&amp;ADDRESS(10,COLUMN(F$9)+10)&amp;":"&amp;ADDRESS(1000,COLUMN(F$9)+10)))
))</f>
        <v>-</v>
      </c>
      <c r="G152" s="19" t="str">
        <f t="array" ref="G152">IF(ISBLANK(Tareas!$B148),"-",
SUM(
SUMIF(INDIRECT(Equipo!$C$4&amp;"!B10:B1000"),$B152,INDIRECT(Equipo!$C$4&amp;"!"&amp;ADDRESS(10,COLUMN(G$9)+10)&amp;":"&amp;ADDRESS(1000,COLUMN(G$9)+10))),
SUMIF(INDIRECT(Equipo!$D$4&amp;"!B10:B1000"),$B152,INDIRECT(Equipo!$D$4&amp;"!"&amp;ADDRESS(10,COLUMN(G$9)+10)&amp;":"&amp;ADDRESS(1000,COLUMN(G$9)+10))),
SUMIF(INDIRECT(Equipo!$E$4&amp;"!B10:B1000"),$B152,INDIRECT(Equipo!$E$4&amp;"!"&amp;ADDRESS(10,COLUMN(G$9)+10)&amp;":"&amp;ADDRESS(1000,COLUMN(G$9)+10))),
SUMIF(INDIRECT(Equipo!$F$4&amp;"!B10:B1000"),$B152,INDIRECT(Equipo!$F$4&amp;"!"&amp;ADDRESS(10,COLUMN(G$9)+10)&amp;":"&amp;ADDRESS(1000,COLUMN(G$9)+10))),
SUMIF(INDIRECT(Equipo!$G$4&amp;"!B10:B1000"),$B152,INDIRECT(Equipo!$G$4&amp;"!"&amp;ADDRESS(10,COLUMN(G$9)+10)&amp;":"&amp;ADDRESS(1000,COLUMN(G$9)+10)))
))</f>
        <v>-</v>
      </c>
      <c r="H152" s="19" t="str">
        <f t="array" ref="H152">IF(ISBLANK(Tareas!$B148),"-",
SUM(
SUMIF(INDIRECT(Equipo!$C$4&amp;"!B10:B1000"),$B152,INDIRECT(Equipo!$C$4&amp;"!"&amp;ADDRESS(10,COLUMN(H$9)+10)&amp;":"&amp;ADDRESS(1000,COLUMN(H$9)+10))),
SUMIF(INDIRECT(Equipo!$D$4&amp;"!B10:B1000"),$B152,INDIRECT(Equipo!$D$4&amp;"!"&amp;ADDRESS(10,COLUMN(H$9)+10)&amp;":"&amp;ADDRESS(1000,COLUMN(H$9)+10))),
SUMIF(INDIRECT(Equipo!$E$4&amp;"!B10:B1000"),$B152,INDIRECT(Equipo!$E$4&amp;"!"&amp;ADDRESS(10,COLUMN(H$9)+10)&amp;":"&amp;ADDRESS(1000,COLUMN(H$9)+10))),
SUMIF(INDIRECT(Equipo!$F$4&amp;"!B10:B1000"),$B152,INDIRECT(Equipo!$F$4&amp;"!"&amp;ADDRESS(10,COLUMN(H$9)+10)&amp;":"&amp;ADDRESS(1000,COLUMN(H$9)+10))),
SUMIF(INDIRECT(Equipo!$G$4&amp;"!B10:B1000"),$B152,INDIRECT(Equipo!$G$4&amp;"!"&amp;ADDRESS(10,COLUMN(H$9)+10)&amp;":"&amp;ADDRESS(1000,COLUMN(H$9)+10)))
))</f>
        <v>-</v>
      </c>
      <c r="I152" s="19" t="str">
        <f t="array" ref="I152">IF(ISBLANK(Tareas!$B148),"-",
SUM(
SUMIF(INDIRECT(Equipo!$C$4&amp;"!B10:B1000"),$B152,INDIRECT(Equipo!$C$4&amp;"!"&amp;ADDRESS(10,COLUMN(I$9)+10)&amp;":"&amp;ADDRESS(1000,COLUMN(I$9)+10))),
SUMIF(INDIRECT(Equipo!$D$4&amp;"!B10:B1000"),$B152,INDIRECT(Equipo!$D$4&amp;"!"&amp;ADDRESS(10,COLUMN(I$9)+10)&amp;":"&amp;ADDRESS(1000,COLUMN(I$9)+10))),
SUMIF(INDIRECT(Equipo!$E$4&amp;"!B10:B1000"),$B152,INDIRECT(Equipo!$E$4&amp;"!"&amp;ADDRESS(10,COLUMN(I$9)+10)&amp;":"&amp;ADDRESS(1000,COLUMN(I$9)+10))),
SUMIF(INDIRECT(Equipo!$F$4&amp;"!B10:B1000"),$B152,INDIRECT(Equipo!$F$4&amp;"!"&amp;ADDRESS(10,COLUMN(I$9)+10)&amp;":"&amp;ADDRESS(1000,COLUMN(I$9)+10))),
SUMIF(INDIRECT(Equipo!$G$4&amp;"!B10:B1000"),$B152,INDIRECT(Equipo!$G$4&amp;"!"&amp;ADDRESS(10,COLUMN(I$9)+10)&amp;":"&amp;ADDRESS(1000,COLUMN(I$9)+10)))
))</f>
        <v>-</v>
      </c>
      <c r="J152" s="19" t="str">
        <f t="array" ref="J152">IF(ISBLANK(Tareas!$B148),"-",
SUM(
SUMIF(INDIRECT(Equipo!$C$4&amp;"!B10:B1000"),$B152,INDIRECT(Equipo!$C$4&amp;"!"&amp;ADDRESS(10,COLUMN(J$9)+10)&amp;":"&amp;ADDRESS(1000,COLUMN(J$9)+10))),
SUMIF(INDIRECT(Equipo!$D$4&amp;"!B10:B1000"),$B152,INDIRECT(Equipo!$D$4&amp;"!"&amp;ADDRESS(10,COLUMN(J$9)+10)&amp;":"&amp;ADDRESS(1000,COLUMN(J$9)+10))),
SUMIF(INDIRECT(Equipo!$E$4&amp;"!B10:B1000"),$B152,INDIRECT(Equipo!$E$4&amp;"!"&amp;ADDRESS(10,COLUMN(J$9)+10)&amp;":"&amp;ADDRESS(1000,COLUMN(J$9)+10))),
SUMIF(INDIRECT(Equipo!$F$4&amp;"!B10:B1000"),$B152,INDIRECT(Equipo!$F$4&amp;"!"&amp;ADDRESS(10,COLUMN(J$9)+10)&amp;":"&amp;ADDRESS(1000,COLUMN(J$9)+10))),
SUMIF(INDIRECT(Equipo!$G$4&amp;"!B10:B1000"),$B152,INDIRECT(Equipo!$G$4&amp;"!"&amp;ADDRESS(10,COLUMN(J$9)+10)&amp;":"&amp;ADDRESS(1000,COLUMN(J$9)+10)))
))</f>
        <v>-</v>
      </c>
      <c r="K152" s="19" t="str">
        <f t="array" ref="K152">IF(ISBLANK(Tareas!$B148),"-",
SUM(
SUMIF(INDIRECT(Equipo!$C$4&amp;"!B10:B1000"),$B152,INDIRECT(Equipo!$C$4&amp;"!"&amp;ADDRESS(10,COLUMN(K$9)+10)&amp;":"&amp;ADDRESS(1000,COLUMN(K$9)+10))),
SUMIF(INDIRECT(Equipo!$D$4&amp;"!B10:B1000"),$B152,INDIRECT(Equipo!$D$4&amp;"!"&amp;ADDRESS(10,COLUMN(K$9)+10)&amp;":"&amp;ADDRESS(1000,COLUMN(K$9)+10))),
SUMIF(INDIRECT(Equipo!$E$4&amp;"!B10:B1000"),$B152,INDIRECT(Equipo!$E$4&amp;"!"&amp;ADDRESS(10,COLUMN(K$9)+10)&amp;":"&amp;ADDRESS(1000,COLUMN(K$9)+10))),
SUMIF(INDIRECT(Equipo!$F$4&amp;"!B10:B1000"),$B152,INDIRECT(Equipo!$F$4&amp;"!"&amp;ADDRESS(10,COLUMN(K$9)+10)&amp;":"&amp;ADDRESS(1000,COLUMN(K$9)+10))),
SUMIF(INDIRECT(Equipo!$G$4&amp;"!B10:B1000"),$B152,INDIRECT(Equipo!$G$4&amp;"!"&amp;ADDRESS(10,COLUMN(K$9)+10)&amp;":"&amp;ADDRESS(1000,COLUMN(K$9)+10)))
))</f>
        <v>-</v>
      </c>
    </row>
    <row r="153" ht="15.75" customHeight="1">
      <c r="C153" s="19" t="str">
        <f>IF(ISBLANK(Tareas!$B149),"-",SUM(D153:K153))</f>
        <v>-</v>
      </c>
      <c r="D153" s="19" t="str">
        <f t="array" ref="D153">IF(ISBLANK(Tareas!$B149),"-",
SUM(
SUMIF(INDIRECT(Equipo!$C$4&amp;"!B10:B1000"),$B153,INDIRECT(Equipo!$C$4&amp;"!"&amp;ADDRESS(10,COLUMN(D$9)+10)&amp;":"&amp;ADDRESS(1000,COLUMN(D$9)+10))),
SUMIF(INDIRECT(Equipo!$D$4&amp;"!B10:B1000"),$B153,INDIRECT(Equipo!$D$4&amp;"!"&amp;ADDRESS(10,COLUMN(D$9)+10)&amp;":"&amp;ADDRESS(1000,COLUMN(D$9)+10))),
SUMIF(INDIRECT(Equipo!$E$4&amp;"!B10:B1000"),$B153,INDIRECT(Equipo!$E$4&amp;"!"&amp;ADDRESS(10,COLUMN(D$9)+10)&amp;":"&amp;ADDRESS(1000,COLUMN(D$9)+10))),
SUMIF(INDIRECT(Equipo!$F$4&amp;"!B10:B1000"),$B153,INDIRECT(Equipo!$F$4&amp;"!"&amp;ADDRESS(10,COLUMN(D$9)+10)&amp;":"&amp;ADDRESS(1000,COLUMN(D$9)+10))),
SUMIF(INDIRECT(Equipo!$G$4&amp;"!B10:B1000"),$B153,INDIRECT(Equipo!$G$4&amp;"!"&amp;ADDRESS(10,COLUMN(D$9)+10)&amp;":"&amp;ADDRESS(1000,COLUMN(D$9)+10)))
))</f>
        <v>-</v>
      </c>
      <c r="E153" s="19" t="str">
        <f t="array" ref="E153">IF(ISBLANK(Tareas!$B149),"-",
SUM(
SUMIF(INDIRECT(Equipo!$C$4&amp;"!B10:B1000"),$B153,INDIRECT(Equipo!$C$4&amp;"!"&amp;ADDRESS(10,COLUMN(E$9)+10)&amp;":"&amp;ADDRESS(1000,COLUMN(E$9)+10))),
SUMIF(INDIRECT(Equipo!$D$4&amp;"!B10:B1000"),$B153,INDIRECT(Equipo!$D$4&amp;"!"&amp;ADDRESS(10,COLUMN(E$9)+10)&amp;":"&amp;ADDRESS(1000,COLUMN(E$9)+10))),
SUMIF(INDIRECT(Equipo!$E$4&amp;"!B10:B1000"),$B153,INDIRECT(Equipo!$E$4&amp;"!"&amp;ADDRESS(10,COLUMN(E$9)+10)&amp;":"&amp;ADDRESS(1000,COLUMN(E$9)+10))),
SUMIF(INDIRECT(Equipo!$F$4&amp;"!B10:B1000"),$B153,INDIRECT(Equipo!$F$4&amp;"!"&amp;ADDRESS(10,COLUMN(E$9)+10)&amp;":"&amp;ADDRESS(1000,COLUMN(E$9)+10))),
SUMIF(INDIRECT(Equipo!$G$4&amp;"!B10:B1000"),$B153,INDIRECT(Equipo!$G$4&amp;"!"&amp;ADDRESS(10,COLUMN(E$9)+10)&amp;":"&amp;ADDRESS(1000,COLUMN(E$9)+10)))
))</f>
        <v>-</v>
      </c>
      <c r="F153" s="19" t="str">
        <f t="array" ref="F153">IF(ISBLANK(Tareas!$B149),"-",
SUM(
SUMIF(INDIRECT(Equipo!$C$4&amp;"!B10:B1000"),$B153,INDIRECT(Equipo!$C$4&amp;"!"&amp;ADDRESS(10,COLUMN(F$9)+10)&amp;":"&amp;ADDRESS(1000,COLUMN(F$9)+10))),
SUMIF(INDIRECT(Equipo!$D$4&amp;"!B10:B1000"),$B153,INDIRECT(Equipo!$D$4&amp;"!"&amp;ADDRESS(10,COLUMN(F$9)+10)&amp;":"&amp;ADDRESS(1000,COLUMN(F$9)+10))),
SUMIF(INDIRECT(Equipo!$E$4&amp;"!B10:B1000"),$B153,INDIRECT(Equipo!$E$4&amp;"!"&amp;ADDRESS(10,COLUMN(F$9)+10)&amp;":"&amp;ADDRESS(1000,COLUMN(F$9)+10))),
SUMIF(INDIRECT(Equipo!$F$4&amp;"!B10:B1000"),$B153,INDIRECT(Equipo!$F$4&amp;"!"&amp;ADDRESS(10,COLUMN(F$9)+10)&amp;":"&amp;ADDRESS(1000,COLUMN(F$9)+10))),
SUMIF(INDIRECT(Equipo!$G$4&amp;"!B10:B1000"),$B153,INDIRECT(Equipo!$G$4&amp;"!"&amp;ADDRESS(10,COLUMN(F$9)+10)&amp;":"&amp;ADDRESS(1000,COLUMN(F$9)+10)))
))</f>
        <v>-</v>
      </c>
      <c r="G153" s="19" t="str">
        <f t="array" ref="G153">IF(ISBLANK(Tareas!$B149),"-",
SUM(
SUMIF(INDIRECT(Equipo!$C$4&amp;"!B10:B1000"),$B153,INDIRECT(Equipo!$C$4&amp;"!"&amp;ADDRESS(10,COLUMN(G$9)+10)&amp;":"&amp;ADDRESS(1000,COLUMN(G$9)+10))),
SUMIF(INDIRECT(Equipo!$D$4&amp;"!B10:B1000"),$B153,INDIRECT(Equipo!$D$4&amp;"!"&amp;ADDRESS(10,COLUMN(G$9)+10)&amp;":"&amp;ADDRESS(1000,COLUMN(G$9)+10))),
SUMIF(INDIRECT(Equipo!$E$4&amp;"!B10:B1000"),$B153,INDIRECT(Equipo!$E$4&amp;"!"&amp;ADDRESS(10,COLUMN(G$9)+10)&amp;":"&amp;ADDRESS(1000,COLUMN(G$9)+10))),
SUMIF(INDIRECT(Equipo!$F$4&amp;"!B10:B1000"),$B153,INDIRECT(Equipo!$F$4&amp;"!"&amp;ADDRESS(10,COLUMN(G$9)+10)&amp;":"&amp;ADDRESS(1000,COLUMN(G$9)+10))),
SUMIF(INDIRECT(Equipo!$G$4&amp;"!B10:B1000"),$B153,INDIRECT(Equipo!$G$4&amp;"!"&amp;ADDRESS(10,COLUMN(G$9)+10)&amp;":"&amp;ADDRESS(1000,COLUMN(G$9)+10)))
))</f>
        <v>-</v>
      </c>
      <c r="H153" s="19" t="str">
        <f t="array" ref="H153">IF(ISBLANK(Tareas!$B149),"-",
SUM(
SUMIF(INDIRECT(Equipo!$C$4&amp;"!B10:B1000"),$B153,INDIRECT(Equipo!$C$4&amp;"!"&amp;ADDRESS(10,COLUMN(H$9)+10)&amp;":"&amp;ADDRESS(1000,COLUMN(H$9)+10))),
SUMIF(INDIRECT(Equipo!$D$4&amp;"!B10:B1000"),$B153,INDIRECT(Equipo!$D$4&amp;"!"&amp;ADDRESS(10,COLUMN(H$9)+10)&amp;":"&amp;ADDRESS(1000,COLUMN(H$9)+10))),
SUMIF(INDIRECT(Equipo!$E$4&amp;"!B10:B1000"),$B153,INDIRECT(Equipo!$E$4&amp;"!"&amp;ADDRESS(10,COLUMN(H$9)+10)&amp;":"&amp;ADDRESS(1000,COLUMN(H$9)+10))),
SUMIF(INDIRECT(Equipo!$F$4&amp;"!B10:B1000"),$B153,INDIRECT(Equipo!$F$4&amp;"!"&amp;ADDRESS(10,COLUMN(H$9)+10)&amp;":"&amp;ADDRESS(1000,COLUMN(H$9)+10))),
SUMIF(INDIRECT(Equipo!$G$4&amp;"!B10:B1000"),$B153,INDIRECT(Equipo!$G$4&amp;"!"&amp;ADDRESS(10,COLUMN(H$9)+10)&amp;":"&amp;ADDRESS(1000,COLUMN(H$9)+10)))
))</f>
        <v>-</v>
      </c>
      <c r="I153" s="19" t="str">
        <f t="array" ref="I153">IF(ISBLANK(Tareas!$B149),"-",
SUM(
SUMIF(INDIRECT(Equipo!$C$4&amp;"!B10:B1000"),$B153,INDIRECT(Equipo!$C$4&amp;"!"&amp;ADDRESS(10,COLUMN(I$9)+10)&amp;":"&amp;ADDRESS(1000,COLUMN(I$9)+10))),
SUMIF(INDIRECT(Equipo!$D$4&amp;"!B10:B1000"),$B153,INDIRECT(Equipo!$D$4&amp;"!"&amp;ADDRESS(10,COLUMN(I$9)+10)&amp;":"&amp;ADDRESS(1000,COLUMN(I$9)+10))),
SUMIF(INDIRECT(Equipo!$E$4&amp;"!B10:B1000"),$B153,INDIRECT(Equipo!$E$4&amp;"!"&amp;ADDRESS(10,COLUMN(I$9)+10)&amp;":"&amp;ADDRESS(1000,COLUMN(I$9)+10))),
SUMIF(INDIRECT(Equipo!$F$4&amp;"!B10:B1000"),$B153,INDIRECT(Equipo!$F$4&amp;"!"&amp;ADDRESS(10,COLUMN(I$9)+10)&amp;":"&amp;ADDRESS(1000,COLUMN(I$9)+10))),
SUMIF(INDIRECT(Equipo!$G$4&amp;"!B10:B1000"),$B153,INDIRECT(Equipo!$G$4&amp;"!"&amp;ADDRESS(10,COLUMN(I$9)+10)&amp;":"&amp;ADDRESS(1000,COLUMN(I$9)+10)))
))</f>
        <v>-</v>
      </c>
      <c r="J153" s="19" t="str">
        <f t="array" ref="J153">IF(ISBLANK(Tareas!$B149),"-",
SUM(
SUMIF(INDIRECT(Equipo!$C$4&amp;"!B10:B1000"),$B153,INDIRECT(Equipo!$C$4&amp;"!"&amp;ADDRESS(10,COLUMN(J$9)+10)&amp;":"&amp;ADDRESS(1000,COLUMN(J$9)+10))),
SUMIF(INDIRECT(Equipo!$D$4&amp;"!B10:B1000"),$B153,INDIRECT(Equipo!$D$4&amp;"!"&amp;ADDRESS(10,COLUMN(J$9)+10)&amp;":"&amp;ADDRESS(1000,COLUMN(J$9)+10))),
SUMIF(INDIRECT(Equipo!$E$4&amp;"!B10:B1000"),$B153,INDIRECT(Equipo!$E$4&amp;"!"&amp;ADDRESS(10,COLUMN(J$9)+10)&amp;":"&amp;ADDRESS(1000,COLUMN(J$9)+10))),
SUMIF(INDIRECT(Equipo!$F$4&amp;"!B10:B1000"),$B153,INDIRECT(Equipo!$F$4&amp;"!"&amp;ADDRESS(10,COLUMN(J$9)+10)&amp;":"&amp;ADDRESS(1000,COLUMN(J$9)+10))),
SUMIF(INDIRECT(Equipo!$G$4&amp;"!B10:B1000"),$B153,INDIRECT(Equipo!$G$4&amp;"!"&amp;ADDRESS(10,COLUMN(J$9)+10)&amp;":"&amp;ADDRESS(1000,COLUMN(J$9)+10)))
))</f>
        <v>-</v>
      </c>
      <c r="K153" s="19" t="str">
        <f t="array" ref="K153">IF(ISBLANK(Tareas!$B149),"-",
SUM(
SUMIF(INDIRECT(Equipo!$C$4&amp;"!B10:B1000"),$B153,INDIRECT(Equipo!$C$4&amp;"!"&amp;ADDRESS(10,COLUMN(K$9)+10)&amp;":"&amp;ADDRESS(1000,COLUMN(K$9)+10))),
SUMIF(INDIRECT(Equipo!$D$4&amp;"!B10:B1000"),$B153,INDIRECT(Equipo!$D$4&amp;"!"&amp;ADDRESS(10,COLUMN(K$9)+10)&amp;":"&amp;ADDRESS(1000,COLUMN(K$9)+10))),
SUMIF(INDIRECT(Equipo!$E$4&amp;"!B10:B1000"),$B153,INDIRECT(Equipo!$E$4&amp;"!"&amp;ADDRESS(10,COLUMN(K$9)+10)&amp;":"&amp;ADDRESS(1000,COLUMN(K$9)+10))),
SUMIF(INDIRECT(Equipo!$F$4&amp;"!B10:B1000"),$B153,INDIRECT(Equipo!$F$4&amp;"!"&amp;ADDRESS(10,COLUMN(K$9)+10)&amp;":"&amp;ADDRESS(1000,COLUMN(K$9)+10))),
SUMIF(INDIRECT(Equipo!$G$4&amp;"!B10:B1000"),$B153,INDIRECT(Equipo!$G$4&amp;"!"&amp;ADDRESS(10,COLUMN(K$9)+10)&amp;":"&amp;ADDRESS(1000,COLUMN(K$9)+10)))
))</f>
        <v>-</v>
      </c>
    </row>
    <row r="154" ht="15.75" customHeight="1">
      <c r="C154" s="19" t="str">
        <f>IF(ISBLANK(Tareas!$B150),"-",SUM(D154:K154))</f>
        <v>-</v>
      </c>
      <c r="D154" s="19" t="str">
        <f t="array" ref="D154">IF(ISBLANK(Tareas!$B150),"-",
SUM(
SUMIF(INDIRECT(Equipo!$C$4&amp;"!B10:B1000"),$B154,INDIRECT(Equipo!$C$4&amp;"!"&amp;ADDRESS(10,COLUMN(D$9)+10)&amp;":"&amp;ADDRESS(1000,COLUMN(D$9)+10))),
SUMIF(INDIRECT(Equipo!$D$4&amp;"!B10:B1000"),$B154,INDIRECT(Equipo!$D$4&amp;"!"&amp;ADDRESS(10,COLUMN(D$9)+10)&amp;":"&amp;ADDRESS(1000,COLUMN(D$9)+10))),
SUMIF(INDIRECT(Equipo!$E$4&amp;"!B10:B1000"),$B154,INDIRECT(Equipo!$E$4&amp;"!"&amp;ADDRESS(10,COLUMN(D$9)+10)&amp;":"&amp;ADDRESS(1000,COLUMN(D$9)+10))),
SUMIF(INDIRECT(Equipo!$F$4&amp;"!B10:B1000"),$B154,INDIRECT(Equipo!$F$4&amp;"!"&amp;ADDRESS(10,COLUMN(D$9)+10)&amp;":"&amp;ADDRESS(1000,COLUMN(D$9)+10))),
SUMIF(INDIRECT(Equipo!$G$4&amp;"!B10:B1000"),$B154,INDIRECT(Equipo!$G$4&amp;"!"&amp;ADDRESS(10,COLUMN(D$9)+10)&amp;":"&amp;ADDRESS(1000,COLUMN(D$9)+10)))
))</f>
        <v>-</v>
      </c>
      <c r="E154" s="19" t="str">
        <f t="array" ref="E154">IF(ISBLANK(Tareas!$B150),"-",
SUM(
SUMIF(INDIRECT(Equipo!$C$4&amp;"!B10:B1000"),$B154,INDIRECT(Equipo!$C$4&amp;"!"&amp;ADDRESS(10,COLUMN(E$9)+10)&amp;":"&amp;ADDRESS(1000,COLUMN(E$9)+10))),
SUMIF(INDIRECT(Equipo!$D$4&amp;"!B10:B1000"),$B154,INDIRECT(Equipo!$D$4&amp;"!"&amp;ADDRESS(10,COLUMN(E$9)+10)&amp;":"&amp;ADDRESS(1000,COLUMN(E$9)+10))),
SUMIF(INDIRECT(Equipo!$E$4&amp;"!B10:B1000"),$B154,INDIRECT(Equipo!$E$4&amp;"!"&amp;ADDRESS(10,COLUMN(E$9)+10)&amp;":"&amp;ADDRESS(1000,COLUMN(E$9)+10))),
SUMIF(INDIRECT(Equipo!$F$4&amp;"!B10:B1000"),$B154,INDIRECT(Equipo!$F$4&amp;"!"&amp;ADDRESS(10,COLUMN(E$9)+10)&amp;":"&amp;ADDRESS(1000,COLUMN(E$9)+10))),
SUMIF(INDIRECT(Equipo!$G$4&amp;"!B10:B1000"),$B154,INDIRECT(Equipo!$G$4&amp;"!"&amp;ADDRESS(10,COLUMN(E$9)+10)&amp;":"&amp;ADDRESS(1000,COLUMN(E$9)+10)))
))</f>
        <v>-</v>
      </c>
      <c r="F154" s="19" t="str">
        <f t="array" ref="F154">IF(ISBLANK(Tareas!$B150),"-",
SUM(
SUMIF(INDIRECT(Equipo!$C$4&amp;"!B10:B1000"),$B154,INDIRECT(Equipo!$C$4&amp;"!"&amp;ADDRESS(10,COLUMN(F$9)+10)&amp;":"&amp;ADDRESS(1000,COLUMN(F$9)+10))),
SUMIF(INDIRECT(Equipo!$D$4&amp;"!B10:B1000"),$B154,INDIRECT(Equipo!$D$4&amp;"!"&amp;ADDRESS(10,COLUMN(F$9)+10)&amp;":"&amp;ADDRESS(1000,COLUMN(F$9)+10))),
SUMIF(INDIRECT(Equipo!$E$4&amp;"!B10:B1000"),$B154,INDIRECT(Equipo!$E$4&amp;"!"&amp;ADDRESS(10,COLUMN(F$9)+10)&amp;":"&amp;ADDRESS(1000,COLUMN(F$9)+10))),
SUMIF(INDIRECT(Equipo!$F$4&amp;"!B10:B1000"),$B154,INDIRECT(Equipo!$F$4&amp;"!"&amp;ADDRESS(10,COLUMN(F$9)+10)&amp;":"&amp;ADDRESS(1000,COLUMN(F$9)+10))),
SUMIF(INDIRECT(Equipo!$G$4&amp;"!B10:B1000"),$B154,INDIRECT(Equipo!$G$4&amp;"!"&amp;ADDRESS(10,COLUMN(F$9)+10)&amp;":"&amp;ADDRESS(1000,COLUMN(F$9)+10)))
))</f>
        <v>-</v>
      </c>
      <c r="G154" s="19" t="str">
        <f t="array" ref="G154">IF(ISBLANK(Tareas!$B150),"-",
SUM(
SUMIF(INDIRECT(Equipo!$C$4&amp;"!B10:B1000"),$B154,INDIRECT(Equipo!$C$4&amp;"!"&amp;ADDRESS(10,COLUMN(G$9)+10)&amp;":"&amp;ADDRESS(1000,COLUMN(G$9)+10))),
SUMIF(INDIRECT(Equipo!$D$4&amp;"!B10:B1000"),$B154,INDIRECT(Equipo!$D$4&amp;"!"&amp;ADDRESS(10,COLUMN(G$9)+10)&amp;":"&amp;ADDRESS(1000,COLUMN(G$9)+10))),
SUMIF(INDIRECT(Equipo!$E$4&amp;"!B10:B1000"),$B154,INDIRECT(Equipo!$E$4&amp;"!"&amp;ADDRESS(10,COLUMN(G$9)+10)&amp;":"&amp;ADDRESS(1000,COLUMN(G$9)+10))),
SUMIF(INDIRECT(Equipo!$F$4&amp;"!B10:B1000"),$B154,INDIRECT(Equipo!$F$4&amp;"!"&amp;ADDRESS(10,COLUMN(G$9)+10)&amp;":"&amp;ADDRESS(1000,COLUMN(G$9)+10))),
SUMIF(INDIRECT(Equipo!$G$4&amp;"!B10:B1000"),$B154,INDIRECT(Equipo!$G$4&amp;"!"&amp;ADDRESS(10,COLUMN(G$9)+10)&amp;":"&amp;ADDRESS(1000,COLUMN(G$9)+10)))
))</f>
        <v>-</v>
      </c>
      <c r="H154" s="19" t="str">
        <f t="array" ref="H154">IF(ISBLANK(Tareas!$B150),"-",
SUM(
SUMIF(INDIRECT(Equipo!$C$4&amp;"!B10:B1000"),$B154,INDIRECT(Equipo!$C$4&amp;"!"&amp;ADDRESS(10,COLUMN(H$9)+10)&amp;":"&amp;ADDRESS(1000,COLUMN(H$9)+10))),
SUMIF(INDIRECT(Equipo!$D$4&amp;"!B10:B1000"),$B154,INDIRECT(Equipo!$D$4&amp;"!"&amp;ADDRESS(10,COLUMN(H$9)+10)&amp;":"&amp;ADDRESS(1000,COLUMN(H$9)+10))),
SUMIF(INDIRECT(Equipo!$E$4&amp;"!B10:B1000"),$B154,INDIRECT(Equipo!$E$4&amp;"!"&amp;ADDRESS(10,COLUMN(H$9)+10)&amp;":"&amp;ADDRESS(1000,COLUMN(H$9)+10))),
SUMIF(INDIRECT(Equipo!$F$4&amp;"!B10:B1000"),$B154,INDIRECT(Equipo!$F$4&amp;"!"&amp;ADDRESS(10,COLUMN(H$9)+10)&amp;":"&amp;ADDRESS(1000,COLUMN(H$9)+10))),
SUMIF(INDIRECT(Equipo!$G$4&amp;"!B10:B1000"),$B154,INDIRECT(Equipo!$G$4&amp;"!"&amp;ADDRESS(10,COLUMN(H$9)+10)&amp;":"&amp;ADDRESS(1000,COLUMN(H$9)+10)))
))</f>
        <v>-</v>
      </c>
      <c r="I154" s="19" t="str">
        <f t="array" ref="I154">IF(ISBLANK(Tareas!$B150),"-",
SUM(
SUMIF(INDIRECT(Equipo!$C$4&amp;"!B10:B1000"),$B154,INDIRECT(Equipo!$C$4&amp;"!"&amp;ADDRESS(10,COLUMN(I$9)+10)&amp;":"&amp;ADDRESS(1000,COLUMN(I$9)+10))),
SUMIF(INDIRECT(Equipo!$D$4&amp;"!B10:B1000"),$B154,INDIRECT(Equipo!$D$4&amp;"!"&amp;ADDRESS(10,COLUMN(I$9)+10)&amp;":"&amp;ADDRESS(1000,COLUMN(I$9)+10))),
SUMIF(INDIRECT(Equipo!$E$4&amp;"!B10:B1000"),$B154,INDIRECT(Equipo!$E$4&amp;"!"&amp;ADDRESS(10,COLUMN(I$9)+10)&amp;":"&amp;ADDRESS(1000,COLUMN(I$9)+10))),
SUMIF(INDIRECT(Equipo!$F$4&amp;"!B10:B1000"),$B154,INDIRECT(Equipo!$F$4&amp;"!"&amp;ADDRESS(10,COLUMN(I$9)+10)&amp;":"&amp;ADDRESS(1000,COLUMN(I$9)+10))),
SUMIF(INDIRECT(Equipo!$G$4&amp;"!B10:B1000"),$B154,INDIRECT(Equipo!$G$4&amp;"!"&amp;ADDRESS(10,COLUMN(I$9)+10)&amp;":"&amp;ADDRESS(1000,COLUMN(I$9)+10)))
))</f>
        <v>-</v>
      </c>
      <c r="J154" s="19" t="str">
        <f t="array" ref="J154">IF(ISBLANK(Tareas!$B150),"-",
SUM(
SUMIF(INDIRECT(Equipo!$C$4&amp;"!B10:B1000"),$B154,INDIRECT(Equipo!$C$4&amp;"!"&amp;ADDRESS(10,COLUMN(J$9)+10)&amp;":"&amp;ADDRESS(1000,COLUMN(J$9)+10))),
SUMIF(INDIRECT(Equipo!$D$4&amp;"!B10:B1000"),$B154,INDIRECT(Equipo!$D$4&amp;"!"&amp;ADDRESS(10,COLUMN(J$9)+10)&amp;":"&amp;ADDRESS(1000,COLUMN(J$9)+10))),
SUMIF(INDIRECT(Equipo!$E$4&amp;"!B10:B1000"),$B154,INDIRECT(Equipo!$E$4&amp;"!"&amp;ADDRESS(10,COLUMN(J$9)+10)&amp;":"&amp;ADDRESS(1000,COLUMN(J$9)+10))),
SUMIF(INDIRECT(Equipo!$F$4&amp;"!B10:B1000"),$B154,INDIRECT(Equipo!$F$4&amp;"!"&amp;ADDRESS(10,COLUMN(J$9)+10)&amp;":"&amp;ADDRESS(1000,COLUMN(J$9)+10))),
SUMIF(INDIRECT(Equipo!$G$4&amp;"!B10:B1000"),$B154,INDIRECT(Equipo!$G$4&amp;"!"&amp;ADDRESS(10,COLUMN(J$9)+10)&amp;":"&amp;ADDRESS(1000,COLUMN(J$9)+10)))
))</f>
        <v>-</v>
      </c>
      <c r="K154" s="19" t="str">
        <f t="array" ref="K154">IF(ISBLANK(Tareas!$B150),"-",
SUM(
SUMIF(INDIRECT(Equipo!$C$4&amp;"!B10:B1000"),$B154,INDIRECT(Equipo!$C$4&amp;"!"&amp;ADDRESS(10,COLUMN(K$9)+10)&amp;":"&amp;ADDRESS(1000,COLUMN(K$9)+10))),
SUMIF(INDIRECT(Equipo!$D$4&amp;"!B10:B1000"),$B154,INDIRECT(Equipo!$D$4&amp;"!"&amp;ADDRESS(10,COLUMN(K$9)+10)&amp;":"&amp;ADDRESS(1000,COLUMN(K$9)+10))),
SUMIF(INDIRECT(Equipo!$E$4&amp;"!B10:B1000"),$B154,INDIRECT(Equipo!$E$4&amp;"!"&amp;ADDRESS(10,COLUMN(K$9)+10)&amp;":"&amp;ADDRESS(1000,COLUMN(K$9)+10))),
SUMIF(INDIRECT(Equipo!$F$4&amp;"!B10:B1000"),$B154,INDIRECT(Equipo!$F$4&amp;"!"&amp;ADDRESS(10,COLUMN(K$9)+10)&amp;":"&amp;ADDRESS(1000,COLUMN(K$9)+10))),
SUMIF(INDIRECT(Equipo!$G$4&amp;"!B10:B1000"),$B154,INDIRECT(Equipo!$G$4&amp;"!"&amp;ADDRESS(10,COLUMN(K$9)+10)&amp;":"&amp;ADDRESS(1000,COLUMN(K$9)+10)))
))</f>
        <v>-</v>
      </c>
    </row>
    <row r="155" ht="15.75" customHeight="1">
      <c r="C155" s="19" t="str">
        <f>IF(ISBLANK(Tareas!$B151),"-",SUM(D155:K155))</f>
        <v>-</v>
      </c>
      <c r="D155" s="19" t="str">
        <f t="array" ref="D155">IF(ISBLANK(Tareas!$B151),"-",
SUM(
SUMIF(INDIRECT(Equipo!$C$4&amp;"!B10:B1000"),$B155,INDIRECT(Equipo!$C$4&amp;"!"&amp;ADDRESS(10,COLUMN(D$9)+10)&amp;":"&amp;ADDRESS(1000,COLUMN(D$9)+10))),
SUMIF(INDIRECT(Equipo!$D$4&amp;"!B10:B1000"),$B155,INDIRECT(Equipo!$D$4&amp;"!"&amp;ADDRESS(10,COLUMN(D$9)+10)&amp;":"&amp;ADDRESS(1000,COLUMN(D$9)+10))),
SUMIF(INDIRECT(Equipo!$E$4&amp;"!B10:B1000"),$B155,INDIRECT(Equipo!$E$4&amp;"!"&amp;ADDRESS(10,COLUMN(D$9)+10)&amp;":"&amp;ADDRESS(1000,COLUMN(D$9)+10))),
SUMIF(INDIRECT(Equipo!$F$4&amp;"!B10:B1000"),$B155,INDIRECT(Equipo!$F$4&amp;"!"&amp;ADDRESS(10,COLUMN(D$9)+10)&amp;":"&amp;ADDRESS(1000,COLUMN(D$9)+10))),
SUMIF(INDIRECT(Equipo!$G$4&amp;"!B10:B1000"),$B155,INDIRECT(Equipo!$G$4&amp;"!"&amp;ADDRESS(10,COLUMN(D$9)+10)&amp;":"&amp;ADDRESS(1000,COLUMN(D$9)+10)))
))</f>
        <v>-</v>
      </c>
      <c r="E155" s="19" t="str">
        <f t="array" ref="E155">IF(ISBLANK(Tareas!$B151),"-",
SUM(
SUMIF(INDIRECT(Equipo!$C$4&amp;"!B10:B1000"),$B155,INDIRECT(Equipo!$C$4&amp;"!"&amp;ADDRESS(10,COLUMN(E$9)+10)&amp;":"&amp;ADDRESS(1000,COLUMN(E$9)+10))),
SUMIF(INDIRECT(Equipo!$D$4&amp;"!B10:B1000"),$B155,INDIRECT(Equipo!$D$4&amp;"!"&amp;ADDRESS(10,COLUMN(E$9)+10)&amp;":"&amp;ADDRESS(1000,COLUMN(E$9)+10))),
SUMIF(INDIRECT(Equipo!$E$4&amp;"!B10:B1000"),$B155,INDIRECT(Equipo!$E$4&amp;"!"&amp;ADDRESS(10,COLUMN(E$9)+10)&amp;":"&amp;ADDRESS(1000,COLUMN(E$9)+10))),
SUMIF(INDIRECT(Equipo!$F$4&amp;"!B10:B1000"),$B155,INDIRECT(Equipo!$F$4&amp;"!"&amp;ADDRESS(10,COLUMN(E$9)+10)&amp;":"&amp;ADDRESS(1000,COLUMN(E$9)+10))),
SUMIF(INDIRECT(Equipo!$G$4&amp;"!B10:B1000"),$B155,INDIRECT(Equipo!$G$4&amp;"!"&amp;ADDRESS(10,COLUMN(E$9)+10)&amp;":"&amp;ADDRESS(1000,COLUMN(E$9)+10)))
))</f>
        <v>-</v>
      </c>
      <c r="F155" s="19" t="str">
        <f t="array" ref="F155">IF(ISBLANK(Tareas!$B151),"-",
SUM(
SUMIF(INDIRECT(Equipo!$C$4&amp;"!B10:B1000"),$B155,INDIRECT(Equipo!$C$4&amp;"!"&amp;ADDRESS(10,COLUMN(F$9)+10)&amp;":"&amp;ADDRESS(1000,COLUMN(F$9)+10))),
SUMIF(INDIRECT(Equipo!$D$4&amp;"!B10:B1000"),$B155,INDIRECT(Equipo!$D$4&amp;"!"&amp;ADDRESS(10,COLUMN(F$9)+10)&amp;":"&amp;ADDRESS(1000,COLUMN(F$9)+10))),
SUMIF(INDIRECT(Equipo!$E$4&amp;"!B10:B1000"),$B155,INDIRECT(Equipo!$E$4&amp;"!"&amp;ADDRESS(10,COLUMN(F$9)+10)&amp;":"&amp;ADDRESS(1000,COLUMN(F$9)+10))),
SUMIF(INDIRECT(Equipo!$F$4&amp;"!B10:B1000"),$B155,INDIRECT(Equipo!$F$4&amp;"!"&amp;ADDRESS(10,COLUMN(F$9)+10)&amp;":"&amp;ADDRESS(1000,COLUMN(F$9)+10))),
SUMIF(INDIRECT(Equipo!$G$4&amp;"!B10:B1000"),$B155,INDIRECT(Equipo!$G$4&amp;"!"&amp;ADDRESS(10,COLUMN(F$9)+10)&amp;":"&amp;ADDRESS(1000,COLUMN(F$9)+10)))
))</f>
        <v>-</v>
      </c>
      <c r="G155" s="19" t="str">
        <f t="array" ref="G155">IF(ISBLANK(Tareas!$B151),"-",
SUM(
SUMIF(INDIRECT(Equipo!$C$4&amp;"!B10:B1000"),$B155,INDIRECT(Equipo!$C$4&amp;"!"&amp;ADDRESS(10,COLUMN(G$9)+10)&amp;":"&amp;ADDRESS(1000,COLUMN(G$9)+10))),
SUMIF(INDIRECT(Equipo!$D$4&amp;"!B10:B1000"),$B155,INDIRECT(Equipo!$D$4&amp;"!"&amp;ADDRESS(10,COLUMN(G$9)+10)&amp;":"&amp;ADDRESS(1000,COLUMN(G$9)+10))),
SUMIF(INDIRECT(Equipo!$E$4&amp;"!B10:B1000"),$B155,INDIRECT(Equipo!$E$4&amp;"!"&amp;ADDRESS(10,COLUMN(G$9)+10)&amp;":"&amp;ADDRESS(1000,COLUMN(G$9)+10))),
SUMIF(INDIRECT(Equipo!$F$4&amp;"!B10:B1000"),$B155,INDIRECT(Equipo!$F$4&amp;"!"&amp;ADDRESS(10,COLUMN(G$9)+10)&amp;":"&amp;ADDRESS(1000,COLUMN(G$9)+10))),
SUMIF(INDIRECT(Equipo!$G$4&amp;"!B10:B1000"),$B155,INDIRECT(Equipo!$G$4&amp;"!"&amp;ADDRESS(10,COLUMN(G$9)+10)&amp;":"&amp;ADDRESS(1000,COLUMN(G$9)+10)))
))</f>
        <v>-</v>
      </c>
      <c r="H155" s="19" t="str">
        <f t="array" ref="H155">IF(ISBLANK(Tareas!$B151),"-",
SUM(
SUMIF(INDIRECT(Equipo!$C$4&amp;"!B10:B1000"),$B155,INDIRECT(Equipo!$C$4&amp;"!"&amp;ADDRESS(10,COLUMN(H$9)+10)&amp;":"&amp;ADDRESS(1000,COLUMN(H$9)+10))),
SUMIF(INDIRECT(Equipo!$D$4&amp;"!B10:B1000"),$B155,INDIRECT(Equipo!$D$4&amp;"!"&amp;ADDRESS(10,COLUMN(H$9)+10)&amp;":"&amp;ADDRESS(1000,COLUMN(H$9)+10))),
SUMIF(INDIRECT(Equipo!$E$4&amp;"!B10:B1000"),$B155,INDIRECT(Equipo!$E$4&amp;"!"&amp;ADDRESS(10,COLUMN(H$9)+10)&amp;":"&amp;ADDRESS(1000,COLUMN(H$9)+10))),
SUMIF(INDIRECT(Equipo!$F$4&amp;"!B10:B1000"),$B155,INDIRECT(Equipo!$F$4&amp;"!"&amp;ADDRESS(10,COLUMN(H$9)+10)&amp;":"&amp;ADDRESS(1000,COLUMN(H$9)+10))),
SUMIF(INDIRECT(Equipo!$G$4&amp;"!B10:B1000"),$B155,INDIRECT(Equipo!$G$4&amp;"!"&amp;ADDRESS(10,COLUMN(H$9)+10)&amp;":"&amp;ADDRESS(1000,COLUMN(H$9)+10)))
))</f>
        <v>-</v>
      </c>
      <c r="I155" s="19" t="str">
        <f t="array" ref="I155">IF(ISBLANK(Tareas!$B151),"-",
SUM(
SUMIF(INDIRECT(Equipo!$C$4&amp;"!B10:B1000"),$B155,INDIRECT(Equipo!$C$4&amp;"!"&amp;ADDRESS(10,COLUMN(I$9)+10)&amp;":"&amp;ADDRESS(1000,COLUMN(I$9)+10))),
SUMIF(INDIRECT(Equipo!$D$4&amp;"!B10:B1000"),$B155,INDIRECT(Equipo!$D$4&amp;"!"&amp;ADDRESS(10,COLUMN(I$9)+10)&amp;":"&amp;ADDRESS(1000,COLUMN(I$9)+10))),
SUMIF(INDIRECT(Equipo!$E$4&amp;"!B10:B1000"),$B155,INDIRECT(Equipo!$E$4&amp;"!"&amp;ADDRESS(10,COLUMN(I$9)+10)&amp;":"&amp;ADDRESS(1000,COLUMN(I$9)+10))),
SUMIF(INDIRECT(Equipo!$F$4&amp;"!B10:B1000"),$B155,INDIRECT(Equipo!$F$4&amp;"!"&amp;ADDRESS(10,COLUMN(I$9)+10)&amp;":"&amp;ADDRESS(1000,COLUMN(I$9)+10))),
SUMIF(INDIRECT(Equipo!$G$4&amp;"!B10:B1000"),$B155,INDIRECT(Equipo!$G$4&amp;"!"&amp;ADDRESS(10,COLUMN(I$9)+10)&amp;":"&amp;ADDRESS(1000,COLUMN(I$9)+10)))
))</f>
        <v>-</v>
      </c>
      <c r="J155" s="19" t="str">
        <f t="array" ref="J155">IF(ISBLANK(Tareas!$B151),"-",
SUM(
SUMIF(INDIRECT(Equipo!$C$4&amp;"!B10:B1000"),$B155,INDIRECT(Equipo!$C$4&amp;"!"&amp;ADDRESS(10,COLUMN(J$9)+10)&amp;":"&amp;ADDRESS(1000,COLUMN(J$9)+10))),
SUMIF(INDIRECT(Equipo!$D$4&amp;"!B10:B1000"),$B155,INDIRECT(Equipo!$D$4&amp;"!"&amp;ADDRESS(10,COLUMN(J$9)+10)&amp;":"&amp;ADDRESS(1000,COLUMN(J$9)+10))),
SUMIF(INDIRECT(Equipo!$E$4&amp;"!B10:B1000"),$B155,INDIRECT(Equipo!$E$4&amp;"!"&amp;ADDRESS(10,COLUMN(J$9)+10)&amp;":"&amp;ADDRESS(1000,COLUMN(J$9)+10))),
SUMIF(INDIRECT(Equipo!$F$4&amp;"!B10:B1000"),$B155,INDIRECT(Equipo!$F$4&amp;"!"&amp;ADDRESS(10,COLUMN(J$9)+10)&amp;":"&amp;ADDRESS(1000,COLUMN(J$9)+10))),
SUMIF(INDIRECT(Equipo!$G$4&amp;"!B10:B1000"),$B155,INDIRECT(Equipo!$G$4&amp;"!"&amp;ADDRESS(10,COLUMN(J$9)+10)&amp;":"&amp;ADDRESS(1000,COLUMN(J$9)+10)))
))</f>
        <v>-</v>
      </c>
      <c r="K155" s="19" t="str">
        <f t="array" ref="K155">IF(ISBLANK(Tareas!$B151),"-",
SUM(
SUMIF(INDIRECT(Equipo!$C$4&amp;"!B10:B1000"),$B155,INDIRECT(Equipo!$C$4&amp;"!"&amp;ADDRESS(10,COLUMN(K$9)+10)&amp;":"&amp;ADDRESS(1000,COLUMN(K$9)+10))),
SUMIF(INDIRECT(Equipo!$D$4&amp;"!B10:B1000"),$B155,INDIRECT(Equipo!$D$4&amp;"!"&amp;ADDRESS(10,COLUMN(K$9)+10)&amp;":"&amp;ADDRESS(1000,COLUMN(K$9)+10))),
SUMIF(INDIRECT(Equipo!$E$4&amp;"!B10:B1000"),$B155,INDIRECT(Equipo!$E$4&amp;"!"&amp;ADDRESS(10,COLUMN(K$9)+10)&amp;":"&amp;ADDRESS(1000,COLUMN(K$9)+10))),
SUMIF(INDIRECT(Equipo!$F$4&amp;"!B10:B1000"),$B155,INDIRECT(Equipo!$F$4&amp;"!"&amp;ADDRESS(10,COLUMN(K$9)+10)&amp;":"&amp;ADDRESS(1000,COLUMN(K$9)+10))),
SUMIF(INDIRECT(Equipo!$G$4&amp;"!B10:B1000"),$B155,INDIRECT(Equipo!$G$4&amp;"!"&amp;ADDRESS(10,COLUMN(K$9)+10)&amp;":"&amp;ADDRESS(1000,COLUMN(K$9)+10)))
))</f>
        <v>-</v>
      </c>
    </row>
    <row r="156" ht="15.75" customHeight="1">
      <c r="C156" s="19" t="str">
        <f>IF(ISBLANK(Tareas!$B152),"-",SUM(D156:K156))</f>
        <v>-</v>
      </c>
      <c r="D156" s="19" t="str">
        <f t="array" ref="D156">IF(ISBLANK(Tareas!$B152),"-",
SUM(
SUMIF(INDIRECT(Equipo!$C$4&amp;"!B10:B1000"),$B156,INDIRECT(Equipo!$C$4&amp;"!"&amp;ADDRESS(10,COLUMN(D$9)+10)&amp;":"&amp;ADDRESS(1000,COLUMN(D$9)+10))),
SUMIF(INDIRECT(Equipo!$D$4&amp;"!B10:B1000"),$B156,INDIRECT(Equipo!$D$4&amp;"!"&amp;ADDRESS(10,COLUMN(D$9)+10)&amp;":"&amp;ADDRESS(1000,COLUMN(D$9)+10))),
SUMIF(INDIRECT(Equipo!$E$4&amp;"!B10:B1000"),$B156,INDIRECT(Equipo!$E$4&amp;"!"&amp;ADDRESS(10,COLUMN(D$9)+10)&amp;":"&amp;ADDRESS(1000,COLUMN(D$9)+10))),
SUMIF(INDIRECT(Equipo!$F$4&amp;"!B10:B1000"),$B156,INDIRECT(Equipo!$F$4&amp;"!"&amp;ADDRESS(10,COLUMN(D$9)+10)&amp;":"&amp;ADDRESS(1000,COLUMN(D$9)+10))),
SUMIF(INDIRECT(Equipo!$G$4&amp;"!B10:B1000"),$B156,INDIRECT(Equipo!$G$4&amp;"!"&amp;ADDRESS(10,COLUMN(D$9)+10)&amp;":"&amp;ADDRESS(1000,COLUMN(D$9)+10)))
))</f>
        <v>-</v>
      </c>
      <c r="E156" s="19" t="str">
        <f t="array" ref="E156">IF(ISBLANK(Tareas!$B152),"-",
SUM(
SUMIF(INDIRECT(Equipo!$C$4&amp;"!B10:B1000"),$B156,INDIRECT(Equipo!$C$4&amp;"!"&amp;ADDRESS(10,COLUMN(E$9)+10)&amp;":"&amp;ADDRESS(1000,COLUMN(E$9)+10))),
SUMIF(INDIRECT(Equipo!$D$4&amp;"!B10:B1000"),$B156,INDIRECT(Equipo!$D$4&amp;"!"&amp;ADDRESS(10,COLUMN(E$9)+10)&amp;":"&amp;ADDRESS(1000,COLUMN(E$9)+10))),
SUMIF(INDIRECT(Equipo!$E$4&amp;"!B10:B1000"),$B156,INDIRECT(Equipo!$E$4&amp;"!"&amp;ADDRESS(10,COLUMN(E$9)+10)&amp;":"&amp;ADDRESS(1000,COLUMN(E$9)+10))),
SUMIF(INDIRECT(Equipo!$F$4&amp;"!B10:B1000"),$B156,INDIRECT(Equipo!$F$4&amp;"!"&amp;ADDRESS(10,COLUMN(E$9)+10)&amp;":"&amp;ADDRESS(1000,COLUMN(E$9)+10))),
SUMIF(INDIRECT(Equipo!$G$4&amp;"!B10:B1000"),$B156,INDIRECT(Equipo!$G$4&amp;"!"&amp;ADDRESS(10,COLUMN(E$9)+10)&amp;":"&amp;ADDRESS(1000,COLUMN(E$9)+10)))
))</f>
        <v>-</v>
      </c>
      <c r="F156" s="19" t="str">
        <f t="array" ref="F156">IF(ISBLANK(Tareas!$B152),"-",
SUM(
SUMIF(INDIRECT(Equipo!$C$4&amp;"!B10:B1000"),$B156,INDIRECT(Equipo!$C$4&amp;"!"&amp;ADDRESS(10,COLUMN(F$9)+10)&amp;":"&amp;ADDRESS(1000,COLUMN(F$9)+10))),
SUMIF(INDIRECT(Equipo!$D$4&amp;"!B10:B1000"),$B156,INDIRECT(Equipo!$D$4&amp;"!"&amp;ADDRESS(10,COLUMN(F$9)+10)&amp;":"&amp;ADDRESS(1000,COLUMN(F$9)+10))),
SUMIF(INDIRECT(Equipo!$E$4&amp;"!B10:B1000"),$B156,INDIRECT(Equipo!$E$4&amp;"!"&amp;ADDRESS(10,COLUMN(F$9)+10)&amp;":"&amp;ADDRESS(1000,COLUMN(F$9)+10))),
SUMIF(INDIRECT(Equipo!$F$4&amp;"!B10:B1000"),$B156,INDIRECT(Equipo!$F$4&amp;"!"&amp;ADDRESS(10,COLUMN(F$9)+10)&amp;":"&amp;ADDRESS(1000,COLUMN(F$9)+10))),
SUMIF(INDIRECT(Equipo!$G$4&amp;"!B10:B1000"),$B156,INDIRECT(Equipo!$G$4&amp;"!"&amp;ADDRESS(10,COLUMN(F$9)+10)&amp;":"&amp;ADDRESS(1000,COLUMN(F$9)+10)))
))</f>
        <v>-</v>
      </c>
      <c r="G156" s="19" t="str">
        <f t="array" ref="G156">IF(ISBLANK(Tareas!$B152),"-",
SUM(
SUMIF(INDIRECT(Equipo!$C$4&amp;"!B10:B1000"),$B156,INDIRECT(Equipo!$C$4&amp;"!"&amp;ADDRESS(10,COLUMN(G$9)+10)&amp;":"&amp;ADDRESS(1000,COLUMN(G$9)+10))),
SUMIF(INDIRECT(Equipo!$D$4&amp;"!B10:B1000"),$B156,INDIRECT(Equipo!$D$4&amp;"!"&amp;ADDRESS(10,COLUMN(G$9)+10)&amp;":"&amp;ADDRESS(1000,COLUMN(G$9)+10))),
SUMIF(INDIRECT(Equipo!$E$4&amp;"!B10:B1000"),$B156,INDIRECT(Equipo!$E$4&amp;"!"&amp;ADDRESS(10,COLUMN(G$9)+10)&amp;":"&amp;ADDRESS(1000,COLUMN(G$9)+10))),
SUMIF(INDIRECT(Equipo!$F$4&amp;"!B10:B1000"),$B156,INDIRECT(Equipo!$F$4&amp;"!"&amp;ADDRESS(10,COLUMN(G$9)+10)&amp;":"&amp;ADDRESS(1000,COLUMN(G$9)+10))),
SUMIF(INDIRECT(Equipo!$G$4&amp;"!B10:B1000"),$B156,INDIRECT(Equipo!$G$4&amp;"!"&amp;ADDRESS(10,COLUMN(G$9)+10)&amp;":"&amp;ADDRESS(1000,COLUMN(G$9)+10)))
))</f>
        <v>-</v>
      </c>
      <c r="H156" s="19" t="str">
        <f t="array" ref="H156">IF(ISBLANK(Tareas!$B152),"-",
SUM(
SUMIF(INDIRECT(Equipo!$C$4&amp;"!B10:B1000"),$B156,INDIRECT(Equipo!$C$4&amp;"!"&amp;ADDRESS(10,COLUMN(H$9)+10)&amp;":"&amp;ADDRESS(1000,COLUMN(H$9)+10))),
SUMIF(INDIRECT(Equipo!$D$4&amp;"!B10:B1000"),$B156,INDIRECT(Equipo!$D$4&amp;"!"&amp;ADDRESS(10,COLUMN(H$9)+10)&amp;":"&amp;ADDRESS(1000,COLUMN(H$9)+10))),
SUMIF(INDIRECT(Equipo!$E$4&amp;"!B10:B1000"),$B156,INDIRECT(Equipo!$E$4&amp;"!"&amp;ADDRESS(10,COLUMN(H$9)+10)&amp;":"&amp;ADDRESS(1000,COLUMN(H$9)+10))),
SUMIF(INDIRECT(Equipo!$F$4&amp;"!B10:B1000"),$B156,INDIRECT(Equipo!$F$4&amp;"!"&amp;ADDRESS(10,COLUMN(H$9)+10)&amp;":"&amp;ADDRESS(1000,COLUMN(H$9)+10))),
SUMIF(INDIRECT(Equipo!$G$4&amp;"!B10:B1000"),$B156,INDIRECT(Equipo!$G$4&amp;"!"&amp;ADDRESS(10,COLUMN(H$9)+10)&amp;":"&amp;ADDRESS(1000,COLUMN(H$9)+10)))
))</f>
        <v>-</v>
      </c>
      <c r="I156" s="19" t="str">
        <f t="array" ref="I156">IF(ISBLANK(Tareas!$B152),"-",
SUM(
SUMIF(INDIRECT(Equipo!$C$4&amp;"!B10:B1000"),$B156,INDIRECT(Equipo!$C$4&amp;"!"&amp;ADDRESS(10,COLUMN(I$9)+10)&amp;":"&amp;ADDRESS(1000,COLUMN(I$9)+10))),
SUMIF(INDIRECT(Equipo!$D$4&amp;"!B10:B1000"),$B156,INDIRECT(Equipo!$D$4&amp;"!"&amp;ADDRESS(10,COLUMN(I$9)+10)&amp;":"&amp;ADDRESS(1000,COLUMN(I$9)+10))),
SUMIF(INDIRECT(Equipo!$E$4&amp;"!B10:B1000"),$B156,INDIRECT(Equipo!$E$4&amp;"!"&amp;ADDRESS(10,COLUMN(I$9)+10)&amp;":"&amp;ADDRESS(1000,COLUMN(I$9)+10))),
SUMIF(INDIRECT(Equipo!$F$4&amp;"!B10:B1000"),$B156,INDIRECT(Equipo!$F$4&amp;"!"&amp;ADDRESS(10,COLUMN(I$9)+10)&amp;":"&amp;ADDRESS(1000,COLUMN(I$9)+10))),
SUMIF(INDIRECT(Equipo!$G$4&amp;"!B10:B1000"),$B156,INDIRECT(Equipo!$G$4&amp;"!"&amp;ADDRESS(10,COLUMN(I$9)+10)&amp;":"&amp;ADDRESS(1000,COLUMN(I$9)+10)))
))</f>
        <v>-</v>
      </c>
      <c r="J156" s="19" t="str">
        <f t="array" ref="J156">IF(ISBLANK(Tareas!$B152),"-",
SUM(
SUMIF(INDIRECT(Equipo!$C$4&amp;"!B10:B1000"),$B156,INDIRECT(Equipo!$C$4&amp;"!"&amp;ADDRESS(10,COLUMN(J$9)+10)&amp;":"&amp;ADDRESS(1000,COLUMN(J$9)+10))),
SUMIF(INDIRECT(Equipo!$D$4&amp;"!B10:B1000"),$B156,INDIRECT(Equipo!$D$4&amp;"!"&amp;ADDRESS(10,COLUMN(J$9)+10)&amp;":"&amp;ADDRESS(1000,COLUMN(J$9)+10))),
SUMIF(INDIRECT(Equipo!$E$4&amp;"!B10:B1000"),$B156,INDIRECT(Equipo!$E$4&amp;"!"&amp;ADDRESS(10,COLUMN(J$9)+10)&amp;":"&amp;ADDRESS(1000,COLUMN(J$9)+10))),
SUMIF(INDIRECT(Equipo!$F$4&amp;"!B10:B1000"),$B156,INDIRECT(Equipo!$F$4&amp;"!"&amp;ADDRESS(10,COLUMN(J$9)+10)&amp;":"&amp;ADDRESS(1000,COLUMN(J$9)+10))),
SUMIF(INDIRECT(Equipo!$G$4&amp;"!B10:B1000"),$B156,INDIRECT(Equipo!$G$4&amp;"!"&amp;ADDRESS(10,COLUMN(J$9)+10)&amp;":"&amp;ADDRESS(1000,COLUMN(J$9)+10)))
))</f>
        <v>-</v>
      </c>
      <c r="K156" s="19" t="str">
        <f t="array" ref="K156">IF(ISBLANK(Tareas!$B152),"-",
SUM(
SUMIF(INDIRECT(Equipo!$C$4&amp;"!B10:B1000"),$B156,INDIRECT(Equipo!$C$4&amp;"!"&amp;ADDRESS(10,COLUMN(K$9)+10)&amp;":"&amp;ADDRESS(1000,COLUMN(K$9)+10))),
SUMIF(INDIRECT(Equipo!$D$4&amp;"!B10:B1000"),$B156,INDIRECT(Equipo!$D$4&amp;"!"&amp;ADDRESS(10,COLUMN(K$9)+10)&amp;":"&amp;ADDRESS(1000,COLUMN(K$9)+10))),
SUMIF(INDIRECT(Equipo!$E$4&amp;"!B10:B1000"),$B156,INDIRECT(Equipo!$E$4&amp;"!"&amp;ADDRESS(10,COLUMN(K$9)+10)&amp;":"&amp;ADDRESS(1000,COLUMN(K$9)+10))),
SUMIF(INDIRECT(Equipo!$F$4&amp;"!B10:B1000"),$B156,INDIRECT(Equipo!$F$4&amp;"!"&amp;ADDRESS(10,COLUMN(K$9)+10)&amp;":"&amp;ADDRESS(1000,COLUMN(K$9)+10))),
SUMIF(INDIRECT(Equipo!$G$4&amp;"!B10:B1000"),$B156,INDIRECT(Equipo!$G$4&amp;"!"&amp;ADDRESS(10,COLUMN(K$9)+10)&amp;":"&amp;ADDRESS(1000,COLUMN(K$9)+10)))
))</f>
        <v>-</v>
      </c>
    </row>
    <row r="157" ht="15.75" customHeight="1">
      <c r="C157" s="19" t="str">
        <f>IF(ISBLANK(Tareas!$B153),"-",SUM(D157:K157))</f>
        <v>-</v>
      </c>
      <c r="D157" s="19" t="str">
        <f t="array" ref="D157">IF(ISBLANK(Tareas!$B153),"-",
SUM(
SUMIF(INDIRECT(Equipo!$C$4&amp;"!B10:B1000"),$B157,INDIRECT(Equipo!$C$4&amp;"!"&amp;ADDRESS(10,COLUMN(D$9)+10)&amp;":"&amp;ADDRESS(1000,COLUMN(D$9)+10))),
SUMIF(INDIRECT(Equipo!$D$4&amp;"!B10:B1000"),$B157,INDIRECT(Equipo!$D$4&amp;"!"&amp;ADDRESS(10,COLUMN(D$9)+10)&amp;":"&amp;ADDRESS(1000,COLUMN(D$9)+10))),
SUMIF(INDIRECT(Equipo!$E$4&amp;"!B10:B1000"),$B157,INDIRECT(Equipo!$E$4&amp;"!"&amp;ADDRESS(10,COLUMN(D$9)+10)&amp;":"&amp;ADDRESS(1000,COLUMN(D$9)+10))),
SUMIF(INDIRECT(Equipo!$F$4&amp;"!B10:B1000"),$B157,INDIRECT(Equipo!$F$4&amp;"!"&amp;ADDRESS(10,COLUMN(D$9)+10)&amp;":"&amp;ADDRESS(1000,COLUMN(D$9)+10))),
SUMIF(INDIRECT(Equipo!$G$4&amp;"!B10:B1000"),$B157,INDIRECT(Equipo!$G$4&amp;"!"&amp;ADDRESS(10,COLUMN(D$9)+10)&amp;":"&amp;ADDRESS(1000,COLUMN(D$9)+10)))
))</f>
        <v>-</v>
      </c>
      <c r="E157" s="19" t="str">
        <f t="array" ref="E157">IF(ISBLANK(Tareas!$B153),"-",
SUM(
SUMIF(INDIRECT(Equipo!$C$4&amp;"!B10:B1000"),$B157,INDIRECT(Equipo!$C$4&amp;"!"&amp;ADDRESS(10,COLUMN(E$9)+10)&amp;":"&amp;ADDRESS(1000,COLUMN(E$9)+10))),
SUMIF(INDIRECT(Equipo!$D$4&amp;"!B10:B1000"),$B157,INDIRECT(Equipo!$D$4&amp;"!"&amp;ADDRESS(10,COLUMN(E$9)+10)&amp;":"&amp;ADDRESS(1000,COLUMN(E$9)+10))),
SUMIF(INDIRECT(Equipo!$E$4&amp;"!B10:B1000"),$B157,INDIRECT(Equipo!$E$4&amp;"!"&amp;ADDRESS(10,COLUMN(E$9)+10)&amp;":"&amp;ADDRESS(1000,COLUMN(E$9)+10))),
SUMIF(INDIRECT(Equipo!$F$4&amp;"!B10:B1000"),$B157,INDIRECT(Equipo!$F$4&amp;"!"&amp;ADDRESS(10,COLUMN(E$9)+10)&amp;":"&amp;ADDRESS(1000,COLUMN(E$9)+10))),
SUMIF(INDIRECT(Equipo!$G$4&amp;"!B10:B1000"),$B157,INDIRECT(Equipo!$G$4&amp;"!"&amp;ADDRESS(10,COLUMN(E$9)+10)&amp;":"&amp;ADDRESS(1000,COLUMN(E$9)+10)))
))</f>
        <v>-</v>
      </c>
      <c r="F157" s="19" t="str">
        <f t="array" ref="F157">IF(ISBLANK(Tareas!$B153),"-",
SUM(
SUMIF(INDIRECT(Equipo!$C$4&amp;"!B10:B1000"),$B157,INDIRECT(Equipo!$C$4&amp;"!"&amp;ADDRESS(10,COLUMN(F$9)+10)&amp;":"&amp;ADDRESS(1000,COLUMN(F$9)+10))),
SUMIF(INDIRECT(Equipo!$D$4&amp;"!B10:B1000"),$B157,INDIRECT(Equipo!$D$4&amp;"!"&amp;ADDRESS(10,COLUMN(F$9)+10)&amp;":"&amp;ADDRESS(1000,COLUMN(F$9)+10))),
SUMIF(INDIRECT(Equipo!$E$4&amp;"!B10:B1000"),$B157,INDIRECT(Equipo!$E$4&amp;"!"&amp;ADDRESS(10,COLUMN(F$9)+10)&amp;":"&amp;ADDRESS(1000,COLUMN(F$9)+10))),
SUMIF(INDIRECT(Equipo!$F$4&amp;"!B10:B1000"),$B157,INDIRECT(Equipo!$F$4&amp;"!"&amp;ADDRESS(10,COLUMN(F$9)+10)&amp;":"&amp;ADDRESS(1000,COLUMN(F$9)+10))),
SUMIF(INDIRECT(Equipo!$G$4&amp;"!B10:B1000"),$B157,INDIRECT(Equipo!$G$4&amp;"!"&amp;ADDRESS(10,COLUMN(F$9)+10)&amp;":"&amp;ADDRESS(1000,COLUMN(F$9)+10)))
))</f>
        <v>-</v>
      </c>
      <c r="G157" s="19" t="str">
        <f t="array" ref="G157">IF(ISBLANK(Tareas!$B153),"-",
SUM(
SUMIF(INDIRECT(Equipo!$C$4&amp;"!B10:B1000"),$B157,INDIRECT(Equipo!$C$4&amp;"!"&amp;ADDRESS(10,COLUMN(G$9)+10)&amp;":"&amp;ADDRESS(1000,COLUMN(G$9)+10))),
SUMIF(INDIRECT(Equipo!$D$4&amp;"!B10:B1000"),$B157,INDIRECT(Equipo!$D$4&amp;"!"&amp;ADDRESS(10,COLUMN(G$9)+10)&amp;":"&amp;ADDRESS(1000,COLUMN(G$9)+10))),
SUMIF(INDIRECT(Equipo!$E$4&amp;"!B10:B1000"),$B157,INDIRECT(Equipo!$E$4&amp;"!"&amp;ADDRESS(10,COLUMN(G$9)+10)&amp;":"&amp;ADDRESS(1000,COLUMN(G$9)+10))),
SUMIF(INDIRECT(Equipo!$F$4&amp;"!B10:B1000"),$B157,INDIRECT(Equipo!$F$4&amp;"!"&amp;ADDRESS(10,COLUMN(G$9)+10)&amp;":"&amp;ADDRESS(1000,COLUMN(G$9)+10))),
SUMIF(INDIRECT(Equipo!$G$4&amp;"!B10:B1000"),$B157,INDIRECT(Equipo!$G$4&amp;"!"&amp;ADDRESS(10,COLUMN(G$9)+10)&amp;":"&amp;ADDRESS(1000,COLUMN(G$9)+10)))
))</f>
        <v>-</v>
      </c>
      <c r="H157" s="19" t="str">
        <f t="array" ref="H157">IF(ISBLANK(Tareas!$B153),"-",
SUM(
SUMIF(INDIRECT(Equipo!$C$4&amp;"!B10:B1000"),$B157,INDIRECT(Equipo!$C$4&amp;"!"&amp;ADDRESS(10,COLUMN(H$9)+10)&amp;":"&amp;ADDRESS(1000,COLUMN(H$9)+10))),
SUMIF(INDIRECT(Equipo!$D$4&amp;"!B10:B1000"),$B157,INDIRECT(Equipo!$D$4&amp;"!"&amp;ADDRESS(10,COLUMN(H$9)+10)&amp;":"&amp;ADDRESS(1000,COLUMN(H$9)+10))),
SUMIF(INDIRECT(Equipo!$E$4&amp;"!B10:B1000"),$B157,INDIRECT(Equipo!$E$4&amp;"!"&amp;ADDRESS(10,COLUMN(H$9)+10)&amp;":"&amp;ADDRESS(1000,COLUMN(H$9)+10))),
SUMIF(INDIRECT(Equipo!$F$4&amp;"!B10:B1000"),$B157,INDIRECT(Equipo!$F$4&amp;"!"&amp;ADDRESS(10,COLUMN(H$9)+10)&amp;":"&amp;ADDRESS(1000,COLUMN(H$9)+10))),
SUMIF(INDIRECT(Equipo!$G$4&amp;"!B10:B1000"),$B157,INDIRECT(Equipo!$G$4&amp;"!"&amp;ADDRESS(10,COLUMN(H$9)+10)&amp;":"&amp;ADDRESS(1000,COLUMN(H$9)+10)))
))</f>
        <v>-</v>
      </c>
      <c r="I157" s="19" t="str">
        <f t="array" ref="I157">IF(ISBLANK(Tareas!$B153),"-",
SUM(
SUMIF(INDIRECT(Equipo!$C$4&amp;"!B10:B1000"),$B157,INDIRECT(Equipo!$C$4&amp;"!"&amp;ADDRESS(10,COLUMN(I$9)+10)&amp;":"&amp;ADDRESS(1000,COLUMN(I$9)+10))),
SUMIF(INDIRECT(Equipo!$D$4&amp;"!B10:B1000"),$B157,INDIRECT(Equipo!$D$4&amp;"!"&amp;ADDRESS(10,COLUMN(I$9)+10)&amp;":"&amp;ADDRESS(1000,COLUMN(I$9)+10))),
SUMIF(INDIRECT(Equipo!$E$4&amp;"!B10:B1000"),$B157,INDIRECT(Equipo!$E$4&amp;"!"&amp;ADDRESS(10,COLUMN(I$9)+10)&amp;":"&amp;ADDRESS(1000,COLUMN(I$9)+10))),
SUMIF(INDIRECT(Equipo!$F$4&amp;"!B10:B1000"),$B157,INDIRECT(Equipo!$F$4&amp;"!"&amp;ADDRESS(10,COLUMN(I$9)+10)&amp;":"&amp;ADDRESS(1000,COLUMN(I$9)+10))),
SUMIF(INDIRECT(Equipo!$G$4&amp;"!B10:B1000"),$B157,INDIRECT(Equipo!$G$4&amp;"!"&amp;ADDRESS(10,COLUMN(I$9)+10)&amp;":"&amp;ADDRESS(1000,COLUMN(I$9)+10)))
))</f>
        <v>-</v>
      </c>
      <c r="J157" s="19" t="str">
        <f t="array" ref="J157">IF(ISBLANK(Tareas!$B153),"-",
SUM(
SUMIF(INDIRECT(Equipo!$C$4&amp;"!B10:B1000"),$B157,INDIRECT(Equipo!$C$4&amp;"!"&amp;ADDRESS(10,COLUMN(J$9)+10)&amp;":"&amp;ADDRESS(1000,COLUMN(J$9)+10))),
SUMIF(INDIRECT(Equipo!$D$4&amp;"!B10:B1000"),$B157,INDIRECT(Equipo!$D$4&amp;"!"&amp;ADDRESS(10,COLUMN(J$9)+10)&amp;":"&amp;ADDRESS(1000,COLUMN(J$9)+10))),
SUMIF(INDIRECT(Equipo!$E$4&amp;"!B10:B1000"),$B157,INDIRECT(Equipo!$E$4&amp;"!"&amp;ADDRESS(10,COLUMN(J$9)+10)&amp;":"&amp;ADDRESS(1000,COLUMN(J$9)+10))),
SUMIF(INDIRECT(Equipo!$F$4&amp;"!B10:B1000"),$B157,INDIRECT(Equipo!$F$4&amp;"!"&amp;ADDRESS(10,COLUMN(J$9)+10)&amp;":"&amp;ADDRESS(1000,COLUMN(J$9)+10))),
SUMIF(INDIRECT(Equipo!$G$4&amp;"!B10:B1000"),$B157,INDIRECT(Equipo!$G$4&amp;"!"&amp;ADDRESS(10,COLUMN(J$9)+10)&amp;":"&amp;ADDRESS(1000,COLUMN(J$9)+10)))
))</f>
        <v>-</v>
      </c>
      <c r="K157" s="19" t="str">
        <f t="array" ref="K157">IF(ISBLANK(Tareas!$B153),"-",
SUM(
SUMIF(INDIRECT(Equipo!$C$4&amp;"!B10:B1000"),$B157,INDIRECT(Equipo!$C$4&amp;"!"&amp;ADDRESS(10,COLUMN(K$9)+10)&amp;":"&amp;ADDRESS(1000,COLUMN(K$9)+10))),
SUMIF(INDIRECT(Equipo!$D$4&amp;"!B10:B1000"),$B157,INDIRECT(Equipo!$D$4&amp;"!"&amp;ADDRESS(10,COLUMN(K$9)+10)&amp;":"&amp;ADDRESS(1000,COLUMN(K$9)+10))),
SUMIF(INDIRECT(Equipo!$E$4&amp;"!B10:B1000"),$B157,INDIRECT(Equipo!$E$4&amp;"!"&amp;ADDRESS(10,COLUMN(K$9)+10)&amp;":"&amp;ADDRESS(1000,COLUMN(K$9)+10))),
SUMIF(INDIRECT(Equipo!$F$4&amp;"!B10:B1000"),$B157,INDIRECT(Equipo!$F$4&amp;"!"&amp;ADDRESS(10,COLUMN(K$9)+10)&amp;":"&amp;ADDRESS(1000,COLUMN(K$9)+10))),
SUMIF(INDIRECT(Equipo!$G$4&amp;"!B10:B1000"),$B157,INDIRECT(Equipo!$G$4&amp;"!"&amp;ADDRESS(10,COLUMN(K$9)+10)&amp;":"&amp;ADDRESS(1000,COLUMN(K$9)+10)))
))</f>
        <v>-</v>
      </c>
    </row>
    <row r="158" ht="15.75" customHeight="1">
      <c r="C158" s="19" t="str">
        <f>IF(ISBLANK(Tareas!$B154),"-",SUM(D158:K158))</f>
        <v>-</v>
      </c>
      <c r="D158" s="19" t="str">
        <f t="array" ref="D158">IF(ISBLANK(Tareas!$B154),"-",
SUM(
SUMIF(INDIRECT(Equipo!$C$4&amp;"!B10:B1000"),$B158,INDIRECT(Equipo!$C$4&amp;"!"&amp;ADDRESS(10,COLUMN(D$9)+10)&amp;":"&amp;ADDRESS(1000,COLUMN(D$9)+10))),
SUMIF(INDIRECT(Equipo!$D$4&amp;"!B10:B1000"),$B158,INDIRECT(Equipo!$D$4&amp;"!"&amp;ADDRESS(10,COLUMN(D$9)+10)&amp;":"&amp;ADDRESS(1000,COLUMN(D$9)+10))),
SUMIF(INDIRECT(Equipo!$E$4&amp;"!B10:B1000"),$B158,INDIRECT(Equipo!$E$4&amp;"!"&amp;ADDRESS(10,COLUMN(D$9)+10)&amp;":"&amp;ADDRESS(1000,COLUMN(D$9)+10))),
SUMIF(INDIRECT(Equipo!$F$4&amp;"!B10:B1000"),$B158,INDIRECT(Equipo!$F$4&amp;"!"&amp;ADDRESS(10,COLUMN(D$9)+10)&amp;":"&amp;ADDRESS(1000,COLUMN(D$9)+10))),
SUMIF(INDIRECT(Equipo!$G$4&amp;"!B10:B1000"),$B158,INDIRECT(Equipo!$G$4&amp;"!"&amp;ADDRESS(10,COLUMN(D$9)+10)&amp;":"&amp;ADDRESS(1000,COLUMN(D$9)+10)))
))</f>
        <v>-</v>
      </c>
      <c r="E158" s="19" t="str">
        <f t="array" ref="E158">IF(ISBLANK(Tareas!$B154),"-",
SUM(
SUMIF(INDIRECT(Equipo!$C$4&amp;"!B10:B1000"),$B158,INDIRECT(Equipo!$C$4&amp;"!"&amp;ADDRESS(10,COLUMN(E$9)+10)&amp;":"&amp;ADDRESS(1000,COLUMN(E$9)+10))),
SUMIF(INDIRECT(Equipo!$D$4&amp;"!B10:B1000"),$B158,INDIRECT(Equipo!$D$4&amp;"!"&amp;ADDRESS(10,COLUMN(E$9)+10)&amp;":"&amp;ADDRESS(1000,COLUMN(E$9)+10))),
SUMIF(INDIRECT(Equipo!$E$4&amp;"!B10:B1000"),$B158,INDIRECT(Equipo!$E$4&amp;"!"&amp;ADDRESS(10,COLUMN(E$9)+10)&amp;":"&amp;ADDRESS(1000,COLUMN(E$9)+10))),
SUMIF(INDIRECT(Equipo!$F$4&amp;"!B10:B1000"),$B158,INDIRECT(Equipo!$F$4&amp;"!"&amp;ADDRESS(10,COLUMN(E$9)+10)&amp;":"&amp;ADDRESS(1000,COLUMN(E$9)+10))),
SUMIF(INDIRECT(Equipo!$G$4&amp;"!B10:B1000"),$B158,INDIRECT(Equipo!$G$4&amp;"!"&amp;ADDRESS(10,COLUMN(E$9)+10)&amp;":"&amp;ADDRESS(1000,COLUMN(E$9)+10)))
))</f>
        <v>-</v>
      </c>
      <c r="F158" s="19" t="str">
        <f t="array" ref="F158">IF(ISBLANK(Tareas!$B154),"-",
SUM(
SUMIF(INDIRECT(Equipo!$C$4&amp;"!B10:B1000"),$B158,INDIRECT(Equipo!$C$4&amp;"!"&amp;ADDRESS(10,COLUMN(F$9)+10)&amp;":"&amp;ADDRESS(1000,COLUMN(F$9)+10))),
SUMIF(INDIRECT(Equipo!$D$4&amp;"!B10:B1000"),$B158,INDIRECT(Equipo!$D$4&amp;"!"&amp;ADDRESS(10,COLUMN(F$9)+10)&amp;":"&amp;ADDRESS(1000,COLUMN(F$9)+10))),
SUMIF(INDIRECT(Equipo!$E$4&amp;"!B10:B1000"),$B158,INDIRECT(Equipo!$E$4&amp;"!"&amp;ADDRESS(10,COLUMN(F$9)+10)&amp;":"&amp;ADDRESS(1000,COLUMN(F$9)+10))),
SUMIF(INDIRECT(Equipo!$F$4&amp;"!B10:B1000"),$B158,INDIRECT(Equipo!$F$4&amp;"!"&amp;ADDRESS(10,COLUMN(F$9)+10)&amp;":"&amp;ADDRESS(1000,COLUMN(F$9)+10))),
SUMIF(INDIRECT(Equipo!$G$4&amp;"!B10:B1000"),$B158,INDIRECT(Equipo!$G$4&amp;"!"&amp;ADDRESS(10,COLUMN(F$9)+10)&amp;":"&amp;ADDRESS(1000,COLUMN(F$9)+10)))
))</f>
        <v>-</v>
      </c>
      <c r="G158" s="19" t="str">
        <f t="array" ref="G158">IF(ISBLANK(Tareas!$B154),"-",
SUM(
SUMIF(INDIRECT(Equipo!$C$4&amp;"!B10:B1000"),$B158,INDIRECT(Equipo!$C$4&amp;"!"&amp;ADDRESS(10,COLUMN(G$9)+10)&amp;":"&amp;ADDRESS(1000,COLUMN(G$9)+10))),
SUMIF(INDIRECT(Equipo!$D$4&amp;"!B10:B1000"),$B158,INDIRECT(Equipo!$D$4&amp;"!"&amp;ADDRESS(10,COLUMN(G$9)+10)&amp;":"&amp;ADDRESS(1000,COLUMN(G$9)+10))),
SUMIF(INDIRECT(Equipo!$E$4&amp;"!B10:B1000"),$B158,INDIRECT(Equipo!$E$4&amp;"!"&amp;ADDRESS(10,COLUMN(G$9)+10)&amp;":"&amp;ADDRESS(1000,COLUMN(G$9)+10))),
SUMIF(INDIRECT(Equipo!$F$4&amp;"!B10:B1000"),$B158,INDIRECT(Equipo!$F$4&amp;"!"&amp;ADDRESS(10,COLUMN(G$9)+10)&amp;":"&amp;ADDRESS(1000,COLUMN(G$9)+10))),
SUMIF(INDIRECT(Equipo!$G$4&amp;"!B10:B1000"),$B158,INDIRECT(Equipo!$G$4&amp;"!"&amp;ADDRESS(10,COLUMN(G$9)+10)&amp;":"&amp;ADDRESS(1000,COLUMN(G$9)+10)))
))</f>
        <v>-</v>
      </c>
      <c r="H158" s="19" t="str">
        <f t="array" ref="H158">IF(ISBLANK(Tareas!$B154),"-",
SUM(
SUMIF(INDIRECT(Equipo!$C$4&amp;"!B10:B1000"),$B158,INDIRECT(Equipo!$C$4&amp;"!"&amp;ADDRESS(10,COLUMN(H$9)+10)&amp;":"&amp;ADDRESS(1000,COLUMN(H$9)+10))),
SUMIF(INDIRECT(Equipo!$D$4&amp;"!B10:B1000"),$B158,INDIRECT(Equipo!$D$4&amp;"!"&amp;ADDRESS(10,COLUMN(H$9)+10)&amp;":"&amp;ADDRESS(1000,COLUMN(H$9)+10))),
SUMIF(INDIRECT(Equipo!$E$4&amp;"!B10:B1000"),$B158,INDIRECT(Equipo!$E$4&amp;"!"&amp;ADDRESS(10,COLUMN(H$9)+10)&amp;":"&amp;ADDRESS(1000,COLUMN(H$9)+10))),
SUMIF(INDIRECT(Equipo!$F$4&amp;"!B10:B1000"),$B158,INDIRECT(Equipo!$F$4&amp;"!"&amp;ADDRESS(10,COLUMN(H$9)+10)&amp;":"&amp;ADDRESS(1000,COLUMN(H$9)+10))),
SUMIF(INDIRECT(Equipo!$G$4&amp;"!B10:B1000"),$B158,INDIRECT(Equipo!$G$4&amp;"!"&amp;ADDRESS(10,COLUMN(H$9)+10)&amp;":"&amp;ADDRESS(1000,COLUMN(H$9)+10)))
))</f>
        <v>-</v>
      </c>
      <c r="I158" s="19" t="str">
        <f t="array" ref="I158">IF(ISBLANK(Tareas!$B154),"-",
SUM(
SUMIF(INDIRECT(Equipo!$C$4&amp;"!B10:B1000"),$B158,INDIRECT(Equipo!$C$4&amp;"!"&amp;ADDRESS(10,COLUMN(I$9)+10)&amp;":"&amp;ADDRESS(1000,COLUMN(I$9)+10))),
SUMIF(INDIRECT(Equipo!$D$4&amp;"!B10:B1000"),$B158,INDIRECT(Equipo!$D$4&amp;"!"&amp;ADDRESS(10,COLUMN(I$9)+10)&amp;":"&amp;ADDRESS(1000,COLUMN(I$9)+10))),
SUMIF(INDIRECT(Equipo!$E$4&amp;"!B10:B1000"),$B158,INDIRECT(Equipo!$E$4&amp;"!"&amp;ADDRESS(10,COLUMN(I$9)+10)&amp;":"&amp;ADDRESS(1000,COLUMN(I$9)+10))),
SUMIF(INDIRECT(Equipo!$F$4&amp;"!B10:B1000"),$B158,INDIRECT(Equipo!$F$4&amp;"!"&amp;ADDRESS(10,COLUMN(I$9)+10)&amp;":"&amp;ADDRESS(1000,COLUMN(I$9)+10))),
SUMIF(INDIRECT(Equipo!$G$4&amp;"!B10:B1000"),$B158,INDIRECT(Equipo!$G$4&amp;"!"&amp;ADDRESS(10,COLUMN(I$9)+10)&amp;":"&amp;ADDRESS(1000,COLUMN(I$9)+10)))
))</f>
        <v>-</v>
      </c>
      <c r="J158" s="19" t="str">
        <f t="array" ref="J158">IF(ISBLANK(Tareas!$B154),"-",
SUM(
SUMIF(INDIRECT(Equipo!$C$4&amp;"!B10:B1000"),$B158,INDIRECT(Equipo!$C$4&amp;"!"&amp;ADDRESS(10,COLUMN(J$9)+10)&amp;":"&amp;ADDRESS(1000,COLUMN(J$9)+10))),
SUMIF(INDIRECT(Equipo!$D$4&amp;"!B10:B1000"),$B158,INDIRECT(Equipo!$D$4&amp;"!"&amp;ADDRESS(10,COLUMN(J$9)+10)&amp;":"&amp;ADDRESS(1000,COLUMN(J$9)+10))),
SUMIF(INDIRECT(Equipo!$E$4&amp;"!B10:B1000"),$B158,INDIRECT(Equipo!$E$4&amp;"!"&amp;ADDRESS(10,COLUMN(J$9)+10)&amp;":"&amp;ADDRESS(1000,COLUMN(J$9)+10))),
SUMIF(INDIRECT(Equipo!$F$4&amp;"!B10:B1000"),$B158,INDIRECT(Equipo!$F$4&amp;"!"&amp;ADDRESS(10,COLUMN(J$9)+10)&amp;":"&amp;ADDRESS(1000,COLUMN(J$9)+10))),
SUMIF(INDIRECT(Equipo!$G$4&amp;"!B10:B1000"),$B158,INDIRECT(Equipo!$G$4&amp;"!"&amp;ADDRESS(10,COLUMN(J$9)+10)&amp;":"&amp;ADDRESS(1000,COLUMN(J$9)+10)))
))</f>
        <v>-</v>
      </c>
      <c r="K158" s="19" t="str">
        <f t="array" ref="K158">IF(ISBLANK(Tareas!$B154),"-",
SUM(
SUMIF(INDIRECT(Equipo!$C$4&amp;"!B10:B1000"),$B158,INDIRECT(Equipo!$C$4&amp;"!"&amp;ADDRESS(10,COLUMN(K$9)+10)&amp;":"&amp;ADDRESS(1000,COLUMN(K$9)+10))),
SUMIF(INDIRECT(Equipo!$D$4&amp;"!B10:B1000"),$B158,INDIRECT(Equipo!$D$4&amp;"!"&amp;ADDRESS(10,COLUMN(K$9)+10)&amp;":"&amp;ADDRESS(1000,COLUMN(K$9)+10))),
SUMIF(INDIRECT(Equipo!$E$4&amp;"!B10:B1000"),$B158,INDIRECT(Equipo!$E$4&amp;"!"&amp;ADDRESS(10,COLUMN(K$9)+10)&amp;":"&amp;ADDRESS(1000,COLUMN(K$9)+10))),
SUMIF(INDIRECT(Equipo!$F$4&amp;"!B10:B1000"),$B158,INDIRECT(Equipo!$F$4&amp;"!"&amp;ADDRESS(10,COLUMN(K$9)+10)&amp;":"&amp;ADDRESS(1000,COLUMN(K$9)+10))),
SUMIF(INDIRECT(Equipo!$G$4&amp;"!B10:B1000"),$B158,INDIRECT(Equipo!$G$4&amp;"!"&amp;ADDRESS(10,COLUMN(K$9)+10)&amp;":"&amp;ADDRESS(1000,COLUMN(K$9)+10)))
))</f>
        <v>-</v>
      </c>
    </row>
    <row r="159" ht="15.75" customHeight="1">
      <c r="C159" s="19" t="str">
        <f>IF(ISBLANK(Tareas!$B155),"-",SUM(D159:K159))</f>
        <v>-</v>
      </c>
      <c r="D159" s="19" t="str">
        <f t="array" ref="D159">IF(ISBLANK(Tareas!$B155),"-",
SUM(
SUMIF(INDIRECT(Equipo!$C$4&amp;"!B10:B1000"),$B159,INDIRECT(Equipo!$C$4&amp;"!"&amp;ADDRESS(10,COLUMN(D$9)+10)&amp;":"&amp;ADDRESS(1000,COLUMN(D$9)+10))),
SUMIF(INDIRECT(Equipo!$D$4&amp;"!B10:B1000"),$B159,INDIRECT(Equipo!$D$4&amp;"!"&amp;ADDRESS(10,COLUMN(D$9)+10)&amp;":"&amp;ADDRESS(1000,COLUMN(D$9)+10))),
SUMIF(INDIRECT(Equipo!$E$4&amp;"!B10:B1000"),$B159,INDIRECT(Equipo!$E$4&amp;"!"&amp;ADDRESS(10,COLUMN(D$9)+10)&amp;":"&amp;ADDRESS(1000,COLUMN(D$9)+10))),
SUMIF(INDIRECT(Equipo!$F$4&amp;"!B10:B1000"),$B159,INDIRECT(Equipo!$F$4&amp;"!"&amp;ADDRESS(10,COLUMN(D$9)+10)&amp;":"&amp;ADDRESS(1000,COLUMN(D$9)+10))),
SUMIF(INDIRECT(Equipo!$G$4&amp;"!B10:B1000"),$B159,INDIRECT(Equipo!$G$4&amp;"!"&amp;ADDRESS(10,COLUMN(D$9)+10)&amp;":"&amp;ADDRESS(1000,COLUMN(D$9)+10)))
))</f>
        <v>-</v>
      </c>
      <c r="E159" s="19" t="str">
        <f t="array" ref="E159">IF(ISBLANK(Tareas!$B155),"-",
SUM(
SUMIF(INDIRECT(Equipo!$C$4&amp;"!B10:B1000"),$B159,INDIRECT(Equipo!$C$4&amp;"!"&amp;ADDRESS(10,COLUMN(E$9)+10)&amp;":"&amp;ADDRESS(1000,COLUMN(E$9)+10))),
SUMIF(INDIRECT(Equipo!$D$4&amp;"!B10:B1000"),$B159,INDIRECT(Equipo!$D$4&amp;"!"&amp;ADDRESS(10,COLUMN(E$9)+10)&amp;":"&amp;ADDRESS(1000,COLUMN(E$9)+10))),
SUMIF(INDIRECT(Equipo!$E$4&amp;"!B10:B1000"),$B159,INDIRECT(Equipo!$E$4&amp;"!"&amp;ADDRESS(10,COLUMN(E$9)+10)&amp;":"&amp;ADDRESS(1000,COLUMN(E$9)+10))),
SUMIF(INDIRECT(Equipo!$F$4&amp;"!B10:B1000"),$B159,INDIRECT(Equipo!$F$4&amp;"!"&amp;ADDRESS(10,COLUMN(E$9)+10)&amp;":"&amp;ADDRESS(1000,COLUMN(E$9)+10))),
SUMIF(INDIRECT(Equipo!$G$4&amp;"!B10:B1000"),$B159,INDIRECT(Equipo!$G$4&amp;"!"&amp;ADDRESS(10,COLUMN(E$9)+10)&amp;":"&amp;ADDRESS(1000,COLUMN(E$9)+10)))
))</f>
        <v>-</v>
      </c>
      <c r="F159" s="19" t="str">
        <f t="array" ref="F159">IF(ISBLANK(Tareas!$B155),"-",
SUM(
SUMIF(INDIRECT(Equipo!$C$4&amp;"!B10:B1000"),$B159,INDIRECT(Equipo!$C$4&amp;"!"&amp;ADDRESS(10,COLUMN(F$9)+10)&amp;":"&amp;ADDRESS(1000,COLUMN(F$9)+10))),
SUMIF(INDIRECT(Equipo!$D$4&amp;"!B10:B1000"),$B159,INDIRECT(Equipo!$D$4&amp;"!"&amp;ADDRESS(10,COLUMN(F$9)+10)&amp;":"&amp;ADDRESS(1000,COLUMN(F$9)+10))),
SUMIF(INDIRECT(Equipo!$E$4&amp;"!B10:B1000"),$B159,INDIRECT(Equipo!$E$4&amp;"!"&amp;ADDRESS(10,COLUMN(F$9)+10)&amp;":"&amp;ADDRESS(1000,COLUMN(F$9)+10))),
SUMIF(INDIRECT(Equipo!$F$4&amp;"!B10:B1000"),$B159,INDIRECT(Equipo!$F$4&amp;"!"&amp;ADDRESS(10,COLUMN(F$9)+10)&amp;":"&amp;ADDRESS(1000,COLUMN(F$9)+10))),
SUMIF(INDIRECT(Equipo!$G$4&amp;"!B10:B1000"),$B159,INDIRECT(Equipo!$G$4&amp;"!"&amp;ADDRESS(10,COLUMN(F$9)+10)&amp;":"&amp;ADDRESS(1000,COLUMN(F$9)+10)))
))</f>
        <v>-</v>
      </c>
      <c r="G159" s="19" t="str">
        <f t="array" ref="G159">IF(ISBLANK(Tareas!$B155),"-",
SUM(
SUMIF(INDIRECT(Equipo!$C$4&amp;"!B10:B1000"),$B159,INDIRECT(Equipo!$C$4&amp;"!"&amp;ADDRESS(10,COLUMN(G$9)+10)&amp;":"&amp;ADDRESS(1000,COLUMN(G$9)+10))),
SUMIF(INDIRECT(Equipo!$D$4&amp;"!B10:B1000"),$B159,INDIRECT(Equipo!$D$4&amp;"!"&amp;ADDRESS(10,COLUMN(G$9)+10)&amp;":"&amp;ADDRESS(1000,COLUMN(G$9)+10))),
SUMIF(INDIRECT(Equipo!$E$4&amp;"!B10:B1000"),$B159,INDIRECT(Equipo!$E$4&amp;"!"&amp;ADDRESS(10,COLUMN(G$9)+10)&amp;":"&amp;ADDRESS(1000,COLUMN(G$9)+10))),
SUMIF(INDIRECT(Equipo!$F$4&amp;"!B10:B1000"),$B159,INDIRECT(Equipo!$F$4&amp;"!"&amp;ADDRESS(10,COLUMN(G$9)+10)&amp;":"&amp;ADDRESS(1000,COLUMN(G$9)+10))),
SUMIF(INDIRECT(Equipo!$G$4&amp;"!B10:B1000"),$B159,INDIRECT(Equipo!$G$4&amp;"!"&amp;ADDRESS(10,COLUMN(G$9)+10)&amp;":"&amp;ADDRESS(1000,COLUMN(G$9)+10)))
))</f>
        <v>-</v>
      </c>
      <c r="H159" s="19" t="str">
        <f t="array" ref="H159">IF(ISBLANK(Tareas!$B155),"-",
SUM(
SUMIF(INDIRECT(Equipo!$C$4&amp;"!B10:B1000"),$B159,INDIRECT(Equipo!$C$4&amp;"!"&amp;ADDRESS(10,COLUMN(H$9)+10)&amp;":"&amp;ADDRESS(1000,COLUMN(H$9)+10))),
SUMIF(INDIRECT(Equipo!$D$4&amp;"!B10:B1000"),$B159,INDIRECT(Equipo!$D$4&amp;"!"&amp;ADDRESS(10,COLUMN(H$9)+10)&amp;":"&amp;ADDRESS(1000,COLUMN(H$9)+10))),
SUMIF(INDIRECT(Equipo!$E$4&amp;"!B10:B1000"),$B159,INDIRECT(Equipo!$E$4&amp;"!"&amp;ADDRESS(10,COLUMN(H$9)+10)&amp;":"&amp;ADDRESS(1000,COLUMN(H$9)+10))),
SUMIF(INDIRECT(Equipo!$F$4&amp;"!B10:B1000"),$B159,INDIRECT(Equipo!$F$4&amp;"!"&amp;ADDRESS(10,COLUMN(H$9)+10)&amp;":"&amp;ADDRESS(1000,COLUMN(H$9)+10))),
SUMIF(INDIRECT(Equipo!$G$4&amp;"!B10:B1000"),$B159,INDIRECT(Equipo!$G$4&amp;"!"&amp;ADDRESS(10,COLUMN(H$9)+10)&amp;":"&amp;ADDRESS(1000,COLUMN(H$9)+10)))
))</f>
        <v>-</v>
      </c>
      <c r="I159" s="19" t="str">
        <f t="array" ref="I159">IF(ISBLANK(Tareas!$B155),"-",
SUM(
SUMIF(INDIRECT(Equipo!$C$4&amp;"!B10:B1000"),$B159,INDIRECT(Equipo!$C$4&amp;"!"&amp;ADDRESS(10,COLUMN(I$9)+10)&amp;":"&amp;ADDRESS(1000,COLUMN(I$9)+10))),
SUMIF(INDIRECT(Equipo!$D$4&amp;"!B10:B1000"),$B159,INDIRECT(Equipo!$D$4&amp;"!"&amp;ADDRESS(10,COLUMN(I$9)+10)&amp;":"&amp;ADDRESS(1000,COLUMN(I$9)+10))),
SUMIF(INDIRECT(Equipo!$E$4&amp;"!B10:B1000"),$B159,INDIRECT(Equipo!$E$4&amp;"!"&amp;ADDRESS(10,COLUMN(I$9)+10)&amp;":"&amp;ADDRESS(1000,COLUMN(I$9)+10))),
SUMIF(INDIRECT(Equipo!$F$4&amp;"!B10:B1000"),$B159,INDIRECT(Equipo!$F$4&amp;"!"&amp;ADDRESS(10,COLUMN(I$9)+10)&amp;":"&amp;ADDRESS(1000,COLUMN(I$9)+10))),
SUMIF(INDIRECT(Equipo!$G$4&amp;"!B10:B1000"),$B159,INDIRECT(Equipo!$G$4&amp;"!"&amp;ADDRESS(10,COLUMN(I$9)+10)&amp;":"&amp;ADDRESS(1000,COLUMN(I$9)+10)))
))</f>
        <v>-</v>
      </c>
      <c r="J159" s="19" t="str">
        <f t="array" ref="J159">IF(ISBLANK(Tareas!$B155),"-",
SUM(
SUMIF(INDIRECT(Equipo!$C$4&amp;"!B10:B1000"),$B159,INDIRECT(Equipo!$C$4&amp;"!"&amp;ADDRESS(10,COLUMN(J$9)+10)&amp;":"&amp;ADDRESS(1000,COLUMN(J$9)+10))),
SUMIF(INDIRECT(Equipo!$D$4&amp;"!B10:B1000"),$B159,INDIRECT(Equipo!$D$4&amp;"!"&amp;ADDRESS(10,COLUMN(J$9)+10)&amp;":"&amp;ADDRESS(1000,COLUMN(J$9)+10))),
SUMIF(INDIRECT(Equipo!$E$4&amp;"!B10:B1000"),$B159,INDIRECT(Equipo!$E$4&amp;"!"&amp;ADDRESS(10,COLUMN(J$9)+10)&amp;":"&amp;ADDRESS(1000,COLUMN(J$9)+10))),
SUMIF(INDIRECT(Equipo!$F$4&amp;"!B10:B1000"),$B159,INDIRECT(Equipo!$F$4&amp;"!"&amp;ADDRESS(10,COLUMN(J$9)+10)&amp;":"&amp;ADDRESS(1000,COLUMN(J$9)+10))),
SUMIF(INDIRECT(Equipo!$G$4&amp;"!B10:B1000"),$B159,INDIRECT(Equipo!$G$4&amp;"!"&amp;ADDRESS(10,COLUMN(J$9)+10)&amp;":"&amp;ADDRESS(1000,COLUMN(J$9)+10)))
))</f>
        <v>-</v>
      </c>
      <c r="K159" s="19" t="str">
        <f t="array" ref="K159">IF(ISBLANK(Tareas!$B155),"-",
SUM(
SUMIF(INDIRECT(Equipo!$C$4&amp;"!B10:B1000"),$B159,INDIRECT(Equipo!$C$4&amp;"!"&amp;ADDRESS(10,COLUMN(K$9)+10)&amp;":"&amp;ADDRESS(1000,COLUMN(K$9)+10))),
SUMIF(INDIRECT(Equipo!$D$4&amp;"!B10:B1000"),$B159,INDIRECT(Equipo!$D$4&amp;"!"&amp;ADDRESS(10,COLUMN(K$9)+10)&amp;":"&amp;ADDRESS(1000,COLUMN(K$9)+10))),
SUMIF(INDIRECT(Equipo!$E$4&amp;"!B10:B1000"),$B159,INDIRECT(Equipo!$E$4&amp;"!"&amp;ADDRESS(10,COLUMN(K$9)+10)&amp;":"&amp;ADDRESS(1000,COLUMN(K$9)+10))),
SUMIF(INDIRECT(Equipo!$F$4&amp;"!B10:B1000"),$B159,INDIRECT(Equipo!$F$4&amp;"!"&amp;ADDRESS(10,COLUMN(K$9)+10)&amp;":"&amp;ADDRESS(1000,COLUMN(K$9)+10))),
SUMIF(INDIRECT(Equipo!$G$4&amp;"!B10:B1000"),$B159,INDIRECT(Equipo!$G$4&amp;"!"&amp;ADDRESS(10,COLUMN(K$9)+10)&amp;":"&amp;ADDRESS(1000,COLUMN(K$9)+10)))
))</f>
        <v>-</v>
      </c>
    </row>
    <row r="160" ht="15.75" customHeight="1">
      <c r="C160" s="19" t="str">
        <f>IF(ISBLANK(Tareas!$B156),"-",SUM(D160:K160))</f>
        <v>-</v>
      </c>
      <c r="D160" s="19" t="str">
        <f t="array" ref="D160">IF(ISBLANK(Tareas!$B156),"-",
SUM(
SUMIF(INDIRECT(Equipo!$C$4&amp;"!B10:B1000"),$B160,INDIRECT(Equipo!$C$4&amp;"!"&amp;ADDRESS(10,COLUMN(D$9)+10)&amp;":"&amp;ADDRESS(1000,COLUMN(D$9)+10))),
SUMIF(INDIRECT(Equipo!$D$4&amp;"!B10:B1000"),$B160,INDIRECT(Equipo!$D$4&amp;"!"&amp;ADDRESS(10,COLUMN(D$9)+10)&amp;":"&amp;ADDRESS(1000,COLUMN(D$9)+10))),
SUMIF(INDIRECT(Equipo!$E$4&amp;"!B10:B1000"),$B160,INDIRECT(Equipo!$E$4&amp;"!"&amp;ADDRESS(10,COLUMN(D$9)+10)&amp;":"&amp;ADDRESS(1000,COLUMN(D$9)+10))),
SUMIF(INDIRECT(Equipo!$F$4&amp;"!B10:B1000"),$B160,INDIRECT(Equipo!$F$4&amp;"!"&amp;ADDRESS(10,COLUMN(D$9)+10)&amp;":"&amp;ADDRESS(1000,COLUMN(D$9)+10))),
SUMIF(INDIRECT(Equipo!$G$4&amp;"!B10:B1000"),$B160,INDIRECT(Equipo!$G$4&amp;"!"&amp;ADDRESS(10,COLUMN(D$9)+10)&amp;":"&amp;ADDRESS(1000,COLUMN(D$9)+10)))
))</f>
        <v>-</v>
      </c>
      <c r="E160" s="19" t="str">
        <f t="array" ref="E160">IF(ISBLANK(Tareas!$B156),"-",
SUM(
SUMIF(INDIRECT(Equipo!$C$4&amp;"!B10:B1000"),$B160,INDIRECT(Equipo!$C$4&amp;"!"&amp;ADDRESS(10,COLUMN(E$9)+10)&amp;":"&amp;ADDRESS(1000,COLUMN(E$9)+10))),
SUMIF(INDIRECT(Equipo!$D$4&amp;"!B10:B1000"),$B160,INDIRECT(Equipo!$D$4&amp;"!"&amp;ADDRESS(10,COLUMN(E$9)+10)&amp;":"&amp;ADDRESS(1000,COLUMN(E$9)+10))),
SUMIF(INDIRECT(Equipo!$E$4&amp;"!B10:B1000"),$B160,INDIRECT(Equipo!$E$4&amp;"!"&amp;ADDRESS(10,COLUMN(E$9)+10)&amp;":"&amp;ADDRESS(1000,COLUMN(E$9)+10))),
SUMIF(INDIRECT(Equipo!$F$4&amp;"!B10:B1000"),$B160,INDIRECT(Equipo!$F$4&amp;"!"&amp;ADDRESS(10,COLUMN(E$9)+10)&amp;":"&amp;ADDRESS(1000,COLUMN(E$9)+10))),
SUMIF(INDIRECT(Equipo!$G$4&amp;"!B10:B1000"),$B160,INDIRECT(Equipo!$G$4&amp;"!"&amp;ADDRESS(10,COLUMN(E$9)+10)&amp;":"&amp;ADDRESS(1000,COLUMN(E$9)+10)))
))</f>
        <v>-</v>
      </c>
      <c r="F160" s="19" t="str">
        <f t="array" ref="F160">IF(ISBLANK(Tareas!$B156),"-",
SUM(
SUMIF(INDIRECT(Equipo!$C$4&amp;"!B10:B1000"),$B160,INDIRECT(Equipo!$C$4&amp;"!"&amp;ADDRESS(10,COLUMN(F$9)+10)&amp;":"&amp;ADDRESS(1000,COLUMN(F$9)+10))),
SUMIF(INDIRECT(Equipo!$D$4&amp;"!B10:B1000"),$B160,INDIRECT(Equipo!$D$4&amp;"!"&amp;ADDRESS(10,COLUMN(F$9)+10)&amp;":"&amp;ADDRESS(1000,COLUMN(F$9)+10))),
SUMIF(INDIRECT(Equipo!$E$4&amp;"!B10:B1000"),$B160,INDIRECT(Equipo!$E$4&amp;"!"&amp;ADDRESS(10,COLUMN(F$9)+10)&amp;":"&amp;ADDRESS(1000,COLUMN(F$9)+10))),
SUMIF(INDIRECT(Equipo!$F$4&amp;"!B10:B1000"),$B160,INDIRECT(Equipo!$F$4&amp;"!"&amp;ADDRESS(10,COLUMN(F$9)+10)&amp;":"&amp;ADDRESS(1000,COLUMN(F$9)+10))),
SUMIF(INDIRECT(Equipo!$G$4&amp;"!B10:B1000"),$B160,INDIRECT(Equipo!$G$4&amp;"!"&amp;ADDRESS(10,COLUMN(F$9)+10)&amp;":"&amp;ADDRESS(1000,COLUMN(F$9)+10)))
))</f>
        <v>-</v>
      </c>
      <c r="G160" s="19" t="str">
        <f t="array" ref="G160">IF(ISBLANK(Tareas!$B156),"-",
SUM(
SUMIF(INDIRECT(Equipo!$C$4&amp;"!B10:B1000"),$B160,INDIRECT(Equipo!$C$4&amp;"!"&amp;ADDRESS(10,COLUMN(G$9)+10)&amp;":"&amp;ADDRESS(1000,COLUMN(G$9)+10))),
SUMIF(INDIRECT(Equipo!$D$4&amp;"!B10:B1000"),$B160,INDIRECT(Equipo!$D$4&amp;"!"&amp;ADDRESS(10,COLUMN(G$9)+10)&amp;":"&amp;ADDRESS(1000,COLUMN(G$9)+10))),
SUMIF(INDIRECT(Equipo!$E$4&amp;"!B10:B1000"),$B160,INDIRECT(Equipo!$E$4&amp;"!"&amp;ADDRESS(10,COLUMN(G$9)+10)&amp;":"&amp;ADDRESS(1000,COLUMN(G$9)+10))),
SUMIF(INDIRECT(Equipo!$F$4&amp;"!B10:B1000"),$B160,INDIRECT(Equipo!$F$4&amp;"!"&amp;ADDRESS(10,COLUMN(G$9)+10)&amp;":"&amp;ADDRESS(1000,COLUMN(G$9)+10))),
SUMIF(INDIRECT(Equipo!$G$4&amp;"!B10:B1000"),$B160,INDIRECT(Equipo!$G$4&amp;"!"&amp;ADDRESS(10,COLUMN(G$9)+10)&amp;":"&amp;ADDRESS(1000,COLUMN(G$9)+10)))
))</f>
        <v>-</v>
      </c>
      <c r="H160" s="19" t="str">
        <f t="array" ref="H160">IF(ISBLANK(Tareas!$B156),"-",
SUM(
SUMIF(INDIRECT(Equipo!$C$4&amp;"!B10:B1000"),$B160,INDIRECT(Equipo!$C$4&amp;"!"&amp;ADDRESS(10,COLUMN(H$9)+10)&amp;":"&amp;ADDRESS(1000,COLUMN(H$9)+10))),
SUMIF(INDIRECT(Equipo!$D$4&amp;"!B10:B1000"),$B160,INDIRECT(Equipo!$D$4&amp;"!"&amp;ADDRESS(10,COLUMN(H$9)+10)&amp;":"&amp;ADDRESS(1000,COLUMN(H$9)+10))),
SUMIF(INDIRECT(Equipo!$E$4&amp;"!B10:B1000"),$B160,INDIRECT(Equipo!$E$4&amp;"!"&amp;ADDRESS(10,COLUMN(H$9)+10)&amp;":"&amp;ADDRESS(1000,COLUMN(H$9)+10))),
SUMIF(INDIRECT(Equipo!$F$4&amp;"!B10:B1000"),$B160,INDIRECT(Equipo!$F$4&amp;"!"&amp;ADDRESS(10,COLUMN(H$9)+10)&amp;":"&amp;ADDRESS(1000,COLUMN(H$9)+10))),
SUMIF(INDIRECT(Equipo!$G$4&amp;"!B10:B1000"),$B160,INDIRECT(Equipo!$G$4&amp;"!"&amp;ADDRESS(10,COLUMN(H$9)+10)&amp;":"&amp;ADDRESS(1000,COLUMN(H$9)+10)))
))</f>
        <v>-</v>
      </c>
      <c r="I160" s="19" t="str">
        <f t="array" ref="I160">IF(ISBLANK(Tareas!$B156),"-",
SUM(
SUMIF(INDIRECT(Equipo!$C$4&amp;"!B10:B1000"),$B160,INDIRECT(Equipo!$C$4&amp;"!"&amp;ADDRESS(10,COLUMN(I$9)+10)&amp;":"&amp;ADDRESS(1000,COLUMN(I$9)+10))),
SUMIF(INDIRECT(Equipo!$D$4&amp;"!B10:B1000"),$B160,INDIRECT(Equipo!$D$4&amp;"!"&amp;ADDRESS(10,COLUMN(I$9)+10)&amp;":"&amp;ADDRESS(1000,COLUMN(I$9)+10))),
SUMIF(INDIRECT(Equipo!$E$4&amp;"!B10:B1000"),$B160,INDIRECT(Equipo!$E$4&amp;"!"&amp;ADDRESS(10,COLUMN(I$9)+10)&amp;":"&amp;ADDRESS(1000,COLUMN(I$9)+10))),
SUMIF(INDIRECT(Equipo!$F$4&amp;"!B10:B1000"),$B160,INDIRECT(Equipo!$F$4&amp;"!"&amp;ADDRESS(10,COLUMN(I$9)+10)&amp;":"&amp;ADDRESS(1000,COLUMN(I$9)+10))),
SUMIF(INDIRECT(Equipo!$G$4&amp;"!B10:B1000"),$B160,INDIRECT(Equipo!$G$4&amp;"!"&amp;ADDRESS(10,COLUMN(I$9)+10)&amp;":"&amp;ADDRESS(1000,COLUMN(I$9)+10)))
))</f>
        <v>-</v>
      </c>
      <c r="J160" s="19" t="str">
        <f t="array" ref="J160">IF(ISBLANK(Tareas!$B156),"-",
SUM(
SUMIF(INDIRECT(Equipo!$C$4&amp;"!B10:B1000"),$B160,INDIRECT(Equipo!$C$4&amp;"!"&amp;ADDRESS(10,COLUMN(J$9)+10)&amp;":"&amp;ADDRESS(1000,COLUMN(J$9)+10))),
SUMIF(INDIRECT(Equipo!$D$4&amp;"!B10:B1000"),$B160,INDIRECT(Equipo!$D$4&amp;"!"&amp;ADDRESS(10,COLUMN(J$9)+10)&amp;":"&amp;ADDRESS(1000,COLUMN(J$9)+10))),
SUMIF(INDIRECT(Equipo!$E$4&amp;"!B10:B1000"),$B160,INDIRECT(Equipo!$E$4&amp;"!"&amp;ADDRESS(10,COLUMN(J$9)+10)&amp;":"&amp;ADDRESS(1000,COLUMN(J$9)+10))),
SUMIF(INDIRECT(Equipo!$F$4&amp;"!B10:B1000"),$B160,INDIRECT(Equipo!$F$4&amp;"!"&amp;ADDRESS(10,COLUMN(J$9)+10)&amp;":"&amp;ADDRESS(1000,COLUMN(J$9)+10))),
SUMIF(INDIRECT(Equipo!$G$4&amp;"!B10:B1000"),$B160,INDIRECT(Equipo!$G$4&amp;"!"&amp;ADDRESS(10,COLUMN(J$9)+10)&amp;":"&amp;ADDRESS(1000,COLUMN(J$9)+10)))
))</f>
        <v>-</v>
      </c>
      <c r="K160" s="19" t="str">
        <f t="array" ref="K160">IF(ISBLANK(Tareas!$B156),"-",
SUM(
SUMIF(INDIRECT(Equipo!$C$4&amp;"!B10:B1000"),$B160,INDIRECT(Equipo!$C$4&amp;"!"&amp;ADDRESS(10,COLUMN(K$9)+10)&amp;":"&amp;ADDRESS(1000,COLUMN(K$9)+10))),
SUMIF(INDIRECT(Equipo!$D$4&amp;"!B10:B1000"),$B160,INDIRECT(Equipo!$D$4&amp;"!"&amp;ADDRESS(10,COLUMN(K$9)+10)&amp;":"&amp;ADDRESS(1000,COLUMN(K$9)+10))),
SUMIF(INDIRECT(Equipo!$E$4&amp;"!B10:B1000"),$B160,INDIRECT(Equipo!$E$4&amp;"!"&amp;ADDRESS(10,COLUMN(K$9)+10)&amp;":"&amp;ADDRESS(1000,COLUMN(K$9)+10))),
SUMIF(INDIRECT(Equipo!$F$4&amp;"!B10:B1000"),$B160,INDIRECT(Equipo!$F$4&amp;"!"&amp;ADDRESS(10,COLUMN(K$9)+10)&amp;":"&amp;ADDRESS(1000,COLUMN(K$9)+10))),
SUMIF(INDIRECT(Equipo!$G$4&amp;"!B10:B1000"),$B160,INDIRECT(Equipo!$G$4&amp;"!"&amp;ADDRESS(10,COLUMN(K$9)+10)&amp;":"&amp;ADDRESS(1000,COLUMN(K$9)+10)))
))</f>
        <v>-</v>
      </c>
    </row>
    <row r="161" ht="15.75" customHeight="1">
      <c r="C161" s="19" t="str">
        <f>IF(ISBLANK(Tareas!$B157),"-",SUM(D161:K161))</f>
        <v>-</v>
      </c>
      <c r="D161" s="19" t="str">
        <f t="array" ref="D161">IF(ISBLANK(Tareas!$B157),"-",
SUM(
SUMIF(INDIRECT(Equipo!$C$4&amp;"!B10:B1000"),$B161,INDIRECT(Equipo!$C$4&amp;"!"&amp;ADDRESS(10,COLUMN(D$9)+10)&amp;":"&amp;ADDRESS(1000,COLUMN(D$9)+10))),
SUMIF(INDIRECT(Equipo!$D$4&amp;"!B10:B1000"),$B161,INDIRECT(Equipo!$D$4&amp;"!"&amp;ADDRESS(10,COLUMN(D$9)+10)&amp;":"&amp;ADDRESS(1000,COLUMN(D$9)+10))),
SUMIF(INDIRECT(Equipo!$E$4&amp;"!B10:B1000"),$B161,INDIRECT(Equipo!$E$4&amp;"!"&amp;ADDRESS(10,COLUMN(D$9)+10)&amp;":"&amp;ADDRESS(1000,COLUMN(D$9)+10))),
SUMIF(INDIRECT(Equipo!$F$4&amp;"!B10:B1000"),$B161,INDIRECT(Equipo!$F$4&amp;"!"&amp;ADDRESS(10,COLUMN(D$9)+10)&amp;":"&amp;ADDRESS(1000,COLUMN(D$9)+10))),
SUMIF(INDIRECT(Equipo!$G$4&amp;"!B10:B1000"),$B161,INDIRECT(Equipo!$G$4&amp;"!"&amp;ADDRESS(10,COLUMN(D$9)+10)&amp;":"&amp;ADDRESS(1000,COLUMN(D$9)+10)))
))</f>
        <v>-</v>
      </c>
      <c r="E161" s="19" t="str">
        <f t="array" ref="E161">IF(ISBLANK(Tareas!$B157),"-",
SUM(
SUMIF(INDIRECT(Equipo!$C$4&amp;"!B10:B1000"),$B161,INDIRECT(Equipo!$C$4&amp;"!"&amp;ADDRESS(10,COLUMN(E$9)+10)&amp;":"&amp;ADDRESS(1000,COLUMN(E$9)+10))),
SUMIF(INDIRECT(Equipo!$D$4&amp;"!B10:B1000"),$B161,INDIRECT(Equipo!$D$4&amp;"!"&amp;ADDRESS(10,COLUMN(E$9)+10)&amp;":"&amp;ADDRESS(1000,COLUMN(E$9)+10))),
SUMIF(INDIRECT(Equipo!$E$4&amp;"!B10:B1000"),$B161,INDIRECT(Equipo!$E$4&amp;"!"&amp;ADDRESS(10,COLUMN(E$9)+10)&amp;":"&amp;ADDRESS(1000,COLUMN(E$9)+10))),
SUMIF(INDIRECT(Equipo!$F$4&amp;"!B10:B1000"),$B161,INDIRECT(Equipo!$F$4&amp;"!"&amp;ADDRESS(10,COLUMN(E$9)+10)&amp;":"&amp;ADDRESS(1000,COLUMN(E$9)+10))),
SUMIF(INDIRECT(Equipo!$G$4&amp;"!B10:B1000"),$B161,INDIRECT(Equipo!$G$4&amp;"!"&amp;ADDRESS(10,COLUMN(E$9)+10)&amp;":"&amp;ADDRESS(1000,COLUMN(E$9)+10)))
))</f>
        <v>-</v>
      </c>
      <c r="F161" s="19" t="str">
        <f t="array" ref="F161">IF(ISBLANK(Tareas!$B157),"-",
SUM(
SUMIF(INDIRECT(Equipo!$C$4&amp;"!B10:B1000"),$B161,INDIRECT(Equipo!$C$4&amp;"!"&amp;ADDRESS(10,COLUMN(F$9)+10)&amp;":"&amp;ADDRESS(1000,COLUMN(F$9)+10))),
SUMIF(INDIRECT(Equipo!$D$4&amp;"!B10:B1000"),$B161,INDIRECT(Equipo!$D$4&amp;"!"&amp;ADDRESS(10,COLUMN(F$9)+10)&amp;":"&amp;ADDRESS(1000,COLUMN(F$9)+10))),
SUMIF(INDIRECT(Equipo!$E$4&amp;"!B10:B1000"),$B161,INDIRECT(Equipo!$E$4&amp;"!"&amp;ADDRESS(10,COLUMN(F$9)+10)&amp;":"&amp;ADDRESS(1000,COLUMN(F$9)+10))),
SUMIF(INDIRECT(Equipo!$F$4&amp;"!B10:B1000"),$B161,INDIRECT(Equipo!$F$4&amp;"!"&amp;ADDRESS(10,COLUMN(F$9)+10)&amp;":"&amp;ADDRESS(1000,COLUMN(F$9)+10))),
SUMIF(INDIRECT(Equipo!$G$4&amp;"!B10:B1000"),$B161,INDIRECT(Equipo!$G$4&amp;"!"&amp;ADDRESS(10,COLUMN(F$9)+10)&amp;":"&amp;ADDRESS(1000,COLUMN(F$9)+10)))
))</f>
        <v>-</v>
      </c>
      <c r="G161" s="19" t="str">
        <f t="array" ref="G161">IF(ISBLANK(Tareas!$B157),"-",
SUM(
SUMIF(INDIRECT(Equipo!$C$4&amp;"!B10:B1000"),$B161,INDIRECT(Equipo!$C$4&amp;"!"&amp;ADDRESS(10,COLUMN(G$9)+10)&amp;":"&amp;ADDRESS(1000,COLUMN(G$9)+10))),
SUMIF(INDIRECT(Equipo!$D$4&amp;"!B10:B1000"),$B161,INDIRECT(Equipo!$D$4&amp;"!"&amp;ADDRESS(10,COLUMN(G$9)+10)&amp;":"&amp;ADDRESS(1000,COLUMN(G$9)+10))),
SUMIF(INDIRECT(Equipo!$E$4&amp;"!B10:B1000"),$B161,INDIRECT(Equipo!$E$4&amp;"!"&amp;ADDRESS(10,COLUMN(G$9)+10)&amp;":"&amp;ADDRESS(1000,COLUMN(G$9)+10))),
SUMIF(INDIRECT(Equipo!$F$4&amp;"!B10:B1000"),$B161,INDIRECT(Equipo!$F$4&amp;"!"&amp;ADDRESS(10,COLUMN(G$9)+10)&amp;":"&amp;ADDRESS(1000,COLUMN(G$9)+10))),
SUMIF(INDIRECT(Equipo!$G$4&amp;"!B10:B1000"),$B161,INDIRECT(Equipo!$G$4&amp;"!"&amp;ADDRESS(10,COLUMN(G$9)+10)&amp;":"&amp;ADDRESS(1000,COLUMN(G$9)+10)))
))</f>
        <v>-</v>
      </c>
      <c r="H161" s="19" t="str">
        <f t="array" ref="H161">IF(ISBLANK(Tareas!$B157),"-",
SUM(
SUMIF(INDIRECT(Equipo!$C$4&amp;"!B10:B1000"),$B161,INDIRECT(Equipo!$C$4&amp;"!"&amp;ADDRESS(10,COLUMN(H$9)+10)&amp;":"&amp;ADDRESS(1000,COLUMN(H$9)+10))),
SUMIF(INDIRECT(Equipo!$D$4&amp;"!B10:B1000"),$B161,INDIRECT(Equipo!$D$4&amp;"!"&amp;ADDRESS(10,COLUMN(H$9)+10)&amp;":"&amp;ADDRESS(1000,COLUMN(H$9)+10))),
SUMIF(INDIRECT(Equipo!$E$4&amp;"!B10:B1000"),$B161,INDIRECT(Equipo!$E$4&amp;"!"&amp;ADDRESS(10,COLUMN(H$9)+10)&amp;":"&amp;ADDRESS(1000,COLUMN(H$9)+10))),
SUMIF(INDIRECT(Equipo!$F$4&amp;"!B10:B1000"),$B161,INDIRECT(Equipo!$F$4&amp;"!"&amp;ADDRESS(10,COLUMN(H$9)+10)&amp;":"&amp;ADDRESS(1000,COLUMN(H$9)+10))),
SUMIF(INDIRECT(Equipo!$G$4&amp;"!B10:B1000"),$B161,INDIRECT(Equipo!$G$4&amp;"!"&amp;ADDRESS(10,COLUMN(H$9)+10)&amp;":"&amp;ADDRESS(1000,COLUMN(H$9)+10)))
))</f>
        <v>-</v>
      </c>
      <c r="I161" s="19" t="str">
        <f t="array" ref="I161">IF(ISBLANK(Tareas!$B157),"-",
SUM(
SUMIF(INDIRECT(Equipo!$C$4&amp;"!B10:B1000"),$B161,INDIRECT(Equipo!$C$4&amp;"!"&amp;ADDRESS(10,COLUMN(I$9)+10)&amp;":"&amp;ADDRESS(1000,COLUMN(I$9)+10))),
SUMIF(INDIRECT(Equipo!$D$4&amp;"!B10:B1000"),$B161,INDIRECT(Equipo!$D$4&amp;"!"&amp;ADDRESS(10,COLUMN(I$9)+10)&amp;":"&amp;ADDRESS(1000,COLUMN(I$9)+10))),
SUMIF(INDIRECT(Equipo!$E$4&amp;"!B10:B1000"),$B161,INDIRECT(Equipo!$E$4&amp;"!"&amp;ADDRESS(10,COLUMN(I$9)+10)&amp;":"&amp;ADDRESS(1000,COLUMN(I$9)+10))),
SUMIF(INDIRECT(Equipo!$F$4&amp;"!B10:B1000"),$B161,INDIRECT(Equipo!$F$4&amp;"!"&amp;ADDRESS(10,COLUMN(I$9)+10)&amp;":"&amp;ADDRESS(1000,COLUMN(I$9)+10))),
SUMIF(INDIRECT(Equipo!$G$4&amp;"!B10:B1000"),$B161,INDIRECT(Equipo!$G$4&amp;"!"&amp;ADDRESS(10,COLUMN(I$9)+10)&amp;":"&amp;ADDRESS(1000,COLUMN(I$9)+10)))
))</f>
        <v>-</v>
      </c>
      <c r="J161" s="19" t="str">
        <f t="array" ref="J161">IF(ISBLANK(Tareas!$B157),"-",
SUM(
SUMIF(INDIRECT(Equipo!$C$4&amp;"!B10:B1000"),$B161,INDIRECT(Equipo!$C$4&amp;"!"&amp;ADDRESS(10,COLUMN(J$9)+10)&amp;":"&amp;ADDRESS(1000,COLUMN(J$9)+10))),
SUMIF(INDIRECT(Equipo!$D$4&amp;"!B10:B1000"),$B161,INDIRECT(Equipo!$D$4&amp;"!"&amp;ADDRESS(10,COLUMN(J$9)+10)&amp;":"&amp;ADDRESS(1000,COLUMN(J$9)+10))),
SUMIF(INDIRECT(Equipo!$E$4&amp;"!B10:B1000"),$B161,INDIRECT(Equipo!$E$4&amp;"!"&amp;ADDRESS(10,COLUMN(J$9)+10)&amp;":"&amp;ADDRESS(1000,COLUMN(J$9)+10))),
SUMIF(INDIRECT(Equipo!$F$4&amp;"!B10:B1000"),$B161,INDIRECT(Equipo!$F$4&amp;"!"&amp;ADDRESS(10,COLUMN(J$9)+10)&amp;":"&amp;ADDRESS(1000,COLUMN(J$9)+10))),
SUMIF(INDIRECT(Equipo!$G$4&amp;"!B10:B1000"),$B161,INDIRECT(Equipo!$G$4&amp;"!"&amp;ADDRESS(10,COLUMN(J$9)+10)&amp;":"&amp;ADDRESS(1000,COLUMN(J$9)+10)))
))</f>
        <v>-</v>
      </c>
      <c r="K161" s="19" t="str">
        <f t="array" ref="K161">IF(ISBLANK(Tareas!$B157),"-",
SUM(
SUMIF(INDIRECT(Equipo!$C$4&amp;"!B10:B1000"),$B161,INDIRECT(Equipo!$C$4&amp;"!"&amp;ADDRESS(10,COLUMN(K$9)+10)&amp;":"&amp;ADDRESS(1000,COLUMN(K$9)+10))),
SUMIF(INDIRECT(Equipo!$D$4&amp;"!B10:B1000"),$B161,INDIRECT(Equipo!$D$4&amp;"!"&amp;ADDRESS(10,COLUMN(K$9)+10)&amp;":"&amp;ADDRESS(1000,COLUMN(K$9)+10))),
SUMIF(INDIRECT(Equipo!$E$4&amp;"!B10:B1000"),$B161,INDIRECT(Equipo!$E$4&amp;"!"&amp;ADDRESS(10,COLUMN(K$9)+10)&amp;":"&amp;ADDRESS(1000,COLUMN(K$9)+10))),
SUMIF(INDIRECT(Equipo!$F$4&amp;"!B10:B1000"),$B161,INDIRECT(Equipo!$F$4&amp;"!"&amp;ADDRESS(10,COLUMN(K$9)+10)&amp;":"&amp;ADDRESS(1000,COLUMN(K$9)+10))),
SUMIF(INDIRECT(Equipo!$G$4&amp;"!B10:B1000"),$B161,INDIRECT(Equipo!$G$4&amp;"!"&amp;ADDRESS(10,COLUMN(K$9)+10)&amp;":"&amp;ADDRESS(1000,COLUMN(K$9)+10)))
))</f>
        <v>-</v>
      </c>
    </row>
    <row r="162" ht="15.75" customHeight="1">
      <c r="C162" s="19" t="str">
        <f>IF(ISBLANK(Tareas!$B158),"-",SUM(D162:K162))</f>
        <v>-</v>
      </c>
      <c r="D162" s="19" t="str">
        <f t="array" ref="D162">IF(ISBLANK(Tareas!$B158),"-",
SUM(
SUMIF(INDIRECT(Equipo!$C$4&amp;"!B10:B1000"),$B162,INDIRECT(Equipo!$C$4&amp;"!"&amp;ADDRESS(10,COLUMN(D$9)+10)&amp;":"&amp;ADDRESS(1000,COLUMN(D$9)+10))),
SUMIF(INDIRECT(Equipo!$D$4&amp;"!B10:B1000"),$B162,INDIRECT(Equipo!$D$4&amp;"!"&amp;ADDRESS(10,COLUMN(D$9)+10)&amp;":"&amp;ADDRESS(1000,COLUMN(D$9)+10))),
SUMIF(INDIRECT(Equipo!$E$4&amp;"!B10:B1000"),$B162,INDIRECT(Equipo!$E$4&amp;"!"&amp;ADDRESS(10,COLUMN(D$9)+10)&amp;":"&amp;ADDRESS(1000,COLUMN(D$9)+10))),
SUMIF(INDIRECT(Equipo!$F$4&amp;"!B10:B1000"),$B162,INDIRECT(Equipo!$F$4&amp;"!"&amp;ADDRESS(10,COLUMN(D$9)+10)&amp;":"&amp;ADDRESS(1000,COLUMN(D$9)+10))),
SUMIF(INDIRECT(Equipo!$G$4&amp;"!B10:B1000"),$B162,INDIRECT(Equipo!$G$4&amp;"!"&amp;ADDRESS(10,COLUMN(D$9)+10)&amp;":"&amp;ADDRESS(1000,COLUMN(D$9)+10)))
))</f>
        <v>-</v>
      </c>
      <c r="E162" s="19" t="str">
        <f t="array" ref="E162">IF(ISBLANK(Tareas!$B158),"-",
SUM(
SUMIF(INDIRECT(Equipo!$C$4&amp;"!B10:B1000"),$B162,INDIRECT(Equipo!$C$4&amp;"!"&amp;ADDRESS(10,COLUMN(E$9)+10)&amp;":"&amp;ADDRESS(1000,COLUMN(E$9)+10))),
SUMIF(INDIRECT(Equipo!$D$4&amp;"!B10:B1000"),$B162,INDIRECT(Equipo!$D$4&amp;"!"&amp;ADDRESS(10,COLUMN(E$9)+10)&amp;":"&amp;ADDRESS(1000,COLUMN(E$9)+10))),
SUMIF(INDIRECT(Equipo!$E$4&amp;"!B10:B1000"),$B162,INDIRECT(Equipo!$E$4&amp;"!"&amp;ADDRESS(10,COLUMN(E$9)+10)&amp;":"&amp;ADDRESS(1000,COLUMN(E$9)+10))),
SUMIF(INDIRECT(Equipo!$F$4&amp;"!B10:B1000"),$B162,INDIRECT(Equipo!$F$4&amp;"!"&amp;ADDRESS(10,COLUMN(E$9)+10)&amp;":"&amp;ADDRESS(1000,COLUMN(E$9)+10))),
SUMIF(INDIRECT(Equipo!$G$4&amp;"!B10:B1000"),$B162,INDIRECT(Equipo!$G$4&amp;"!"&amp;ADDRESS(10,COLUMN(E$9)+10)&amp;":"&amp;ADDRESS(1000,COLUMN(E$9)+10)))
))</f>
        <v>-</v>
      </c>
      <c r="F162" s="19" t="str">
        <f t="array" ref="F162">IF(ISBLANK(Tareas!$B158),"-",
SUM(
SUMIF(INDIRECT(Equipo!$C$4&amp;"!B10:B1000"),$B162,INDIRECT(Equipo!$C$4&amp;"!"&amp;ADDRESS(10,COLUMN(F$9)+10)&amp;":"&amp;ADDRESS(1000,COLUMN(F$9)+10))),
SUMIF(INDIRECT(Equipo!$D$4&amp;"!B10:B1000"),$B162,INDIRECT(Equipo!$D$4&amp;"!"&amp;ADDRESS(10,COLUMN(F$9)+10)&amp;":"&amp;ADDRESS(1000,COLUMN(F$9)+10))),
SUMIF(INDIRECT(Equipo!$E$4&amp;"!B10:B1000"),$B162,INDIRECT(Equipo!$E$4&amp;"!"&amp;ADDRESS(10,COLUMN(F$9)+10)&amp;":"&amp;ADDRESS(1000,COLUMN(F$9)+10))),
SUMIF(INDIRECT(Equipo!$F$4&amp;"!B10:B1000"),$B162,INDIRECT(Equipo!$F$4&amp;"!"&amp;ADDRESS(10,COLUMN(F$9)+10)&amp;":"&amp;ADDRESS(1000,COLUMN(F$9)+10))),
SUMIF(INDIRECT(Equipo!$G$4&amp;"!B10:B1000"),$B162,INDIRECT(Equipo!$G$4&amp;"!"&amp;ADDRESS(10,COLUMN(F$9)+10)&amp;":"&amp;ADDRESS(1000,COLUMN(F$9)+10)))
))</f>
        <v>-</v>
      </c>
      <c r="G162" s="19" t="str">
        <f t="array" ref="G162">IF(ISBLANK(Tareas!$B158),"-",
SUM(
SUMIF(INDIRECT(Equipo!$C$4&amp;"!B10:B1000"),$B162,INDIRECT(Equipo!$C$4&amp;"!"&amp;ADDRESS(10,COLUMN(G$9)+10)&amp;":"&amp;ADDRESS(1000,COLUMN(G$9)+10))),
SUMIF(INDIRECT(Equipo!$D$4&amp;"!B10:B1000"),$B162,INDIRECT(Equipo!$D$4&amp;"!"&amp;ADDRESS(10,COLUMN(G$9)+10)&amp;":"&amp;ADDRESS(1000,COLUMN(G$9)+10))),
SUMIF(INDIRECT(Equipo!$E$4&amp;"!B10:B1000"),$B162,INDIRECT(Equipo!$E$4&amp;"!"&amp;ADDRESS(10,COLUMN(G$9)+10)&amp;":"&amp;ADDRESS(1000,COLUMN(G$9)+10))),
SUMIF(INDIRECT(Equipo!$F$4&amp;"!B10:B1000"),$B162,INDIRECT(Equipo!$F$4&amp;"!"&amp;ADDRESS(10,COLUMN(G$9)+10)&amp;":"&amp;ADDRESS(1000,COLUMN(G$9)+10))),
SUMIF(INDIRECT(Equipo!$G$4&amp;"!B10:B1000"),$B162,INDIRECT(Equipo!$G$4&amp;"!"&amp;ADDRESS(10,COLUMN(G$9)+10)&amp;":"&amp;ADDRESS(1000,COLUMN(G$9)+10)))
))</f>
        <v>-</v>
      </c>
      <c r="H162" s="19" t="str">
        <f t="array" ref="H162">IF(ISBLANK(Tareas!$B158),"-",
SUM(
SUMIF(INDIRECT(Equipo!$C$4&amp;"!B10:B1000"),$B162,INDIRECT(Equipo!$C$4&amp;"!"&amp;ADDRESS(10,COLUMN(H$9)+10)&amp;":"&amp;ADDRESS(1000,COLUMN(H$9)+10))),
SUMIF(INDIRECT(Equipo!$D$4&amp;"!B10:B1000"),$B162,INDIRECT(Equipo!$D$4&amp;"!"&amp;ADDRESS(10,COLUMN(H$9)+10)&amp;":"&amp;ADDRESS(1000,COLUMN(H$9)+10))),
SUMIF(INDIRECT(Equipo!$E$4&amp;"!B10:B1000"),$B162,INDIRECT(Equipo!$E$4&amp;"!"&amp;ADDRESS(10,COLUMN(H$9)+10)&amp;":"&amp;ADDRESS(1000,COLUMN(H$9)+10))),
SUMIF(INDIRECT(Equipo!$F$4&amp;"!B10:B1000"),$B162,INDIRECT(Equipo!$F$4&amp;"!"&amp;ADDRESS(10,COLUMN(H$9)+10)&amp;":"&amp;ADDRESS(1000,COLUMN(H$9)+10))),
SUMIF(INDIRECT(Equipo!$G$4&amp;"!B10:B1000"),$B162,INDIRECT(Equipo!$G$4&amp;"!"&amp;ADDRESS(10,COLUMN(H$9)+10)&amp;":"&amp;ADDRESS(1000,COLUMN(H$9)+10)))
))</f>
        <v>-</v>
      </c>
      <c r="I162" s="19" t="str">
        <f t="array" ref="I162">IF(ISBLANK(Tareas!$B158),"-",
SUM(
SUMIF(INDIRECT(Equipo!$C$4&amp;"!B10:B1000"),$B162,INDIRECT(Equipo!$C$4&amp;"!"&amp;ADDRESS(10,COLUMN(I$9)+10)&amp;":"&amp;ADDRESS(1000,COLUMN(I$9)+10))),
SUMIF(INDIRECT(Equipo!$D$4&amp;"!B10:B1000"),$B162,INDIRECT(Equipo!$D$4&amp;"!"&amp;ADDRESS(10,COLUMN(I$9)+10)&amp;":"&amp;ADDRESS(1000,COLUMN(I$9)+10))),
SUMIF(INDIRECT(Equipo!$E$4&amp;"!B10:B1000"),$B162,INDIRECT(Equipo!$E$4&amp;"!"&amp;ADDRESS(10,COLUMN(I$9)+10)&amp;":"&amp;ADDRESS(1000,COLUMN(I$9)+10))),
SUMIF(INDIRECT(Equipo!$F$4&amp;"!B10:B1000"),$B162,INDIRECT(Equipo!$F$4&amp;"!"&amp;ADDRESS(10,COLUMN(I$9)+10)&amp;":"&amp;ADDRESS(1000,COLUMN(I$9)+10))),
SUMIF(INDIRECT(Equipo!$G$4&amp;"!B10:B1000"),$B162,INDIRECT(Equipo!$G$4&amp;"!"&amp;ADDRESS(10,COLUMN(I$9)+10)&amp;":"&amp;ADDRESS(1000,COLUMN(I$9)+10)))
))</f>
        <v>-</v>
      </c>
      <c r="J162" s="19" t="str">
        <f t="array" ref="J162">IF(ISBLANK(Tareas!$B158),"-",
SUM(
SUMIF(INDIRECT(Equipo!$C$4&amp;"!B10:B1000"),$B162,INDIRECT(Equipo!$C$4&amp;"!"&amp;ADDRESS(10,COLUMN(J$9)+10)&amp;":"&amp;ADDRESS(1000,COLUMN(J$9)+10))),
SUMIF(INDIRECT(Equipo!$D$4&amp;"!B10:B1000"),$B162,INDIRECT(Equipo!$D$4&amp;"!"&amp;ADDRESS(10,COLUMN(J$9)+10)&amp;":"&amp;ADDRESS(1000,COLUMN(J$9)+10))),
SUMIF(INDIRECT(Equipo!$E$4&amp;"!B10:B1000"),$B162,INDIRECT(Equipo!$E$4&amp;"!"&amp;ADDRESS(10,COLUMN(J$9)+10)&amp;":"&amp;ADDRESS(1000,COLUMN(J$9)+10))),
SUMIF(INDIRECT(Equipo!$F$4&amp;"!B10:B1000"),$B162,INDIRECT(Equipo!$F$4&amp;"!"&amp;ADDRESS(10,COLUMN(J$9)+10)&amp;":"&amp;ADDRESS(1000,COLUMN(J$9)+10))),
SUMIF(INDIRECT(Equipo!$G$4&amp;"!B10:B1000"),$B162,INDIRECT(Equipo!$G$4&amp;"!"&amp;ADDRESS(10,COLUMN(J$9)+10)&amp;":"&amp;ADDRESS(1000,COLUMN(J$9)+10)))
))</f>
        <v>-</v>
      </c>
      <c r="K162" s="19" t="str">
        <f t="array" ref="K162">IF(ISBLANK(Tareas!$B158),"-",
SUM(
SUMIF(INDIRECT(Equipo!$C$4&amp;"!B10:B1000"),$B162,INDIRECT(Equipo!$C$4&amp;"!"&amp;ADDRESS(10,COLUMN(K$9)+10)&amp;":"&amp;ADDRESS(1000,COLUMN(K$9)+10))),
SUMIF(INDIRECT(Equipo!$D$4&amp;"!B10:B1000"),$B162,INDIRECT(Equipo!$D$4&amp;"!"&amp;ADDRESS(10,COLUMN(K$9)+10)&amp;":"&amp;ADDRESS(1000,COLUMN(K$9)+10))),
SUMIF(INDIRECT(Equipo!$E$4&amp;"!B10:B1000"),$B162,INDIRECT(Equipo!$E$4&amp;"!"&amp;ADDRESS(10,COLUMN(K$9)+10)&amp;":"&amp;ADDRESS(1000,COLUMN(K$9)+10))),
SUMIF(INDIRECT(Equipo!$F$4&amp;"!B10:B1000"),$B162,INDIRECT(Equipo!$F$4&amp;"!"&amp;ADDRESS(10,COLUMN(K$9)+10)&amp;":"&amp;ADDRESS(1000,COLUMN(K$9)+10))),
SUMIF(INDIRECT(Equipo!$G$4&amp;"!B10:B1000"),$B162,INDIRECT(Equipo!$G$4&amp;"!"&amp;ADDRESS(10,COLUMN(K$9)+10)&amp;":"&amp;ADDRESS(1000,COLUMN(K$9)+10)))
))</f>
        <v>-</v>
      </c>
    </row>
    <row r="163" ht="15.75" customHeight="1">
      <c r="C163" s="19" t="str">
        <f>IF(ISBLANK(Tareas!$B159),"-",SUM(D163:K163))</f>
        <v>-</v>
      </c>
      <c r="D163" s="19" t="str">
        <f t="array" ref="D163">IF(ISBLANK(Tareas!$B159),"-",
SUM(
SUMIF(INDIRECT(Equipo!$C$4&amp;"!B10:B1000"),$B163,INDIRECT(Equipo!$C$4&amp;"!"&amp;ADDRESS(10,COLUMN(D$9)+10)&amp;":"&amp;ADDRESS(1000,COLUMN(D$9)+10))),
SUMIF(INDIRECT(Equipo!$D$4&amp;"!B10:B1000"),$B163,INDIRECT(Equipo!$D$4&amp;"!"&amp;ADDRESS(10,COLUMN(D$9)+10)&amp;":"&amp;ADDRESS(1000,COLUMN(D$9)+10))),
SUMIF(INDIRECT(Equipo!$E$4&amp;"!B10:B1000"),$B163,INDIRECT(Equipo!$E$4&amp;"!"&amp;ADDRESS(10,COLUMN(D$9)+10)&amp;":"&amp;ADDRESS(1000,COLUMN(D$9)+10))),
SUMIF(INDIRECT(Equipo!$F$4&amp;"!B10:B1000"),$B163,INDIRECT(Equipo!$F$4&amp;"!"&amp;ADDRESS(10,COLUMN(D$9)+10)&amp;":"&amp;ADDRESS(1000,COLUMN(D$9)+10))),
SUMIF(INDIRECT(Equipo!$G$4&amp;"!B10:B1000"),$B163,INDIRECT(Equipo!$G$4&amp;"!"&amp;ADDRESS(10,COLUMN(D$9)+10)&amp;":"&amp;ADDRESS(1000,COLUMN(D$9)+10)))
))</f>
        <v>-</v>
      </c>
      <c r="E163" s="19" t="str">
        <f t="array" ref="E163">IF(ISBLANK(Tareas!$B159),"-",
SUM(
SUMIF(INDIRECT(Equipo!$C$4&amp;"!B10:B1000"),$B163,INDIRECT(Equipo!$C$4&amp;"!"&amp;ADDRESS(10,COLUMN(E$9)+10)&amp;":"&amp;ADDRESS(1000,COLUMN(E$9)+10))),
SUMIF(INDIRECT(Equipo!$D$4&amp;"!B10:B1000"),$B163,INDIRECT(Equipo!$D$4&amp;"!"&amp;ADDRESS(10,COLUMN(E$9)+10)&amp;":"&amp;ADDRESS(1000,COLUMN(E$9)+10))),
SUMIF(INDIRECT(Equipo!$E$4&amp;"!B10:B1000"),$B163,INDIRECT(Equipo!$E$4&amp;"!"&amp;ADDRESS(10,COLUMN(E$9)+10)&amp;":"&amp;ADDRESS(1000,COLUMN(E$9)+10))),
SUMIF(INDIRECT(Equipo!$F$4&amp;"!B10:B1000"),$B163,INDIRECT(Equipo!$F$4&amp;"!"&amp;ADDRESS(10,COLUMN(E$9)+10)&amp;":"&amp;ADDRESS(1000,COLUMN(E$9)+10))),
SUMIF(INDIRECT(Equipo!$G$4&amp;"!B10:B1000"),$B163,INDIRECT(Equipo!$G$4&amp;"!"&amp;ADDRESS(10,COLUMN(E$9)+10)&amp;":"&amp;ADDRESS(1000,COLUMN(E$9)+10)))
))</f>
        <v>-</v>
      </c>
      <c r="F163" s="19" t="str">
        <f t="array" ref="F163">IF(ISBLANK(Tareas!$B159),"-",
SUM(
SUMIF(INDIRECT(Equipo!$C$4&amp;"!B10:B1000"),$B163,INDIRECT(Equipo!$C$4&amp;"!"&amp;ADDRESS(10,COLUMN(F$9)+10)&amp;":"&amp;ADDRESS(1000,COLUMN(F$9)+10))),
SUMIF(INDIRECT(Equipo!$D$4&amp;"!B10:B1000"),$B163,INDIRECT(Equipo!$D$4&amp;"!"&amp;ADDRESS(10,COLUMN(F$9)+10)&amp;":"&amp;ADDRESS(1000,COLUMN(F$9)+10))),
SUMIF(INDIRECT(Equipo!$E$4&amp;"!B10:B1000"),$B163,INDIRECT(Equipo!$E$4&amp;"!"&amp;ADDRESS(10,COLUMN(F$9)+10)&amp;":"&amp;ADDRESS(1000,COLUMN(F$9)+10))),
SUMIF(INDIRECT(Equipo!$F$4&amp;"!B10:B1000"),$B163,INDIRECT(Equipo!$F$4&amp;"!"&amp;ADDRESS(10,COLUMN(F$9)+10)&amp;":"&amp;ADDRESS(1000,COLUMN(F$9)+10))),
SUMIF(INDIRECT(Equipo!$G$4&amp;"!B10:B1000"),$B163,INDIRECT(Equipo!$G$4&amp;"!"&amp;ADDRESS(10,COLUMN(F$9)+10)&amp;":"&amp;ADDRESS(1000,COLUMN(F$9)+10)))
))</f>
        <v>-</v>
      </c>
      <c r="G163" s="19" t="str">
        <f t="array" ref="G163">IF(ISBLANK(Tareas!$B159),"-",
SUM(
SUMIF(INDIRECT(Equipo!$C$4&amp;"!B10:B1000"),$B163,INDIRECT(Equipo!$C$4&amp;"!"&amp;ADDRESS(10,COLUMN(G$9)+10)&amp;":"&amp;ADDRESS(1000,COLUMN(G$9)+10))),
SUMIF(INDIRECT(Equipo!$D$4&amp;"!B10:B1000"),$B163,INDIRECT(Equipo!$D$4&amp;"!"&amp;ADDRESS(10,COLUMN(G$9)+10)&amp;":"&amp;ADDRESS(1000,COLUMN(G$9)+10))),
SUMIF(INDIRECT(Equipo!$E$4&amp;"!B10:B1000"),$B163,INDIRECT(Equipo!$E$4&amp;"!"&amp;ADDRESS(10,COLUMN(G$9)+10)&amp;":"&amp;ADDRESS(1000,COLUMN(G$9)+10))),
SUMIF(INDIRECT(Equipo!$F$4&amp;"!B10:B1000"),$B163,INDIRECT(Equipo!$F$4&amp;"!"&amp;ADDRESS(10,COLUMN(G$9)+10)&amp;":"&amp;ADDRESS(1000,COLUMN(G$9)+10))),
SUMIF(INDIRECT(Equipo!$G$4&amp;"!B10:B1000"),$B163,INDIRECT(Equipo!$G$4&amp;"!"&amp;ADDRESS(10,COLUMN(G$9)+10)&amp;":"&amp;ADDRESS(1000,COLUMN(G$9)+10)))
))</f>
        <v>-</v>
      </c>
      <c r="H163" s="19" t="str">
        <f t="array" ref="H163">IF(ISBLANK(Tareas!$B159),"-",
SUM(
SUMIF(INDIRECT(Equipo!$C$4&amp;"!B10:B1000"),$B163,INDIRECT(Equipo!$C$4&amp;"!"&amp;ADDRESS(10,COLUMN(H$9)+10)&amp;":"&amp;ADDRESS(1000,COLUMN(H$9)+10))),
SUMIF(INDIRECT(Equipo!$D$4&amp;"!B10:B1000"),$B163,INDIRECT(Equipo!$D$4&amp;"!"&amp;ADDRESS(10,COLUMN(H$9)+10)&amp;":"&amp;ADDRESS(1000,COLUMN(H$9)+10))),
SUMIF(INDIRECT(Equipo!$E$4&amp;"!B10:B1000"),$B163,INDIRECT(Equipo!$E$4&amp;"!"&amp;ADDRESS(10,COLUMN(H$9)+10)&amp;":"&amp;ADDRESS(1000,COLUMN(H$9)+10))),
SUMIF(INDIRECT(Equipo!$F$4&amp;"!B10:B1000"),$B163,INDIRECT(Equipo!$F$4&amp;"!"&amp;ADDRESS(10,COLUMN(H$9)+10)&amp;":"&amp;ADDRESS(1000,COLUMN(H$9)+10))),
SUMIF(INDIRECT(Equipo!$G$4&amp;"!B10:B1000"),$B163,INDIRECT(Equipo!$G$4&amp;"!"&amp;ADDRESS(10,COLUMN(H$9)+10)&amp;":"&amp;ADDRESS(1000,COLUMN(H$9)+10)))
))</f>
        <v>-</v>
      </c>
      <c r="I163" s="19" t="str">
        <f t="array" ref="I163">IF(ISBLANK(Tareas!$B159),"-",
SUM(
SUMIF(INDIRECT(Equipo!$C$4&amp;"!B10:B1000"),$B163,INDIRECT(Equipo!$C$4&amp;"!"&amp;ADDRESS(10,COLUMN(I$9)+10)&amp;":"&amp;ADDRESS(1000,COLUMN(I$9)+10))),
SUMIF(INDIRECT(Equipo!$D$4&amp;"!B10:B1000"),$B163,INDIRECT(Equipo!$D$4&amp;"!"&amp;ADDRESS(10,COLUMN(I$9)+10)&amp;":"&amp;ADDRESS(1000,COLUMN(I$9)+10))),
SUMIF(INDIRECT(Equipo!$E$4&amp;"!B10:B1000"),$B163,INDIRECT(Equipo!$E$4&amp;"!"&amp;ADDRESS(10,COLUMN(I$9)+10)&amp;":"&amp;ADDRESS(1000,COLUMN(I$9)+10))),
SUMIF(INDIRECT(Equipo!$F$4&amp;"!B10:B1000"),$B163,INDIRECT(Equipo!$F$4&amp;"!"&amp;ADDRESS(10,COLUMN(I$9)+10)&amp;":"&amp;ADDRESS(1000,COLUMN(I$9)+10))),
SUMIF(INDIRECT(Equipo!$G$4&amp;"!B10:B1000"),$B163,INDIRECT(Equipo!$G$4&amp;"!"&amp;ADDRESS(10,COLUMN(I$9)+10)&amp;":"&amp;ADDRESS(1000,COLUMN(I$9)+10)))
))</f>
        <v>-</v>
      </c>
      <c r="J163" s="19" t="str">
        <f t="array" ref="J163">IF(ISBLANK(Tareas!$B159),"-",
SUM(
SUMIF(INDIRECT(Equipo!$C$4&amp;"!B10:B1000"),$B163,INDIRECT(Equipo!$C$4&amp;"!"&amp;ADDRESS(10,COLUMN(J$9)+10)&amp;":"&amp;ADDRESS(1000,COLUMN(J$9)+10))),
SUMIF(INDIRECT(Equipo!$D$4&amp;"!B10:B1000"),$B163,INDIRECT(Equipo!$D$4&amp;"!"&amp;ADDRESS(10,COLUMN(J$9)+10)&amp;":"&amp;ADDRESS(1000,COLUMN(J$9)+10))),
SUMIF(INDIRECT(Equipo!$E$4&amp;"!B10:B1000"),$B163,INDIRECT(Equipo!$E$4&amp;"!"&amp;ADDRESS(10,COLUMN(J$9)+10)&amp;":"&amp;ADDRESS(1000,COLUMN(J$9)+10))),
SUMIF(INDIRECT(Equipo!$F$4&amp;"!B10:B1000"),$B163,INDIRECT(Equipo!$F$4&amp;"!"&amp;ADDRESS(10,COLUMN(J$9)+10)&amp;":"&amp;ADDRESS(1000,COLUMN(J$9)+10))),
SUMIF(INDIRECT(Equipo!$G$4&amp;"!B10:B1000"),$B163,INDIRECT(Equipo!$G$4&amp;"!"&amp;ADDRESS(10,COLUMN(J$9)+10)&amp;":"&amp;ADDRESS(1000,COLUMN(J$9)+10)))
))</f>
        <v>-</v>
      </c>
      <c r="K163" s="19" t="str">
        <f t="array" ref="K163">IF(ISBLANK(Tareas!$B159),"-",
SUM(
SUMIF(INDIRECT(Equipo!$C$4&amp;"!B10:B1000"),$B163,INDIRECT(Equipo!$C$4&amp;"!"&amp;ADDRESS(10,COLUMN(K$9)+10)&amp;":"&amp;ADDRESS(1000,COLUMN(K$9)+10))),
SUMIF(INDIRECT(Equipo!$D$4&amp;"!B10:B1000"),$B163,INDIRECT(Equipo!$D$4&amp;"!"&amp;ADDRESS(10,COLUMN(K$9)+10)&amp;":"&amp;ADDRESS(1000,COLUMN(K$9)+10))),
SUMIF(INDIRECT(Equipo!$E$4&amp;"!B10:B1000"),$B163,INDIRECT(Equipo!$E$4&amp;"!"&amp;ADDRESS(10,COLUMN(K$9)+10)&amp;":"&amp;ADDRESS(1000,COLUMN(K$9)+10))),
SUMIF(INDIRECT(Equipo!$F$4&amp;"!B10:B1000"),$B163,INDIRECT(Equipo!$F$4&amp;"!"&amp;ADDRESS(10,COLUMN(K$9)+10)&amp;":"&amp;ADDRESS(1000,COLUMN(K$9)+10))),
SUMIF(INDIRECT(Equipo!$G$4&amp;"!B10:B1000"),$B163,INDIRECT(Equipo!$G$4&amp;"!"&amp;ADDRESS(10,COLUMN(K$9)+10)&amp;":"&amp;ADDRESS(1000,COLUMN(K$9)+10)))
))</f>
        <v>-</v>
      </c>
    </row>
    <row r="164" ht="15.75" customHeight="1">
      <c r="C164" s="19" t="str">
        <f>IF(ISBLANK(Tareas!$B160),"-",SUM(D164:K164))</f>
        <v>-</v>
      </c>
      <c r="D164" s="19" t="str">
        <f t="array" ref="D164">IF(ISBLANK(Tareas!$B160),"-",
SUM(
SUMIF(INDIRECT(Equipo!$C$4&amp;"!B10:B1000"),$B164,INDIRECT(Equipo!$C$4&amp;"!"&amp;ADDRESS(10,COLUMN(D$9)+10)&amp;":"&amp;ADDRESS(1000,COLUMN(D$9)+10))),
SUMIF(INDIRECT(Equipo!$D$4&amp;"!B10:B1000"),$B164,INDIRECT(Equipo!$D$4&amp;"!"&amp;ADDRESS(10,COLUMN(D$9)+10)&amp;":"&amp;ADDRESS(1000,COLUMN(D$9)+10))),
SUMIF(INDIRECT(Equipo!$E$4&amp;"!B10:B1000"),$B164,INDIRECT(Equipo!$E$4&amp;"!"&amp;ADDRESS(10,COLUMN(D$9)+10)&amp;":"&amp;ADDRESS(1000,COLUMN(D$9)+10))),
SUMIF(INDIRECT(Equipo!$F$4&amp;"!B10:B1000"),$B164,INDIRECT(Equipo!$F$4&amp;"!"&amp;ADDRESS(10,COLUMN(D$9)+10)&amp;":"&amp;ADDRESS(1000,COLUMN(D$9)+10))),
SUMIF(INDIRECT(Equipo!$G$4&amp;"!B10:B1000"),$B164,INDIRECT(Equipo!$G$4&amp;"!"&amp;ADDRESS(10,COLUMN(D$9)+10)&amp;":"&amp;ADDRESS(1000,COLUMN(D$9)+10)))
))</f>
        <v>-</v>
      </c>
      <c r="E164" s="19" t="str">
        <f t="array" ref="E164">IF(ISBLANK(Tareas!$B160),"-",
SUM(
SUMIF(INDIRECT(Equipo!$C$4&amp;"!B10:B1000"),$B164,INDIRECT(Equipo!$C$4&amp;"!"&amp;ADDRESS(10,COLUMN(E$9)+10)&amp;":"&amp;ADDRESS(1000,COLUMN(E$9)+10))),
SUMIF(INDIRECT(Equipo!$D$4&amp;"!B10:B1000"),$B164,INDIRECT(Equipo!$D$4&amp;"!"&amp;ADDRESS(10,COLUMN(E$9)+10)&amp;":"&amp;ADDRESS(1000,COLUMN(E$9)+10))),
SUMIF(INDIRECT(Equipo!$E$4&amp;"!B10:B1000"),$B164,INDIRECT(Equipo!$E$4&amp;"!"&amp;ADDRESS(10,COLUMN(E$9)+10)&amp;":"&amp;ADDRESS(1000,COLUMN(E$9)+10))),
SUMIF(INDIRECT(Equipo!$F$4&amp;"!B10:B1000"),$B164,INDIRECT(Equipo!$F$4&amp;"!"&amp;ADDRESS(10,COLUMN(E$9)+10)&amp;":"&amp;ADDRESS(1000,COLUMN(E$9)+10))),
SUMIF(INDIRECT(Equipo!$G$4&amp;"!B10:B1000"),$B164,INDIRECT(Equipo!$G$4&amp;"!"&amp;ADDRESS(10,COLUMN(E$9)+10)&amp;":"&amp;ADDRESS(1000,COLUMN(E$9)+10)))
))</f>
        <v>-</v>
      </c>
      <c r="F164" s="19" t="str">
        <f t="array" ref="F164">IF(ISBLANK(Tareas!$B160),"-",
SUM(
SUMIF(INDIRECT(Equipo!$C$4&amp;"!B10:B1000"),$B164,INDIRECT(Equipo!$C$4&amp;"!"&amp;ADDRESS(10,COLUMN(F$9)+10)&amp;":"&amp;ADDRESS(1000,COLUMN(F$9)+10))),
SUMIF(INDIRECT(Equipo!$D$4&amp;"!B10:B1000"),$B164,INDIRECT(Equipo!$D$4&amp;"!"&amp;ADDRESS(10,COLUMN(F$9)+10)&amp;":"&amp;ADDRESS(1000,COLUMN(F$9)+10))),
SUMIF(INDIRECT(Equipo!$E$4&amp;"!B10:B1000"),$B164,INDIRECT(Equipo!$E$4&amp;"!"&amp;ADDRESS(10,COLUMN(F$9)+10)&amp;":"&amp;ADDRESS(1000,COLUMN(F$9)+10))),
SUMIF(INDIRECT(Equipo!$F$4&amp;"!B10:B1000"),$B164,INDIRECT(Equipo!$F$4&amp;"!"&amp;ADDRESS(10,COLUMN(F$9)+10)&amp;":"&amp;ADDRESS(1000,COLUMN(F$9)+10))),
SUMIF(INDIRECT(Equipo!$G$4&amp;"!B10:B1000"),$B164,INDIRECT(Equipo!$G$4&amp;"!"&amp;ADDRESS(10,COLUMN(F$9)+10)&amp;":"&amp;ADDRESS(1000,COLUMN(F$9)+10)))
))</f>
        <v>-</v>
      </c>
      <c r="G164" s="19" t="str">
        <f t="array" ref="G164">IF(ISBLANK(Tareas!$B160),"-",
SUM(
SUMIF(INDIRECT(Equipo!$C$4&amp;"!B10:B1000"),$B164,INDIRECT(Equipo!$C$4&amp;"!"&amp;ADDRESS(10,COLUMN(G$9)+10)&amp;":"&amp;ADDRESS(1000,COLUMN(G$9)+10))),
SUMIF(INDIRECT(Equipo!$D$4&amp;"!B10:B1000"),$B164,INDIRECT(Equipo!$D$4&amp;"!"&amp;ADDRESS(10,COLUMN(G$9)+10)&amp;":"&amp;ADDRESS(1000,COLUMN(G$9)+10))),
SUMIF(INDIRECT(Equipo!$E$4&amp;"!B10:B1000"),$B164,INDIRECT(Equipo!$E$4&amp;"!"&amp;ADDRESS(10,COLUMN(G$9)+10)&amp;":"&amp;ADDRESS(1000,COLUMN(G$9)+10))),
SUMIF(INDIRECT(Equipo!$F$4&amp;"!B10:B1000"),$B164,INDIRECT(Equipo!$F$4&amp;"!"&amp;ADDRESS(10,COLUMN(G$9)+10)&amp;":"&amp;ADDRESS(1000,COLUMN(G$9)+10))),
SUMIF(INDIRECT(Equipo!$G$4&amp;"!B10:B1000"),$B164,INDIRECT(Equipo!$G$4&amp;"!"&amp;ADDRESS(10,COLUMN(G$9)+10)&amp;":"&amp;ADDRESS(1000,COLUMN(G$9)+10)))
))</f>
        <v>-</v>
      </c>
      <c r="H164" s="19" t="str">
        <f t="array" ref="H164">IF(ISBLANK(Tareas!$B160),"-",
SUM(
SUMIF(INDIRECT(Equipo!$C$4&amp;"!B10:B1000"),$B164,INDIRECT(Equipo!$C$4&amp;"!"&amp;ADDRESS(10,COLUMN(H$9)+10)&amp;":"&amp;ADDRESS(1000,COLUMN(H$9)+10))),
SUMIF(INDIRECT(Equipo!$D$4&amp;"!B10:B1000"),$B164,INDIRECT(Equipo!$D$4&amp;"!"&amp;ADDRESS(10,COLUMN(H$9)+10)&amp;":"&amp;ADDRESS(1000,COLUMN(H$9)+10))),
SUMIF(INDIRECT(Equipo!$E$4&amp;"!B10:B1000"),$B164,INDIRECT(Equipo!$E$4&amp;"!"&amp;ADDRESS(10,COLUMN(H$9)+10)&amp;":"&amp;ADDRESS(1000,COLUMN(H$9)+10))),
SUMIF(INDIRECT(Equipo!$F$4&amp;"!B10:B1000"),$B164,INDIRECT(Equipo!$F$4&amp;"!"&amp;ADDRESS(10,COLUMN(H$9)+10)&amp;":"&amp;ADDRESS(1000,COLUMN(H$9)+10))),
SUMIF(INDIRECT(Equipo!$G$4&amp;"!B10:B1000"),$B164,INDIRECT(Equipo!$G$4&amp;"!"&amp;ADDRESS(10,COLUMN(H$9)+10)&amp;":"&amp;ADDRESS(1000,COLUMN(H$9)+10)))
))</f>
        <v>-</v>
      </c>
      <c r="I164" s="19" t="str">
        <f t="array" ref="I164">IF(ISBLANK(Tareas!$B160),"-",
SUM(
SUMIF(INDIRECT(Equipo!$C$4&amp;"!B10:B1000"),$B164,INDIRECT(Equipo!$C$4&amp;"!"&amp;ADDRESS(10,COLUMN(I$9)+10)&amp;":"&amp;ADDRESS(1000,COLUMN(I$9)+10))),
SUMIF(INDIRECT(Equipo!$D$4&amp;"!B10:B1000"),$B164,INDIRECT(Equipo!$D$4&amp;"!"&amp;ADDRESS(10,COLUMN(I$9)+10)&amp;":"&amp;ADDRESS(1000,COLUMN(I$9)+10))),
SUMIF(INDIRECT(Equipo!$E$4&amp;"!B10:B1000"),$B164,INDIRECT(Equipo!$E$4&amp;"!"&amp;ADDRESS(10,COLUMN(I$9)+10)&amp;":"&amp;ADDRESS(1000,COLUMN(I$9)+10))),
SUMIF(INDIRECT(Equipo!$F$4&amp;"!B10:B1000"),$B164,INDIRECT(Equipo!$F$4&amp;"!"&amp;ADDRESS(10,COLUMN(I$9)+10)&amp;":"&amp;ADDRESS(1000,COLUMN(I$9)+10))),
SUMIF(INDIRECT(Equipo!$G$4&amp;"!B10:B1000"),$B164,INDIRECT(Equipo!$G$4&amp;"!"&amp;ADDRESS(10,COLUMN(I$9)+10)&amp;":"&amp;ADDRESS(1000,COLUMN(I$9)+10)))
))</f>
        <v>-</v>
      </c>
      <c r="J164" s="19" t="str">
        <f t="array" ref="J164">IF(ISBLANK(Tareas!$B160),"-",
SUM(
SUMIF(INDIRECT(Equipo!$C$4&amp;"!B10:B1000"),$B164,INDIRECT(Equipo!$C$4&amp;"!"&amp;ADDRESS(10,COLUMN(J$9)+10)&amp;":"&amp;ADDRESS(1000,COLUMN(J$9)+10))),
SUMIF(INDIRECT(Equipo!$D$4&amp;"!B10:B1000"),$B164,INDIRECT(Equipo!$D$4&amp;"!"&amp;ADDRESS(10,COLUMN(J$9)+10)&amp;":"&amp;ADDRESS(1000,COLUMN(J$9)+10))),
SUMIF(INDIRECT(Equipo!$E$4&amp;"!B10:B1000"),$B164,INDIRECT(Equipo!$E$4&amp;"!"&amp;ADDRESS(10,COLUMN(J$9)+10)&amp;":"&amp;ADDRESS(1000,COLUMN(J$9)+10))),
SUMIF(INDIRECT(Equipo!$F$4&amp;"!B10:B1000"),$B164,INDIRECT(Equipo!$F$4&amp;"!"&amp;ADDRESS(10,COLUMN(J$9)+10)&amp;":"&amp;ADDRESS(1000,COLUMN(J$9)+10))),
SUMIF(INDIRECT(Equipo!$G$4&amp;"!B10:B1000"),$B164,INDIRECT(Equipo!$G$4&amp;"!"&amp;ADDRESS(10,COLUMN(J$9)+10)&amp;":"&amp;ADDRESS(1000,COLUMN(J$9)+10)))
))</f>
        <v>-</v>
      </c>
      <c r="K164" s="19" t="str">
        <f t="array" ref="K164">IF(ISBLANK(Tareas!$B160),"-",
SUM(
SUMIF(INDIRECT(Equipo!$C$4&amp;"!B10:B1000"),$B164,INDIRECT(Equipo!$C$4&amp;"!"&amp;ADDRESS(10,COLUMN(K$9)+10)&amp;":"&amp;ADDRESS(1000,COLUMN(K$9)+10))),
SUMIF(INDIRECT(Equipo!$D$4&amp;"!B10:B1000"),$B164,INDIRECT(Equipo!$D$4&amp;"!"&amp;ADDRESS(10,COLUMN(K$9)+10)&amp;":"&amp;ADDRESS(1000,COLUMN(K$9)+10))),
SUMIF(INDIRECT(Equipo!$E$4&amp;"!B10:B1000"),$B164,INDIRECT(Equipo!$E$4&amp;"!"&amp;ADDRESS(10,COLUMN(K$9)+10)&amp;":"&amp;ADDRESS(1000,COLUMN(K$9)+10))),
SUMIF(INDIRECT(Equipo!$F$4&amp;"!B10:B1000"),$B164,INDIRECT(Equipo!$F$4&amp;"!"&amp;ADDRESS(10,COLUMN(K$9)+10)&amp;":"&amp;ADDRESS(1000,COLUMN(K$9)+10))),
SUMIF(INDIRECT(Equipo!$G$4&amp;"!B10:B1000"),$B164,INDIRECT(Equipo!$G$4&amp;"!"&amp;ADDRESS(10,COLUMN(K$9)+10)&amp;":"&amp;ADDRESS(1000,COLUMN(K$9)+10)))
))</f>
        <v>-</v>
      </c>
    </row>
    <row r="165" ht="15.75" customHeight="1">
      <c r="C165" s="19" t="str">
        <f>IF(ISBLANK(Tareas!$B161),"-",SUM(D165:K165))</f>
        <v>-</v>
      </c>
      <c r="D165" s="19" t="str">
        <f t="array" ref="D165">IF(ISBLANK(Tareas!$B161),"-",
SUM(
SUMIF(INDIRECT(Equipo!$C$4&amp;"!B10:B1000"),$B165,INDIRECT(Equipo!$C$4&amp;"!"&amp;ADDRESS(10,COLUMN(D$9)+10)&amp;":"&amp;ADDRESS(1000,COLUMN(D$9)+10))),
SUMIF(INDIRECT(Equipo!$D$4&amp;"!B10:B1000"),$B165,INDIRECT(Equipo!$D$4&amp;"!"&amp;ADDRESS(10,COLUMN(D$9)+10)&amp;":"&amp;ADDRESS(1000,COLUMN(D$9)+10))),
SUMIF(INDIRECT(Equipo!$E$4&amp;"!B10:B1000"),$B165,INDIRECT(Equipo!$E$4&amp;"!"&amp;ADDRESS(10,COLUMN(D$9)+10)&amp;":"&amp;ADDRESS(1000,COLUMN(D$9)+10))),
SUMIF(INDIRECT(Equipo!$F$4&amp;"!B10:B1000"),$B165,INDIRECT(Equipo!$F$4&amp;"!"&amp;ADDRESS(10,COLUMN(D$9)+10)&amp;":"&amp;ADDRESS(1000,COLUMN(D$9)+10))),
SUMIF(INDIRECT(Equipo!$G$4&amp;"!B10:B1000"),$B165,INDIRECT(Equipo!$G$4&amp;"!"&amp;ADDRESS(10,COLUMN(D$9)+10)&amp;":"&amp;ADDRESS(1000,COLUMN(D$9)+10)))
))</f>
        <v>-</v>
      </c>
      <c r="E165" s="19" t="str">
        <f t="array" ref="E165">IF(ISBLANK(Tareas!$B161),"-",
SUM(
SUMIF(INDIRECT(Equipo!$C$4&amp;"!B10:B1000"),$B165,INDIRECT(Equipo!$C$4&amp;"!"&amp;ADDRESS(10,COLUMN(E$9)+10)&amp;":"&amp;ADDRESS(1000,COLUMN(E$9)+10))),
SUMIF(INDIRECT(Equipo!$D$4&amp;"!B10:B1000"),$B165,INDIRECT(Equipo!$D$4&amp;"!"&amp;ADDRESS(10,COLUMN(E$9)+10)&amp;":"&amp;ADDRESS(1000,COLUMN(E$9)+10))),
SUMIF(INDIRECT(Equipo!$E$4&amp;"!B10:B1000"),$B165,INDIRECT(Equipo!$E$4&amp;"!"&amp;ADDRESS(10,COLUMN(E$9)+10)&amp;":"&amp;ADDRESS(1000,COLUMN(E$9)+10))),
SUMIF(INDIRECT(Equipo!$F$4&amp;"!B10:B1000"),$B165,INDIRECT(Equipo!$F$4&amp;"!"&amp;ADDRESS(10,COLUMN(E$9)+10)&amp;":"&amp;ADDRESS(1000,COLUMN(E$9)+10))),
SUMIF(INDIRECT(Equipo!$G$4&amp;"!B10:B1000"),$B165,INDIRECT(Equipo!$G$4&amp;"!"&amp;ADDRESS(10,COLUMN(E$9)+10)&amp;":"&amp;ADDRESS(1000,COLUMN(E$9)+10)))
))</f>
        <v>-</v>
      </c>
      <c r="F165" s="19" t="str">
        <f t="array" ref="F165">IF(ISBLANK(Tareas!$B161),"-",
SUM(
SUMIF(INDIRECT(Equipo!$C$4&amp;"!B10:B1000"),$B165,INDIRECT(Equipo!$C$4&amp;"!"&amp;ADDRESS(10,COLUMN(F$9)+10)&amp;":"&amp;ADDRESS(1000,COLUMN(F$9)+10))),
SUMIF(INDIRECT(Equipo!$D$4&amp;"!B10:B1000"),$B165,INDIRECT(Equipo!$D$4&amp;"!"&amp;ADDRESS(10,COLUMN(F$9)+10)&amp;":"&amp;ADDRESS(1000,COLUMN(F$9)+10))),
SUMIF(INDIRECT(Equipo!$E$4&amp;"!B10:B1000"),$B165,INDIRECT(Equipo!$E$4&amp;"!"&amp;ADDRESS(10,COLUMN(F$9)+10)&amp;":"&amp;ADDRESS(1000,COLUMN(F$9)+10))),
SUMIF(INDIRECT(Equipo!$F$4&amp;"!B10:B1000"),$B165,INDIRECT(Equipo!$F$4&amp;"!"&amp;ADDRESS(10,COLUMN(F$9)+10)&amp;":"&amp;ADDRESS(1000,COLUMN(F$9)+10))),
SUMIF(INDIRECT(Equipo!$G$4&amp;"!B10:B1000"),$B165,INDIRECT(Equipo!$G$4&amp;"!"&amp;ADDRESS(10,COLUMN(F$9)+10)&amp;":"&amp;ADDRESS(1000,COLUMN(F$9)+10)))
))</f>
        <v>-</v>
      </c>
      <c r="G165" s="19" t="str">
        <f t="array" ref="G165">IF(ISBLANK(Tareas!$B161),"-",
SUM(
SUMIF(INDIRECT(Equipo!$C$4&amp;"!B10:B1000"),$B165,INDIRECT(Equipo!$C$4&amp;"!"&amp;ADDRESS(10,COLUMN(G$9)+10)&amp;":"&amp;ADDRESS(1000,COLUMN(G$9)+10))),
SUMIF(INDIRECT(Equipo!$D$4&amp;"!B10:B1000"),$B165,INDIRECT(Equipo!$D$4&amp;"!"&amp;ADDRESS(10,COLUMN(G$9)+10)&amp;":"&amp;ADDRESS(1000,COLUMN(G$9)+10))),
SUMIF(INDIRECT(Equipo!$E$4&amp;"!B10:B1000"),$B165,INDIRECT(Equipo!$E$4&amp;"!"&amp;ADDRESS(10,COLUMN(G$9)+10)&amp;":"&amp;ADDRESS(1000,COLUMN(G$9)+10))),
SUMIF(INDIRECT(Equipo!$F$4&amp;"!B10:B1000"),$B165,INDIRECT(Equipo!$F$4&amp;"!"&amp;ADDRESS(10,COLUMN(G$9)+10)&amp;":"&amp;ADDRESS(1000,COLUMN(G$9)+10))),
SUMIF(INDIRECT(Equipo!$G$4&amp;"!B10:B1000"),$B165,INDIRECT(Equipo!$G$4&amp;"!"&amp;ADDRESS(10,COLUMN(G$9)+10)&amp;":"&amp;ADDRESS(1000,COLUMN(G$9)+10)))
))</f>
        <v>-</v>
      </c>
      <c r="H165" s="19" t="str">
        <f t="array" ref="H165">IF(ISBLANK(Tareas!$B161),"-",
SUM(
SUMIF(INDIRECT(Equipo!$C$4&amp;"!B10:B1000"),$B165,INDIRECT(Equipo!$C$4&amp;"!"&amp;ADDRESS(10,COLUMN(H$9)+10)&amp;":"&amp;ADDRESS(1000,COLUMN(H$9)+10))),
SUMIF(INDIRECT(Equipo!$D$4&amp;"!B10:B1000"),$B165,INDIRECT(Equipo!$D$4&amp;"!"&amp;ADDRESS(10,COLUMN(H$9)+10)&amp;":"&amp;ADDRESS(1000,COLUMN(H$9)+10))),
SUMIF(INDIRECT(Equipo!$E$4&amp;"!B10:B1000"),$B165,INDIRECT(Equipo!$E$4&amp;"!"&amp;ADDRESS(10,COLUMN(H$9)+10)&amp;":"&amp;ADDRESS(1000,COLUMN(H$9)+10))),
SUMIF(INDIRECT(Equipo!$F$4&amp;"!B10:B1000"),$B165,INDIRECT(Equipo!$F$4&amp;"!"&amp;ADDRESS(10,COLUMN(H$9)+10)&amp;":"&amp;ADDRESS(1000,COLUMN(H$9)+10))),
SUMIF(INDIRECT(Equipo!$G$4&amp;"!B10:B1000"),$B165,INDIRECT(Equipo!$G$4&amp;"!"&amp;ADDRESS(10,COLUMN(H$9)+10)&amp;":"&amp;ADDRESS(1000,COLUMN(H$9)+10)))
))</f>
        <v>-</v>
      </c>
      <c r="I165" s="19" t="str">
        <f t="array" ref="I165">IF(ISBLANK(Tareas!$B161),"-",
SUM(
SUMIF(INDIRECT(Equipo!$C$4&amp;"!B10:B1000"),$B165,INDIRECT(Equipo!$C$4&amp;"!"&amp;ADDRESS(10,COLUMN(I$9)+10)&amp;":"&amp;ADDRESS(1000,COLUMN(I$9)+10))),
SUMIF(INDIRECT(Equipo!$D$4&amp;"!B10:B1000"),$B165,INDIRECT(Equipo!$D$4&amp;"!"&amp;ADDRESS(10,COLUMN(I$9)+10)&amp;":"&amp;ADDRESS(1000,COLUMN(I$9)+10))),
SUMIF(INDIRECT(Equipo!$E$4&amp;"!B10:B1000"),$B165,INDIRECT(Equipo!$E$4&amp;"!"&amp;ADDRESS(10,COLUMN(I$9)+10)&amp;":"&amp;ADDRESS(1000,COLUMN(I$9)+10))),
SUMIF(INDIRECT(Equipo!$F$4&amp;"!B10:B1000"),$B165,INDIRECT(Equipo!$F$4&amp;"!"&amp;ADDRESS(10,COLUMN(I$9)+10)&amp;":"&amp;ADDRESS(1000,COLUMN(I$9)+10))),
SUMIF(INDIRECT(Equipo!$G$4&amp;"!B10:B1000"),$B165,INDIRECT(Equipo!$G$4&amp;"!"&amp;ADDRESS(10,COLUMN(I$9)+10)&amp;":"&amp;ADDRESS(1000,COLUMN(I$9)+10)))
))</f>
        <v>-</v>
      </c>
      <c r="J165" s="19" t="str">
        <f t="array" ref="J165">IF(ISBLANK(Tareas!$B161),"-",
SUM(
SUMIF(INDIRECT(Equipo!$C$4&amp;"!B10:B1000"),$B165,INDIRECT(Equipo!$C$4&amp;"!"&amp;ADDRESS(10,COLUMN(J$9)+10)&amp;":"&amp;ADDRESS(1000,COLUMN(J$9)+10))),
SUMIF(INDIRECT(Equipo!$D$4&amp;"!B10:B1000"),$B165,INDIRECT(Equipo!$D$4&amp;"!"&amp;ADDRESS(10,COLUMN(J$9)+10)&amp;":"&amp;ADDRESS(1000,COLUMN(J$9)+10))),
SUMIF(INDIRECT(Equipo!$E$4&amp;"!B10:B1000"),$B165,INDIRECT(Equipo!$E$4&amp;"!"&amp;ADDRESS(10,COLUMN(J$9)+10)&amp;":"&amp;ADDRESS(1000,COLUMN(J$9)+10))),
SUMIF(INDIRECT(Equipo!$F$4&amp;"!B10:B1000"),$B165,INDIRECT(Equipo!$F$4&amp;"!"&amp;ADDRESS(10,COLUMN(J$9)+10)&amp;":"&amp;ADDRESS(1000,COLUMN(J$9)+10))),
SUMIF(INDIRECT(Equipo!$G$4&amp;"!B10:B1000"),$B165,INDIRECT(Equipo!$G$4&amp;"!"&amp;ADDRESS(10,COLUMN(J$9)+10)&amp;":"&amp;ADDRESS(1000,COLUMN(J$9)+10)))
))</f>
        <v>-</v>
      </c>
      <c r="K165" s="19" t="str">
        <f t="array" ref="K165">IF(ISBLANK(Tareas!$B161),"-",
SUM(
SUMIF(INDIRECT(Equipo!$C$4&amp;"!B10:B1000"),$B165,INDIRECT(Equipo!$C$4&amp;"!"&amp;ADDRESS(10,COLUMN(K$9)+10)&amp;":"&amp;ADDRESS(1000,COLUMN(K$9)+10))),
SUMIF(INDIRECT(Equipo!$D$4&amp;"!B10:B1000"),$B165,INDIRECT(Equipo!$D$4&amp;"!"&amp;ADDRESS(10,COLUMN(K$9)+10)&amp;":"&amp;ADDRESS(1000,COLUMN(K$9)+10))),
SUMIF(INDIRECT(Equipo!$E$4&amp;"!B10:B1000"),$B165,INDIRECT(Equipo!$E$4&amp;"!"&amp;ADDRESS(10,COLUMN(K$9)+10)&amp;":"&amp;ADDRESS(1000,COLUMN(K$9)+10))),
SUMIF(INDIRECT(Equipo!$F$4&amp;"!B10:B1000"),$B165,INDIRECT(Equipo!$F$4&amp;"!"&amp;ADDRESS(10,COLUMN(K$9)+10)&amp;":"&amp;ADDRESS(1000,COLUMN(K$9)+10))),
SUMIF(INDIRECT(Equipo!$G$4&amp;"!B10:B1000"),$B165,INDIRECT(Equipo!$G$4&amp;"!"&amp;ADDRESS(10,COLUMN(K$9)+10)&amp;":"&amp;ADDRESS(1000,COLUMN(K$9)+10)))
))</f>
        <v>-</v>
      </c>
    </row>
    <row r="166" ht="15.75" customHeight="1">
      <c r="C166" s="19" t="str">
        <f>IF(ISBLANK(Tareas!$B162),"-",SUM(D166:K166))</f>
        <v>-</v>
      </c>
      <c r="D166" s="19" t="str">
        <f t="array" ref="D166">IF(ISBLANK(Tareas!$B162),"-",
SUM(
SUMIF(INDIRECT(Equipo!$C$4&amp;"!B10:B1000"),$B166,INDIRECT(Equipo!$C$4&amp;"!"&amp;ADDRESS(10,COLUMN(D$9)+10)&amp;":"&amp;ADDRESS(1000,COLUMN(D$9)+10))),
SUMIF(INDIRECT(Equipo!$D$4&amp;"!B10:B1000"),$B166,INDIRECT(Equipo!$D$4&amp;"!"&amp;ADDRESS(10,COLUMN(D$9)+10)&amp;":"&amp;ADDRESS(1000,COLUMN(D$9)+10))),
SUMIF(INDIRECT(Equipo!$E$4&amp;"!B10:B1000"),$B166,INDIRECT(Equipo!$E$4&amp;"!"&amp;ADDRESS(10,COLUMN(D$9)+10)&amp;":"&amp;ADDRESS(1000,COLUMN(D$9)+10))),
SUMIF(INDIRECT(Equipo!$F$4&amp;"!B10:B1000"),$B166,INDIRECT(Equipo!$F$4&amp;"!"&amp;ADDRESS(10,COLUMN(D$9)+10)&amp;":"&amp;ADDRESS(1000,COLUMN(D$9)+10))),
SUMIF(INDIRECT(Equipo!$G$4&amp;"!B10:B1000"),$B166,INDIRECT(Equipo!$G$4&amp;"!"&amp;ADDRESS(10,COLUMN(D$9)+10)&amp;":"&amp;ADDRESS(1000,COLUMN(D$9)+10)))
))</f>
        <v>-</v>
      </c>
      <c r="E166" s="19" t="str">
        <f t="array" ref="E166">IF(ISBLANK(Tareas!$B162),"-",
SUM(
SUMIF(INDIRECT(Equipo!$C$4&amp;"!B10:B1000"),$B166,INDIRECT(Equipo!$C$4&amp;"!"&amp;ADDRESS(10,COLUMN(E$9)+10)&amp;":"&amp;ADDRESS(1000,COLUMN(E$9)+10))),
SUMIF(INDIRECT(Equipo!$D$4&amp;"!B10:B1000"),$B166,INDIRECT(Equipo!$D$4&amp;"!"&amp;ADDRESS(10,COLUMN(E$9)+10)&amp;":"&amp;ADDRESS(1000,COLUMN(E$9)+10))),
SUMIF(INDIRECT(Equipo!$E$4&amp;"!B10:B1000"),$B166,INDIRECT(Equipo!$E$4&amp;"!"&amp;ADDRESS(10,COLUMN(E$9)+10)&amp;":"&amp;ADDRESS(1000,COLUMN(E$9)+10))),
SUMIF(INDIRECT(Equipo!$F$4&amp;"!B10:B1000"),$B166,INDIRECT(Equipo!$F$4&amp;"!"&amp;ADDRESS(10,COLUMN(E$9)+10)&amp;":"&amp;ADDRESS(1000,COLUMN(E$9)+10))),
SUMIF(INDIRECT(Equipo!$G$4&amp;"!B10:B1000"),$B166,INDIRECT(Equipo!$G$4&amp;"!"&amp;ADDRESS(10,COLUMN(E$9)+10)&amp;":"&amp;ADDRESS(1000,COLUMN(E$9)+10)))
))</f>
        <v>-</v>
      </c>
      <c r="F166" s="19" t="str">
        <f t="array" ref="F166">IF(ISBLANK(Tareas!$B162),"-",
SUM(
SUMIF(INDIRECT(Equipo!$C$4&amp;"!B10:B1000"),$B166,INDIRECT(Equipo!$C$4&amp;"!"&amp;ADDRESS(10,COLUMN(F$9)+10)&amp;":"&amp;ADDRESS(1000,COLUMN(F$9)+10))),
SUMIF(INDIRECT(Equipo!$D$4&amp;"!B10:B1000"),$B166,INDIRECT(Equipo!$D$4&amp;"!"&amp;ADDRESS(10,COLUMN(F$9)+10)&amp;":"&amp;ADDRESS(1000,COLUMN(F$9)+10))),
SUMIF(INDIRECT(Equipo!$E$4&amp;"!B10:B1000"),$B166,INDIRECT(Equipo!$E$4&amp;"!"&amp;ADDRESS(10,COLUMN(F$9)+10)&amp;":"&amp;ADDRESS(1000,COLUMN(F$9)+10))),
SUMIF(INDIRECT(Equipo!$F$4&amp;"!B10:B1000"),$B166,INDIRECT(Equipo!$F$4&amp;"!"&amp;ADDRESS(10,COLUMN(F$9)+10)&amp;":"&amp;ADDRESS(1000,COLUMN(F$9)+10))),
SUMIF(INDIRECT(Equipo!$G$4&amp;"!B10:B1000"),$B166,INDIRECT(Equipo!$G$4&amp;"!"&amp;ADDRESS(10,COLUMN(F$9)+10)&amp;":"&amp;ADDRESS(1000,COLUMN(F$9)+10)))
))</f>
        <v>-</v>
      </c>
      <c r="G166" s="19" t="str">
        <f t="array" ref="G166">IF(ISBLANK(Tareas!$B162),"-",
SUM(
SUMIF(INDIRECT(Equipo!$C$4&amp;"!B10:B1000"),$B166,INDIRECT(Equipo!$C$4&amp;"!"&amp;ADDRESS(10,COLUMN(G$9)+10)&amp;":"&amp;ADDRESS(1000,COLUMN(G$9)+10))),
SUMIF(INDIRECT(Equipo!$D$4&amp;"!B10:B1000"),$B166,INDIRECT(Equipo!$D$4&amp;"!"&amp;ADDRESS(10,COLUMN(G$9)+10)&amp;":"&amp;ADDRESS(1000,COLUMN(G$9)+10))),
SUMIF(INDIRECT(Equipo!$E$4&amp;"!B10:B1000"),$B166,INDIRECT(Equipo!$E$4&amp;"!"&amp;ADDRESS(10,COLUMN(G$9)+10)&amp;":"&amp;ADDRESS(1000,COLUMN(G$9)+10))),
SUMIF(INDIRECT(Equipo!$F$4&amp;"!B10:B1000"),$B166,INDIRECT(Equipo!$F$4&amp;"!"&amp;ADDRESS(10,COLUMN(G$9)+10)&amp;":"&amp;ADDRESS(1000,COLUMN(G$9)+10))),
SUMIF(INDIRECT(Equipo!$G$4&amp;"!B10:B1000"),$B166,INDIRECT(Equipo!$G$4&amp;"!"&amp;ADDRESS(10,COLUMN(G$9)+10)&amp;":"&amp;ADDRESS(1000,COLUMN(G$9)+10)))
))</f>
        <v>-</v>
      </c>
      <c r="H166" s="19" t="str">
        <f t="array" ref="H166">IF(ISBLANK(Tareas!$B162),"-",
SUM(
SUMIF(INDIRECT(Equipo!$C$4&amp;"!B10:B1000"),$B166,INDIRECT(Equipo!$C$4&amp;"!"&amp;ADDRESS(10,COLUMN(H$9)+10)&amp;":"&amp;ADDRESS(1000,COLUMN(H$9)+10))),
SUMIF(INDIRECT(Equipo!$D$4&amp;"!B10:B1000"),$B166,INDIRECT(Equipo!$D$4&amp;"!"&amp;ADDRESS(10,COLUMN(H$9)+10)&amp;":"&amp;ADDRESS(1000,COLUMN(H$9)+10))),
SUMIF(INDIRECT(Equipo!$E$4&amp;"!B10:B1000"),$B166,INDIRECT(Equipo!$E$4&amp;"!"&amp;ADDRESS(10,COLUMN(H$9)+10)&amp;":"&amp;ADDRESS(1000,COLUMN(H$9)+10))),
SUMIF(INDIRECT(Equipo!$F$4&amp;"!B10:B1000"),$B166,INDIRECT(Equipo!$F$4&amp;"!"&amp;ADDRESS(10,COLUMN(H$9)+10)&amp;":"&amp;ADDRESS(1000,COLUMN(H$9)+10))),
SUMIF(INDIRECT(Equipo!$G$4&amp;"!B10:B1000"),$B166,INDIRECT(Equipo!$G$4&amp;"!"&amp;ADDRESS(10,COLUMN(H$9)+10)&amp;":"&amp;ADDRESS(1000,COLUMN(H$9)+10)))
))</f>
        <v>-</v>
      </c>
      <c r="I166" s="19" t="str">
        <f t="array" ref="I166">IF(ISBLANK(Tareas!$B162),"-",
SUM(
SUMIF(INDIRECT(Equipo!$C$4&amp;"!B10:B1000"),$B166,INDIRECT(Equipo!$C$4&amp;"!"&amp;ADDRESS(10,COLUMN(I$9)+10)&amp;":"&amp;ADDRESS(1000,COLUMN(I$9)+10))),
SUMIF(INDIRECT(Equipo!$D$4&amp;"!B10:B1000"),$B166,INDIRECT(Equipo!$D$4&amp;"!"&amp;ADDRESS(10,COLUMN(I$9)+10)&amp;":"&amp;ADDRESS(1000,COLUMN(I$9)+10))),
SUMIF(INDIRECT(Equipo!$E$4&amp;"!B10:B1000"),$B166,INDIRECT(Equipo!$E$4&amp;"!"&amp;ADDRESS(10,COLUMN(I$9)+10)&amp;":"&amp;ADDRESS(1000,COLUMN(I$9)+10))),
SUMIF(INDIRECT(Equipo!$F$4&amp;"!B10:B1000"),$B166,INDIRECT(Equipo!$F$4&amp;"!"&amp;ADDRESS(10,COLUMN(I$9)+10)&amp;":"&amp;ADDRESS(1000,COLUMN(I$9)+10))),
SUMIF(INDIRECT(Equipo!$G$4&amp;"!B10:B1000"),$B166,INDIRECT(Equipo!$G$4&amp;"!"&amp;ADDRESS(10,COLUMN(I$9)+10)&amp;":"&amp;ADDRESS(1000,COLUMN(I$9)+10)))
))</f>
        <v>-</v>
      </c>
      <c r="J166" s="19" t="str">
        <f t="array" ref="J166">IF(ISBLANK(Tareas!$B162),"-",
SUM(
SUMIF(INDIRECT(Equipo!$C$4&amp;"!B10:B1000"),$B166,INDIRECT(Equipo!$C$4&amp;"!"&amp;ADDRESS(10,COLUMN(J$9)+10)&amp;":"&amp;ADDRESS(1000,COLUMN(J$9)+10))),
SUMIF(INDIRECT(Equipo!$D$4&amp;"!B10:B1000"),$B166,INDIRECT(Equipo!$D$4&amp;"!"&amp;ADDRESS(10,COLUMN(J$9)+10)&amp;":"&amp;ADDRESS(1000,COLUMN(J$9)+10))),
SUMIF(INDIRECT(Equipo!$E$4&amp;"!B10:B1000"),$B166,INDIRECT(Equipo!$E$4&amp;"!"&amp;ADDRESS(10,COLUMN(J$9)+10)&amp;":"&amp;ADDRESS(1000,COLUMN(J$9)+10))),
SUMIF(INDIRECT(Equipo!$F$4&amp;"!B10:B1000"),$B166,INDIRECT(Equipo!$F$4&amp;"!"&amp;ADDRESS(10,COLUMN(J$9)+10)&amp;":"&amp;ADDRESS(1000,COLUMN(J$9)+10))),
SUMIF(INDIRECT(Equipo!$G$4&amp;"!B10:B1000"),$B166,INDIRECT(Equipo!$G$4&amp;"!"&amp;ADDRESS(10,COLUMN(J$9)+10)&amp;":"&amp;ADDRESS(1000,COLUMN(J$9)+10)))
))</f>
        <v>-</v>
      </c>
      <c r="K166" s="19" t="str">
        <f t="array" ref="K166">IF(ISBLANK(Tareas!$B162),"-",
SUM(
SUMIF(INDIRECT(Equipo!$C$4&amp;"!B10:B1000"),$B166,INDIRECT(Equipo!$C$4&amp;"!"&amp;ADDRESS(10,COLUMN(K$9)+10)&amp;":"&amp;ADDRESS(1000,COLUMN(K$9)+10))),
SUMIF(INDIRECT(Equipo!$D$4&amp;"!B10:B1000"),$B166,INDIRECT(Equipo!$D$4&amp;"!"&amp;ADDRESS(10,COLUMN(K$9)+10)&amp;":"&amp;ADDRESS(1000,COLUMN(K$9)+10))),
SUMIF(INDIRECT(Equipo!$E$4&amp;"!B10:B1000"),$B166,INDIRECT(Equipo!$E$4&amp;"!"&amp;ADDRESS(10,COLUMN(K$9)+10)&amp;":"&amp;ADDRESS(1000,COLUMN(K$9)+10))),
SUMIF(INDIRECT(Equipo!$F$4&amp;"!B10:B1000"),$B166,INDIRECT(Equipo!$F$4&amp;"!"&amp;ADDRESS(10,COLUMN(K$9)+10)&amp;":"&amp;ADDRESS(1000,COLUMN(K$9)+10))),
SUMIF(INDIRECT(Equipo!$G$4&amp;"!B10:B1000"),$B166,INDIRECT(Equipo!$G$4&amp;"!"&amp;ADDRESS(10,COLUMN(K$9)+10)&amp;":"&amp;ADDRESS(1000,COLUMN(K$9)+10)))
))</f>
        <v>-</v>
      </c>
    </row>
    <row r="167" ht="15.75" customHeight="1">
      <c r="C167" s="19" t="str">
        <f>IF(ISBLANK(Tareas!$B163),"-",SUM(D167:K167))</f>
        <v>-</v>
      </c>
      <c r="D167" s="19" t="str">
        <f t="array" ref="D167">IF(ISBLANK(Tareas!$B163),"-",
SUM(
SUMIF(INDIRECT(Equipo!$C$4&amp;"!B10:B1000"),$B167,INDIRECT(Equipo!$C$4&amp;"!"&amp;ADDRESS(10,COLUMN(D$9)+10)&amp;":"&amp;ADDRESS(1000,COLUMN(D$9)+10))),
SUMIF(INDIRECT(Equipo!$D$4&amp;"!B10:B1000"),$B167,INDIRECT(Equipo!$D$4&amp;"!"&amp;ADDRESS(10,COLUMN(D$9)+10)&amp;":"&amp;ADDRESS(1000,COLUMN(D$9)+10))),
SUMIF(INDIRECT(Equipo!$E$4&amp;"!B10:B1000"),$B167,INDIRECT(Equipo!$E$4&amp;"!"&amp;ADDRESS(10,COLUMN(D$9)+10)&amp;":"&amp;ADDRESS(1000,COLUMN(D$9)+10))),
SUMIF(INDIRECT(Equipo!$F$4&amp;"!B10:B1000"),$B167,INDIRECT(Equipo!$F$4&amp;"!"&amp;ADDRESS(10,COLUMN(D$9)+10)&amp;":"&amp;ADDRESS(1000,COLUMN(D$9)+10))),
SUMIF(INDIRECT(Equipo!$G$4&amp;"!B10:B1000"),$B167,INDIRECT(Equipo!$G$4&amp;"!"&amp;ADDRESS(10,COLUMN(D$9)+10)&amp;":"&amp;ADDRESS(1000,COLUMN(D$9)+10)))
))</f>
        <v>-</v>
      </c>
      <c r="E167" s="19" t="str">
        <f t="array" ref="E167">IF(ISBLANK(Tareas!$B163),"-",
SUM(
SUMIF(INDIRECT(Equipo!$C$4&amp;"!B10:B1000"),$B167,INDIRECT(Equipo!$C$4&amp;"!"&amp;ADDRESS(10,COLUMN(E$9)+10)&amp;":"&amp;ADDRESS(1000,COLUMN(E$9)+10))),
SUMIF(INDIRECT(Equipo!$D$4&amp;"!B10:B1000"),$B167,INDIRECT(Equipo!$D$4&amp;"!"&amp;ADDRESS(10,COLUMN(E$9)+10)&amp;":"&amp;ADDRESS(1000,COLUMN(E$9)+10))),
SUMIF(INDIRECT(Equipo!$E$4&amp;"!B10:B1000"),$B167,INDIRECT(Equipo!$E$4&amp;"!"&amp;ADDRESS(10,COLUMN(E$9)+10)&amp;":"&amp;ADDRESS(1000,COLUMN(E$9)+10))),
SUMIF(INDIRECT(Equipo!$F$4&amp;"!B10:B1000"),$B167,INDIRECT(Equipo!$F$4&amp;"!"&amp;ADDRESS(10,COLUMN(E$9)+10)&amp;":"&amp;ADDRESS(1000,COLUMN(E$9)+10))),
SUMIF(INDIRECT(Equipo!$G$4&amp;"!B10:B1000"),$B167,INDIRECT(Equipo!$G$4&amp;"!"&amp;ADDRESS(10,COLUMN(E$9)+10)&amp;":"&amp;ADDRESS(1000,COLUMN(E$9)+10)))
))</f>
        <v>-</v>
      </c>
      <c r="F167" s="19" t="str">
        <f t="array" ref="F167">IF(ISBLANK(Tareas!$B163),"-",
SUM(
SUMIF(INDIRECT(Equipo!$C$4&amp;"!B10:B1000"),$B167,INDIRECT(Equipo!$C$4&amp;"!"&amp;ADDRESS(10,COLUMN(F$9)+10)&amp;":"&amp;ADDRESS(1000,COLUMN(F$9)+10))),
SUMIF(INDIRECT(Equipo!$D$4&amp;"!B10:B1000"),$B167,INDIRECT(Equipo!$D$4&amp;"!"&amp;ADDRESS(10,COLUMN(F$9)+10)&amp;":"&amp;ADDRESS(1000,COLUMN(F$9)+10))),
SUMIF(INDIRECT(Equipo!$E$4&amp;"!B10:B1000"),$B167,INDIRECT(Equipo!$E$4&amp;"!"&amp;ADDRESS(10,COLUMN(F$9)+10)&amp;":"&amp;ADDRESS(1000,COLUMN(F$9)+10))),
SUMIF(INDIRECT(Equipo!$F$4&amp;"!B10:B1000"),$B167,INDIRECT(Equipo!$F$4&amp;"!"&amp;ADDRESS(10,COLUMN(F$9)+10)&amp;":"&amp;ADDRESS(1000,COLUMN(F$9)+10))),
SUMIF(INDIRECT(Equipo!$G$4&amp;"!B10:B1000"),$B167,INDIRECT(Equipo!$G$4&amp;"!"&amp;ADDRESS(10,COLUMN(F$9)+10)&amp;":"&amp;ADDRESS(1000,COLUMN(F$9)+10)))
))</f>
        <v>-</v>
      </c>
      <c r="G167" s="19" t="str">
        <f t="array" ref="G167">IF(ISBLANK(Tareas!$B163),"-",
SUM(
SUMIF(INDIRECT(Equipo!$C$4&amp;"!B10:B1000"),$B167,INDIRECT(Equipo!$C$4&amp;"!"&amp;ADDRESS(10,COLUMN(G$9)+10)&amp;":"&amp;ADDRESS(1000,COLUMN(G$9)+10))),
SUMIF(INDIRECT(Equipo!$D$4&amp;"!B10:B1000"),$B167,INDIRECT(Equipo!$D$4&amp;"!"&amp;ADDRESS(10,COLUMN(G$9)+10)&amp;":"&amp;ADDRESS(1000,COLUMN(G$9)+10))),
SUMIF(INDIRECT(Equipo!$E$4&amp;"!B10:B1000"),$B167,INDIRECT(Equipo!$E$4&amp;"!"&amp;ADDRESS(10,COLUMN(G$9)+10)&amp;":"&amp;ADDRESS(1000,COLUMN(G$9)+10))),
SUMIF(INDIRECT(Equipo!$F$4&amp;"!B10:B1000"),$B167,INDIRECT(Equipo!$F$4&amp;"!"&amp;ADDRESS(10,COLUMN(G$9)+10)&amp;":"&amp;ADDRESS(1000,COLUMN(G$9)+10))),
SUMIF(INDIRECT(Equipo!$G$4&amp;"!B10:B1000"),$B167,INDIRECT(Equipo!$G$4&amp;"!"&amp;ADDRESS(10,COLUMN(G$9)+10)&amp;":"&amp;ADDRESS(1000,COLUMN(G$9)+10)))
))</f>
        <v>-</v>
      </c>
      <c r="H167" s="19" t="str">
        <f t="array" ref="H167">IF(ISBLANK(Tareas!$B163),"-",
SUM(
SUMIF(INDIRECT(Equipo!$C$4&amp;"!B10:B1000"),$B167,INDIRECT(Equipo!$C$4&amp;"!"&amp;ADDRESS(10,COLUMN(H$9)+10)&amp;":"&amp;ADDRESS(1000,COLUMN(H$9)+10))),
SUMIF(INDIRECT(Equipo!$D$4&amp;"!B10:B1000"),$B167,INDIRECT(Equipo!$D$4&amp;"!"&amp;ADDRESS(10,COLUMN(H$9)+10)&amp;":"&amp;ADDRESS(1000,COLUMN(H$9)+10))),
SUMIF(INDIRECT(Equipo!$E$4&amp;"!B10:B1000"),$B167,INDIRECT(Equipo!$E$4&amp;"!"&amp;ADDRESS(10,COLUMN(H$9)+10)&amp;":"&amp;ADDRESS(1000,COLUMN(H$9)+10))),
SUMIF(INDIRECT(Equipo!$F$4&amp;"!B10:B1000"),$B167,INDIRECT(Equipo!$F$4&amp;"!"&amp;ADDRESS(10,COLUMN(H$9)+10)&amp;":"&amp;ADDRESS(1000,COLUMN(H$9)+10))),
SUMIF(INDIRECT(Equipo!$G$4&amp;"!B10:B1000"),$B167,INDIRECT(Equipo!$G$4&amp;"!"&amp;ADDRESS(10,COLUMN(H$9)+10)&amp;":"&amp;ADDRESS(1000,COLUMN(H$9)+10)))
))</f>
        <v>-</v>
      </c>
      <c r="I167" s="19" t="str">
        <f t="array" ref="I167">IF(ISBLANK(Tareas!$B163),"-",
SUM(
SUMIF(INDIRECT(Equipo!$C$4&amp;"!B10:B1000"),$B167,INDIRECT(Equipo!$C$4&amp;"!"&amp;ADDRESS(10,COLUMN(I$9)+10)&amp;":"&amp;ADDRESS(1000,COLUMN(I$9)+10))),
SUMIF(INDIRECT(Equipo!$D$4&amp;"!B10:B1000"),$B167,INDIRECT(Equipo!$D$4&amp;"!"&amp;ADDRESS(10,COLUMN(I$9)+10)&amp;":"&amp;ADDRESS(1000,COLUMN(I$9)+10))),
SUMIF(INDIRECT(Equipo!$E$4&amp;"!B10:B1000"),$B167,INDIRECT(Equipo!$E$4&amp;"!"&amp;ADDRESS(10,COLUMN(I$9)+10)&amp;":"&amp;ADDRESS(1000,COLUMN(I$9)+10))),
SUMIF(INDIRECT(Equipo!$F$4&amp;"!B10:B1000"),$B167,INDIRECT(Equipo!$F$4&amp;"!"&amp;ADDRESS(10,COLUMN(I$9)+10)&amp;":"&amp;ADDRESS(1000,COLUMN(I$9)+10))),
SUMIF(INDIRECT(Equipo!$G$4&amp;"!B10:B1000"),$B167,INDIRECT(Equipo!$G$4&amp;"!"&amp;ADDRESS(10,COLUMN(I$9)+10)&amp;":"&amp;ADDRESS(1000,COLUMN(I$9)+10)))
))</f>
        <v>-</v>
      </c>
      <c r="J167" s="19" t="str">
        <f t="array" ref="J167">IF(ISBLANK(Tareas!$B163),"-",
SUM(
SUMIF(INDIRECT(Equipo!$C$4&amp;"!B10:B1000"),$B167,INDIRECT(Equipo!$C$4&amp;"!"&amp;ADDRESS(10,COLUMN(J$9)+10)&amp;":"&amp;ADDRESS(1000,COLUMN(J$9)+10))),
SUMIF(INDIRECT(Equipo!$D$4&amp;"!B10:B1000"),$B167,INDIRECT(Equipo!$D$4&amp;"!"&amp;ADDRESS(10,COLUMN(J$9)+10)&amp;":"&amp;ADDRESS(1000,COLUMN(J$9)+10))),
SUMIF(INDIRECT(Equipo!$E$4&amp;"!B10:B1000"),$B167,INDIRECT(Equipo!$E$4&amp;"!"&amp;ADDRESS(10,COLUMN(J$9)+10)&amp;":"&amp;ADDRESS(1000,COLUMN(J$9)+10))),
SUMIF(INDIRECT(Equipo!$F$4&amp;"!B10:B1000"),$B167,INDIRECT(Equipo!$F$4&amp;"!"&amp;ADDRESS(10,COLUMN(J$9)+10)&amp;":"&amp;ADDRESS(1000,COLUMN(J$9)+10))),
SUMIF(INDIRECT(Equipo!$G$4&amp;"!B10:B1000"),$B167,INDIRECT(Equipo!$G$4&amp;"!"&amp;ADDRESS(10,COLUMN(J$9)+10)&amp;":"&amp;ADDRESS(1000,COLUMN(J$9)+10)))
))</f>
        <v>-</v>
      </c>
      <c r="K167" s="19" t="str">
        <f t="array" ref="K167">IF(ISBLANK(Tareas!$B163),"-",
SUM(
SUMIF(INDIRECT(Equipo!$C$4&amp;"!B10:B1000"),$B167,INDIRECT(Equipo!$C$4&amp;"!"&amp;ADDRESS(10,COLUMN(K$9)+10)&amp;":"&amp;ADDRESS(1000,COLUMN(K$9)+10))),
SUMIF(INDIRECT(Equipo!$D$4&amp;"!B10:B1000"),$B167,INDIRECT(Equipo!$D$4&amp;"!"&amp;ADDRESS(10,COLUMN(K$9)+10)&amp;":"&amp;ADDRESS(1000,COLUMN(K$9)+10))),
SUMIF(INDIRECT(Equipo!$E$4&amp;"!B10:B1000"),$B167,INDIRECT(Equipo!$E$4&amp;"!"&amp;ADDRESS(10,COLUMN(K$9)+10)&amp;":"&amp;ADDRESS(1000,COLUMN(K$9)+10))),
SUMIF(INDIRECT(Equipo!$F$4&amp;"!B10:B1000"),$B167,INDIRECT(Equipo!$F$4&amp;"!"&amp;ADDRESS(10,COLUMN(K$9)+10)&amp;":"&amp;ADDRESS(1000,COLUMN(K$9)+10))),
SUMIF(INDIRECT(Equipo!$G$4&amp;"!B10:B1000"),$B167,INDIRECT(Equipo!$G$4&amp;"!"&amp;ADDRESS(10,COLUMN(K$9)+10)&amp;":"&amp;ADDRESS(1000,COLUMN(K$9)+10)))
))</f>
        <v>-</v>
      </c>
    </row>
    <row r="168" ht="15.75" customHeight="1">
      <c r="C168" s="19" t="str">
        <f>IF(ISBLANK(Tareas!$B164),"-",SUM(D168:K168))</f>
        <v>-</v>
      </c>
      <c r="D168" s="19" t="str">
        <f t="array" ref="D168">IF(ISBLANK(Tareas!$B164),"-",
SUM(
SUMIF(INDIRECT(Equipo!$C$4&amp;"!B10:B1000"),$B168,INDIRECT(Equipo!$C$4&amp;"!"&amp;ADDRESS(10,COLUMN(D$9)+10)&amp;":"&amp;ADDRESS(1000,COLUMN(D$9)+10))),
SUMIF(INDIRECT(Equipo!$D$4&amp;"!B10:B1000"),$B168,INDIRECT(Equipo!$D$4&amp;"!"&amp;ADDRESS(10,COLUMN(D$9)+10)&amp;":"&amp;ADDRESS(1000,COLUMN(D$9)+10))),
SUMIF(INDIRECT(Equipo!$E$4&amp;"!B10:B1000"),$B168,INDIRECT(Equipo!$E$4&amp;"!"&amp;ADDRESS(10,COLUMN(D$9)+10)&amp;":"&amp;ADDRESS(1000,COLUMN(D$9)+10))),
SUMIF(INDIRECT(Equipo!$F$4&amp;"!B10:B1000"),$B168,INDIRECT(Equipo!$F$4&amp;"!"&amp;ADDRESS(10,COLUMN(D$9)+10)&amp;":"&amp;ADDRESS(1000,COLUMN(D$9)+10))),
SUMIF(INDIRECT(Equipo!$G$4&amp;"!B10:B1000"),$B168,INDIRECT(Equipo!$G$4&amp;"!"&amp;ADDRESS(10,COLUMN(D$9)+10)&amp;":"&amp;ADDRESS(1000,COLUMN(D$9)+10)))
))</f>
        <v>-</v>
      </c>
      <c r="E168" s="19" t="str">
        <f t="array" ref="E168">IF(ISBLANK(Tareas!$B164),"-",
SUM(
SUMIF(INDIRECT(Equipo!$C$4&amp;"!B10:B1000"),$B168,INDIRECT(Equipo!$C$4&amp;"!"&amp;ADDRESS(10,COLUMN(E$9)+10)&amp;":"&amp;ADDRESS(1000,COLUMN(E$9)+10))),
SUMIF(INDIRECT(Equipo!$D$4&amp;"!B10:B1000"),$B168,INDIRECT(Equipo!$D$4&amp;"!"&amp;ADDRESS(10,COLUMN(E$9)+10)&amp;":"&amp;ADDRESS(1000,COLUMN(E$9)+10))),
SUMIF(INDIRECT(Equipo!$E$4&amp;"!B10:B1000"),$B168,INDIRECT(Equipo!$E$4&amp;"!"&amp;ADDRESS(10,COLUMN(E$9)+10)&amp;":"&amp;ADDRESS(1000,COLUMN(E$9)+10))),
SUMIF(INDIRECT(Equipo!$F$4&amp;"!B10:B1000"),$B168,INDIRECT(Equipo!$F$4&amp;"!"&amp;ADDRESS(10,COLUMN(E$9)+10)&amp;":"&amp;ADDRESS(1000,COLUMN(E$9)+10))),
SUMIF(INDIRECT(Equipo!$G$4&amp;"!B10:B1000"),$B168,INDIRECT(Equipo!$G$4&amp;"!"&amp;ADDRESS(10,COLUMN(E$9)+10)&amp;":"&amp;ADDRESS(1000,COLUMN(E$9)+10)))
))</f>
        <v>-</v>
      </c>
      <c r="F168" s="19" t="str">
        <f t="array" ref="F168">IF(ISBLANK(Tareas!$B164),"-",
SUM(
SUMIF(INDIRECT(Equipo!$C$4&amp;"!B10:B1000"),$B168,INDIRECT(Equipo!$C$4&amp;"!"&amp;ADDRESS(10,COLUMN(F$9)+10)&amp;":"&amp;ADDRESS(1000,COLUMN(F$9)+10))),
SUMIF(INDIRECT(Equipo!$D$4&amp;"!B10:B1000"),$B168,INDIRECT(Equipo!$D$4&amp;"!"&amp;ADDRESS(10,COLUMN(F$9)+10)&amp;":"&amp;ADDRESS(1000,COLUMN(F$9)+10))),
SUMIF(INDIRECT(Equipo!$E$4&amp;"!B10:B1000"),$B168,INDIRECT(Equipo!$E$4&amp;"!"&amp;ADDRESS(10,COLUMN(F$9)+10)&amp;":"&amp;ADDRESS(1000,COLUMN(F$9)+10))),
SUMIF(INDIRECT(Equipo!$F$4&amp;"!B10:B1000"),$B168,INDIRECT(Equipo!$F$4&amp;"!"&amp;ADDRESS(10,COLUMN(F$9)+10)&amp;":"&amp;ADDRESS(1000,COLUMN(F$9)+10))),
SUMIF(INDIRECT(Equipo!$G$4&amp;"!B10:B1000"),$B168,INDIRECT(Equipo!$G$4&amp;"!"&amp;ADDRESS(10,COLUMN(F$9)+10)&amp;":"&amp;ADDRESS(1000,COLUMN(F$9)+10)))
))</f>
        <v>-</v>
      </c>
      <c r="G168" s="19" t="str">
        <f t="array" ref="G168">IF(ISBLANK(Tareas!$B164),"-",
SUM(
SUMIF(INDIRECT(Equipo!$C$4&amp;"!B10:B1000"),$B168,INDIRECT(Equipo!$C$4&amp;"!"&amp;ADDRESS(10,COLUMN(G$9)+10)&amp;":"&amp;ADDRESS(1000,COLUMN(G$9)+10))),
SUMIF(INDIRECT(Equipo!$D$4&amp;"!B10:B1000"),$B168,INDIRECT(Equipo!$D$4&amp;"!"&amp;ADDRESS(10,COLUMN(G$9)+10)&amp;":"&amp;ADDRESS(1000,COLUMN(G$9)+10))),
SUMIF(INDIRECT(Equipo!$E$4&amp;"!B10:B1000"),$B168,INDIRECT(Equipo!$E$4&amp;"!"&amp;ADDRESS(10,COLUMN(G$9)+10)&amp;":"&amp;ADDRESS(1000,COLUMN(G$9)+10))),
SUMIF(INDIRECT(Equipo!$F$4&amp;"!B10:B1000"),$B168,INDIRECT(Equipo!$F$4&amp;"!"&amp;ADDRESS(10,COLUMN(G$9)+10)&amp;":"&amp;ADDRESS(1000,COLUMN(G$9)+10))),
SUMIF(INDIRECT(Equipo!$G$4&amp;"!B10:B1000"),$B168,INDIRECT(Equipo!$G$4&amp;"!"&amp;ADDRESS(10,COLUMN(G$9)+10)&amp;":"&amp;ADDRESS(1000,COLUMN(G$9)+10)))
))</f>
        <v>-</v>
      </c>
      <c r="H168" s="19" t="str">
        <f t="array" ref="H168">IF(ISBLANK(Tareas!$B164),"-",
SUM(
SUMIF(INDIRECT(Equipo!$C$4&amp;"!B10:B1000"),$B168,INDIRECT(Equipo!$C$4&amp;"!"&amp;ADDRESS(10,COLUMN(H$9)+10)&amp;":"&amp;ADDRESS(1000,COLUMN(H$9)+10))),
SUMIF(INDIRECT(Equipo!$D$4&amp;"!B10:B1000"),$B168,INDIRECT(Equipo!$D$4&amp;"!"&amp;ADDRESS(10,COLUMN(H$9)+10)&amp;":"&amp;ADDRESS(1000,COLUMN(H$9)+10))),
SUMIF(INDIRECT(Equipo!$E$4&amp;"!B10:B1000"),$B168,INDIRECT(Equipo!$E$4&amp;"!"&amp;ADDRESS(10,COLUMN(H$9)+10)&amp;":"&amp;ADDRESS(1000,COLUMN(H$9)+10))),
SUMIF(INDIRECT(Equipo!$F$4&amp;"!B10:B1000"),$B168,INDIRECT(Equipo!$F$4&amp;"!"&amp;ADDRESS(10,COLUMN(H$9)+10)&amp;":"&amp;ADDRESS(1000,COLUMN(H$9)+10))),
SUMIF(INDIRECT(Equipo!$G$4&amp;"!B10:B1000"),$B168,INDIRECT(Equipo!$G$4&amp;"!"&amp;ADDRESS(10,COLUMN(H$9)+10)&amp;":"&amp;ADDRESS(1000,COLUMN(H$9)+10)))
))</f>
        <v>-</v>
      </c>
      <c r="I168" s="19" t="str">
        <f t="array" ref="I168">IF(ISBLANK(Tareas!$B164),"-",
SUM(
SUMIF(INDIRECT(Equipo!$C$4&amp;"!B10:B1000"),$B168,INDIRECT(Equipo!$C$4&amp;"!"&amp;ADDRESS(10,COLUMN(I$9)+10)&amp;":"&amp;ADDRESS(1000,COLUMN(I$9)+10))),
SUMIF(INDIRECT(Equipo!$D$4&amp;"!B10:B1000"),$B168,INDIRECT(Equipo!$D$4&amp;"!"&amp;ADDRESS(10,COLUMN(I$9)+10)&amp;":"&amp;ADDRESS(1000,COLUMN(I$9)+10))),
SUMIF(INDIRECT(Equipo!$E$4&amp;"!B10:B1000"),$B168,INDIRECT(Equipo!$E$4&amp;"!"&amp;ADDRESS(10,COLUMN(I$9)+10)&amp;":"&amp;ADDRESS(1000,COLUMN(I$9)+10))),
SUMIF(INDIRECT(Equipo!$F$4&amp;"!B10:B1000"),$B168,INDIRECT(Equipo!$F$4&amp;"!"&amp;ADDRESS(10,COLUMN(I$9)+10)&amp;":"&amp;ADDRESS(1000,COLUMN(I$9)+10))),
SUMIF(INDIRECT(Equipo!$G$4&amp;"!B10:B1000"),$B168,INDIRECT(Equipo!$G$4&amp;"!"&amp;ADDRESS(10,COLUMN(I$9)+10)&amp;":"&amp;ADDRESS(1000,COLUMN(I$9)+10)))
))</f>
        <v>-</v>
      </c>
      <c r="J168" s="19" t="str">
        <f t="array" ref="J168">IF(ISBLANK(Tareas!$B164),"-",
SUM(
SUMIF(INDIRECT(Equipo!$C$4&amp;"!B10:B1000"),$B168,INDIRECT(Equipo!$C$4&amp;"!"&amp;ADDRESS(10,COLUMN(J$9)+10)&amp;":"&amp;ADDRESS(1000,COLUMN(J$9)+10))),
SUMIF(INDIRECT(Equipo!$D$4&amp;"!B10:B1000"),$B168,INDIRECT(Equipo!$D$4&amp;"!"&amp;ADDRESS(10,COLUMN(J$9)+10)&amp;":"&amp;ADDRESS(1000,COLUMN(J$9)+10))),
SUMIF(INDIRECT(Equipo!$E$4&amp;"!B10:B1000"),$B168,INDIRECT(Equipo!$E$4&amp;"!"&amp;ADDRESS(10,COLUMN(J$9)+10)&amp;":"&amp;ADDRESS(1000,COLUMN(J$9)+10))),
SUMIF(INDIRECT(Equipo!$F$4&amp;"!B10:B1000"),$B168,INDIRECT(Equipo!$F$4&amp;"!"&amp;ADDRESS(10,COLUMN(J$9)+10)&amp;":"&amp;ADDRESS(1000,COLUMN(J$9)+10))),
SUMIF(INDIRECT(Equipo!$G$4&amp;"!B10:B1000"),$B168,INDIRECT(Equipo!$G$4&amp;"!"&amp;ADDRESS(10,COLUMN(J$9)+10)&amp;":"&amp;ADDRESS(1000,COLUMN(J$9)+10)))
))</f>
        <v>-</v>
      </c>
      <c r="K168" s="19" t="str">
        <f t="array" ref="K168">IF(ISBLANK(Tareas!$B164),"-",
SUM(
SUMIF(INDIRECT(Equipo!$C$4&amp;"!B10:B1000"),$B168,INDIRECT(Equipo!$C$4&amp;"!"&amp;ADDRESS(10,COLUMN(K$9)+10)&amp;":"&amp;ADDRESS(1000,COLUMN(K$9)+10))),
SUMIF(INDIRECT(Equipo!$D$4&amp;"!B10:B1000"),$B168,INDIRECT(Equipo!$D$4&amp;"!"&amp;ADDRESS(10,COLUMN(K$9)+10)&amp;":"&amp;ADDRESS(1000,COLUMN(K$9)+10))),
SUMIF(INDIRECT(Equipo!$E$4&amp;"!B10:B1000"),$B168,INDIRECT(Equipo!$E$4&amp;"!"&amp;ADDRESS(10,COLUMN(K$9)+10)&amp;":"&amp;ADDRESS(1000,COLUMN(K$9)+10))),
SUMIF(INDIRECT(Equipo!$F$4&amp;"!B10:B1000"),$B168,INDIRECT(Equipo!$F$4&amp;"!"&amp;ADDRESS(10,COLUMN(K$9)+10)&amp;":"&amp;ADDRESS(1000,COLUMN(K$9)+10))),
SUMIF(INDIRECT(Equipo!$G$4&amp;"!B10:B1000"),$B168,INDIRECT(Equipo!$G$4&amp;"!"&amp;ADDRESS(10,COLUMN(K$9)+10)&amp;":"&amp;ADDRESS(1000,COLUMN(K$9)+10)))
))</f>
        <v>-</v>
      </c>
    </row>
    <row r="169" ht="15.75" customHeight="1">
      <c r="C169" s="19" t="str">
        <f>IF(ISBLANK(Tareas!$B165),"-",SUM(D169:K169))</f>
        <v>-</v>
      </c>
      <c r="D169" s="19" t="str">
        <f t="array" ref="D169">IF(ISBLANK(Tareas!$B165),"-",
SUM(
SUMIF(INDIRECT(Equipo!$C$4&amp;"!B10:B1000"),$B169,INDIRECT(Equipo!$C$4&amp;"!"&amp;ADDRESS(10,COLUMN(D$9)+10)&amp;":"&amp;ADDRESS(1000,COLUMN(D$9)+10))),
SUMIF(INDIRECT(Equipo!$D$4&amp;"!B10:B1000"),$B169,INDIRECT(Equipo!$D$4&amp;"!"&amp;ADDRESS(10,COLUMN(D$9)+10)&amp;":"&amp;ADDRESS(1000,COLUMN(D$9)+10))),
SUMIF(INDIRECT(Equipo!$E$4&amp;"!B10:B1000"),$B169,INDIRECT(Equipo!$E$4&amp;"!"&amp;ADDRESS(10,COLUMN(D$9)+10)&amp;":"&amp;ADDRESS(1000,COLUMN(D$9)+10))),
SUMIF(INDIRECT(Equipo!$F$4&amp;"!B10:B1000"),$B169,INDIRECT(Equipo!$F$4&amp;"!"&amp;ADDRESS(10,COLUMN(D$9)+10)&amp;":"&amp;ADDRESS(1000,COLUMN(D$9)+10))),
SUMIF(INDIRECT(Equipo!$G$4&amp;"!B10:B1000"),$B169,INDIRECT(Equipo!$G$4&amp;"!"&amp;ADDRESS(10,COLUMN(D$9)+10)&amp;":"&amp;ADDRESS(1000,COLUMN(D$9)+10)))
))</f>
        <v>-</v>
      </c>
      <c r="E169" s="19" t="str">
        <f t="array" ref="E169">IF(ISBLANK(Tareas!$B165),"-",
SUM(
SUMIF(INDIRECT(Equipo!$C$4&amp;"!B10:B1000"),$B169,INDIRECT(Equipo!$C$4&amp;"!"&amp;ADDRESS(10,COLUMN(E$9)+10)&amp;":"&amp;ADDRESS(1000,COLUMN(E$9)+10))),
SUMIF(INDIRECT(Equipo!$D$4&amp;"!B10:B1000"),$B169,INDIRECT(Equipo!$D$4&amp;"!"&amp;ADDRESS(10,COLUMN(E$9)+10)&amp;":"&amp;ADDRESS(1000,COLUMN(E$9)+10))),
SUMIF(INDIRECT(Equipo!$E$4&amp;"!B10:B1000"),$B169,INDIRECT(Equipo!$E$4&amp;"!"&amp;ADDRESS(10,COLUMN(E$9)+10)&amp;":"&amp;ADDRESS(1000,COLUMN(E$9)+10))),
SUMIF(INDIRECT(Equipo!$F$4&amp;"!B10:B1000"),$B169,INDIRECT(Equipo!$F$4&amp;"!"&amp;ADDRESS(10,COLUMN(E$9)+10)&amp;":"&amp;ADDRESS(1000,COLUMN(E$9)+10))),
SUMIF(INDIRECT(Equipo!$G$4&amp;"!B10:B1000"),$B169,INDIRECT(Equipo!$G$4&amp;"!"&amp;ADDRESS(10,COLUMN(E$9)+10)&amp;":"&amp;ADDRESS(1000,COLUMN(E$9)+10)))
))</f>
        <v>-</v>
      </c>
      <c r="F169" s="19" t="str">
        <f t="array" ref="F169">IF(ISBLANK(Tareas!$B165),"-",
SUM(
SUMIF(INDIRECT(Equipo!$C$4&amp;"!B10:B1000"),$B169,INDIRECT(Equipo!$C$4&amp;"!"&amp;ADDRESS(10,COLUMN(F$9)+10)&amp;":"&amp;ADDRESS(1000,COLUMN(F$9)+10))),
SUMIF(INDIRECT(Equipo!$D$4&amp;"!B10:B1000"),$B169,INDIRECT(Equipo!$D$4&amp;"!"&amp;ADDRESS(10,COLUMN(F$9)+10)&amp;":"&amp;ADDRESS(1000,COLUMN(F$9)+10))),
SUMIF(INDIRECT(Equipo!$E$4&amp;"!B10:B1000"),$B169,INDIRECT(Equipo!$E$4&amp;"!"&amp;ADDRESS(10,COLUMN(F$9)+10)&amp;":"&amp;ADDRESS(1000,COLUMN(F$9)+10))),
SUMIF(INDIRECT(Equipo!$F$4&amp;"!B10:B1000"),$B169,INDIRECT(Equipo!$F$4&amp;"!"&amp;ADDRESS(10,COLUMN(F$9)+10)&amp;":"&amp;ADDRESS(1000,COLUMN(F$9)+10))),
SUMIF(INDIRECT(Equipo!$G$4&amp;"!B10:B1000"),$B169,INDIRECT(Equipo!$G$4&amp;"!"&amp;ADDRESS(10,COLUMN(F$9)+10)&amp;":"&amp;ADDRESS(1000,COLUMN(F$9)+10)))
))</f>
        <v>-</v>
      </c>
      <c r="G169" s="19" t="str">
        <f t="array" ref="G169">IF(ISBLANK(Tareas!$B165),"-",
SUM(
SUMIF(INDIRECT(Equipo!$C$4&amp;"!B10:B1000"),$B169,INDIRECT(Equipo!$C$4&amp;"!"&amp;ADDRESS(10,COLUMN(G$9)+10)&amp;":"&amp;ADDRESS(1000,COLUMN(G$9)+10))),
SUMIF(INDIRECT(Equipo!$D$4&amp;"!B10:B1000"),$B169,INDIRECT(Equipo!$D$4&amp;"!"&amp;ADDRESS(10,COLUMN(G$9)+10)&amp;":"&amp;ADDRESS(1000,COLUMN(G$9)+10))),
SUMIF(INDIRECT(Equipo!$E$4&amp;"!B10:B1000"),$B169,INDIRECT(Equipo!$E$4&amp;"!"&amp;ADDRESS(10,COLUMN(G$9)+10)&amp;":"&amp;ADDRESS(1000,COLUMN(G$9)+10))),
SUMIF(INDIRECT(Equipo!$F$4&amp;"!B10:B1000"),$B169,INDIRECT(Equipo!$F$4&amp;"!"&amp;ADDRESS(10,COLUMN(G$9)+10)&amp;":"&amp;ADDRESS(1000,COLUMN(G$9)+10))),
SUMIF(INDIRECT(Equipo!$G$4&amp;"!B10:B1000"),$B169,INDIRECT(Equipo!$G$4&amp;"!"&amp;ADDRESS(10,COLUMN(G$9)+10)&amp;":"&amp;ADDRESS(1000,COLUMN(G$9)+10)))
))</f>
        <v>-</v>
      </c>
      <c r="H169" s="19" t="str">
        <f t="array" ref="H169">IF(ISBLANK(Tareas!$B165),"-",
SUM(
SUMIF(INDIRECT(Equipo!$C$4&amp;"!B10:B1000"),$B169,INDIRECT(Equipo!$C$4&amp;"!"&amp;ADDRESS(10,COLUMN(H$9)+10)&amp;":"&amp;ADDRESS(1000,COLUMN(H$9)+10))),
SUMIF(INDIRECT(Equipo!$D$4&amp;"!B10:B1000"),$B169,INDIRECT(Equipo!$D$4&amp;"!"&amp;ADDRESS(10,COLUMN(H$9)+10)&amp;":"&amp;ADDRESS(1000,COLUMN(H$9)+10))),
SUMIF(INDIRECT(Equipo!$E$4&amp;"!B10:B1000"),$B169,INDIRECT(Equipo!$E$4&amp;"!"&amp;ADDRESS(10,COLUMN(H$9)+10)&amp;":"&amp;ADDRESS(1000,COLUMN(H$9)+10))),
SUMIF(INDIRECT(Equipo!$F$4&amp;"!B10:B1000"),$B169,INDIRECT(Equipo!$F$4&amp;"!"&amp;ADDRESS(10,COLUMN(H$9)+10)&amp;":"&amp;ADDRESS(1000,COLUMN(H$9)+10))),
SUMIF(INDIRECT(Equipo!$G$4&amp;"!B10:B1000"),$B169,INDIRECT(Equipo!$G$4&amp;"!"&amp;ADDRESS(10,COLUMN(H$9)+10)&amp;":"&amp;ADDRESS(1000,COLUMN(H$9)+10)))
))</f>
        <v>-</v>
      </c>
      <c r="I169" s="19" t="str">
        <f t="array" ref="I169">IF(ISBLANK(Tareas!$B165),"-",
SUM(
SUMIF(INDIRECT(Equipo!$C$4&amp;"!B10:B1000"),$B169,INDIRECT(Equipo!$C$4&amp;"!"&amp;ADDRESS(10,COLUMN(I$9)+10)&amp;":"&amp;ADDRESS(1000,COLUMN(I$9)+10))),
SUMIF(INDIRECT(Equipo!$D$4&amp;"!B10:B1000"),$B169,INDIRECT(Equipo!$D$4&amp;"!"&amp;ADDRESS(10,COLUMN(I$9)+10)&amp;":"&amp;ADDRESS(1000,COLUMN(I$9)+10))),
SUMIF(INDIRECT(Equipo!$E$4&amp;"!B10:B1000"),$B169,INDIRECT(Equipo!$E$4&amp;"!"&amp;ADDRESS(10,COLUMN(I$9)+10)&amp;":"&amp;ADDRESS(1000,COLUMN(I$9)+10))),
SUMIF(INDIRECT(Equipo!$F$4&amp;"!B10:B1000"),$B169,INDIRECT(Equipo!$F$4&amp;"!"&amp;ADDRESS(10,COLUMN(I$9)+10)&amp;":"&amp;ADDRESS(1000,COLUMN(I$9)+10))),
SUMIF(INDIRECT(Equipo!$G$4&amp;"!B10:B1000"),$B169,INDIRECT(Equipo!$G$4&amp;"!"&amp;ADDRESS(10,COLUMN(I$9)+10)&amp;":"&amp;ADDRESS(1000,COLUMN(I$9)+10)))
))</f>
        <v>-</v>
      </c>
      <c r="J169" s="19" t="str">
        <f t="array" ref="J169">IF(ISBLANK(Tareas!$B165),"-",
SUM(
SUMIF(INDIRECT(Equipo!$C$4&amp;"!B10:B1000"),$B169,INDIRECT(Equipo!$C$4&amp;"!"&amp;ADDRESS(10,COLUMN(J$9)+10)&amp;":"&amp;ADDRESS(1000,COLUMN(J$9)+10))),
SUMIF(INDIRECT(Equipo!$D$4&amp;"!B10:B1000"),$B169,INDIRECT(Equipo!$D$4&amp;"!"&amp;ADDRESS(10,COLUMN(J$9)+10)&amp;":"&amp;ADDRESS(1000,COLUMN(J$9)+10))),
SUMIF(INDIRECT(Equipo!$E$4&amp;"!B10:B1000"),$B169,INDIRECT(Equipo!$E$4&amp;"!"&amp;ADDRESS(10,COLUMN(J$9)+10)&amp;":"&amp;ADDRESS(1000,COLUMN(J$9)+10))),
SUMIF(INDIRECT(Equipo!$F$4&amp;"!B10:B1000"),$B169,INDIRECT(Equipo!$F$4&amp;"!"&amp;ADDRESS(10,COLUMN(J$9)+10)&amp;":"&amp;ADDRESS(1000,COLUMN(J$9)+10))),
SUMIF(INDIRECT(Equipo!$G$4&amp;"!B10:B1000"),$B169,INDIRECT(Equipo!$G$4&amp;"!"&amp;ADDRESS(10,COLUMN(J$9)+10)&amp;":"&amp;ADDRESS(1000,COLUMN(J$9)+10)))
))</f>
        <v>-</v>
      </c>
      <c r="K169" s="19" t="str">
        <f t="array" ref="K169">IF(ISBLANK(Tareas!$B165),"-",
SUM(
SUMIF(INDIRECT(Equipo!$C$4&amp;"!B10:B1000"),$B169,INDIRECT(Equipo!$C$4&amp;"!"&amp;ADDRESS(10,COLUMN(K$9)+10)&amp;":"&amp;ADDRESS(1000,COLUMN(K$9)+10))),
SUMIF(INDIRECT(Equipo!$D$4&amp;"!B10:B1000"),$B169,INDIRECT(Equipo!$D$4&amp;"!"&amp;ADDRESS(10,COLUMN(K$9)+10)&amp;":"&amp;ADDRESS(1000,COLUMN(K$9)+10))),
SUMIF(INDIRECT(Equipo!$E$4&amp;"!B10:B1000"),$B169,INDIRECT(Equipo!$E$4&amp;"!"&amp;ADDRESS(10,COLUMN(K$9)+10)&amp;":"&amp;ADDRESS(1000,COLUMN(K$9)+10))),
SUMIF(INDIRECT(Equipo!$F$4&amp;"!B10:B1000"),$B169,INDIRECT(Equipo!$F$4&amp;"!"&amp;ADDRESS(10,COLUMN(K$9)+10)&amp;":"&amp;ADDRESS(1000,COLUMN(K$9)+10))),
SUMIF(INDIRECT(Equipo!$G$4&amp;"!B10:B1000"),$B169,INDIRECT(Equipo!$G$4&amp;"!"&amp;ADDRESS(10,COLUMN(K$9)+10)&amp;":"&amp;ADDRESS(1000,COLUMN(K$9)+10)))
))</f>
        <v>-</v>
      </c>
    </row>
    <row r="170" ht="15.75" customHeight="1">
      <c r="C170" s="19" t="str">
        <f>IF(ISBLANK(Tareas!$B166),"-",SUM(D170:K170))</f>
        <v>-</v>
      </c>
      <c r="D170" s="19" t="str">
        <f t="array" ref="D170">IF(ISBLANK(Tareas!$B166),"-",
SUM(
SUMIF(INDIRECT(Equipo!$C$4&amp;"!B10:B1000"),$B170,INDIRECT(Equipo!$C$4&amp;"!"&amp;ADDRESS(10,COLUMN(D$9)+10)&amp;":"&amp;ADDRESS(1000,COLUMN(D$9)+10))),
SUMIF(INDIRECT(Equipo!$D$4&amp;"!B10:B1000"),$B170,INDIRECT(Equipo!$D$4&amp;"!"&amp;ADDRESS(10,COLUMN(D$9)+10)&amp;":"&amp;ADDRESS(1000,COLUMN(D$9)+10))),
SUMIF(INDIRECT(Equipo!$E$4&amp;"!B10:B1000"),$B170,INDIRECT(Equipo!$E$4&amp;"!"&amp;ADDRESS(10,COLUMN(D$9)+10)&amp;":"&amp;ADDRESS(1000,COLUMN(D$9)+10))),
SUMIF(INDIRECT(Equipo!$F$4&amp;"!B10:B1000"),$B170,INDIRECT(Equipo!$F$4&amp;"!"&amp;ADDRESS(10,COLUMN(D$9)+10)&amp;":"&amp;ADDRESS(1000,COLUMN(D$9)+10))),
SUMIF(INDIRECT(Equipo!$G$4&amp;"!B10:B1000"),$B170,INDIRECT(Equipo!$G$4&amp;"!"&amp;ADDRESS(10,COLUMN(D$9)+10)&amp;":"&amp;ADDRESS(1000,COLUMN(D$9)+10)))
))</f>
        <v>-</v>
      </c>
      <c r="E170" s="19" t="str">
        <f t="array" ref="E170">IF(ISBLANK(Tareas!$B166),"-",
SUM(
SUMIF(INDIRECT(Equipo!$C$4&amp;"!B10:B1000"),$B170,INDIRECT(Equipo!$C$4&amp;"!"&amp;ADDRESS(10,COLUMN(E$9)+10)&amp;":"&amp;ADDRESS(1000,COLUMN(E$9)+10))),
SUMIF(INDIRECT(Equipo!$D$4&amp;"!B10:B1000"),$B170,INDIRECT(Equipo!$D$4&amp;"!"&amp;ADDRESS(10,COLUMN(E$9)+10)&amp;":"&amp;ADDRESS(1000,COLUMN(E$9)+10))),
SUMIF(INDIRECT(Equipo!$E$4&amp;"!B10:B1000"),$B170,INDIRECT(Equipo!$E$4&amp;"!"&amp;ADDRESS(10,COLUMN(E$9)+10)&amp;":"&amp;ADDRESS(1000,COLUMN(E$9)+10))),
SUMIF(INDIRECT(Equipo!$F$4&amp;"!B10:B1000"),$B170,INDIRECT(Equipo!$F$4&amp;"!"&amp;ADDRESS(10,COLUMN(E$9)+10)&amp;":"&amp;ADDRESS(1000,COLUMN(E$9)+10))),
SUMIF(INDIRECT(Equipo!$G$4&amp;"!B10:B1000"),$B170,INDIRECT(Equipo!$G$4&amp;"!"&amp;ADDRESS(10,COLUMN(E$9)+10)&amp;":"&amp;ADDRESS(1000,COLUMN(E$9)+10)))
))</f>
        <v>-</v>
      </c>
      <c r="F170" s="19" t="str">
        <f t="array" ref="F170">IF(ISBLANK(Tareas!$B166),"-",
SUM(
SUMIF(INDIRECT(Equipo!$C$4&amp;"!B10:B1000"),$B170,INDIRECT(Equipo!$C$4&amp;"!"&amp;ADDRESS(10,COLUMN(F$9)+10)&amp;":"&amp;ADDRESS(1000,COLUMN(F$9)+10))),
SUMIF(INDIRECT(Equipo!$D$4&amp;"!B10:B1000"),$B170,INDIRECT(Equipo!$D$4&amp;"!"&amp;ADDRESS(10,COLUMN(F$9)+10)&amp;":"&amp;ADDRESS(1000,COLUMN(F$9)+10))),
SUMIF(INDIRECT(Equipo!$E$4&amp;"!B10:B1000"),$B170,INDIRECT(Equipo!$E$4&amp;"!"&amp;ADDRESS(10,COLUMN(F$9)+10)&amp;":"&amp;ADDRESS(1000,COLUMN(F$9)+10))),
SUMIF(INDIRECT(Equipo!$F$4&amp;"!B10:B1000"),$B170,INDIRECT(Equipo!$F$4&amp;"!"&amp;ADDRESS(10,COLUMN(F$9)+10)&amp;":"&amp;ADDRESS(1000,COLUMN(F$9)+10))),
SUMIF(INDIRECT(Equipo!$G$4&amp;"!B10:B1000"),$B170,INDIRECT(Equipo!$G$4&amp;"!"&amp;ADDRESS(10,COLUMN(F$9)+10)&amp;":"&amp;ADDRESS(1000,COLUMN(F$9)+10)))
))</f>
        <v>-</v>
      </c>
      <c r="G170" s="19" t="str">
        <f t="array" ref="G170">IF(ISBLANK(Tareas!$B166),"-",
SUM(
SUMIF(INDIRECT(Equipo!$C$4&amp;"!B10:B1000"),$B170,INDIRECT(Equipo!$C$4&amp;"!"&amp;ADDRESS(10,COLUMN(G$9)+10)&amp;":"&amp;ADDRESS(1000,COLUMN(G$9)+10))),
SUMIF(INDIRECT(Equipo!$D$4&amp;"!B10:B1000"),$B170,INDIRECT(Equipo!$D$4&amp;"!"&amp;ADDRESS(10,COLUMN(G$9)+10)&amp;":"&amp;ADDRESS(1000,COLUMN(G$9)+10))),
SUMIF(INDIRECT(Equipo!$E$4&amp;"!B10:B1000"),$B170,INDIRECT(Equipo!$E$4&amp;"!"&amp;ADDRESS(10,COLUMN(G$9)+10)&amp;":"&amp;ADDRESS(1000,COLUMN(G$9)+10))),
SUMIF(INDIRECT(Equipo!$F$4&amp;"!B10:B1000"),$B170,INDIRECT(Equipo!$F$4&amp;"!"&amp;ADDRESS(10,COLUMN(G$9)+10)&amp;":"&amp;ADDRESS(1000,COLUMN(G$9)+10))),
SUMIF(INDIRECT(Equipo!$G$4&amp;"!B10:B1000"),$B170,INDIRECT(Equipo!$G$4&amp;"!"&amp;ADDRESS(10,COLUMN(G$9)+10)&amp;":"&amp;ADDRESS(1000,COLUMN(G$9)+10)))
))</f>
        <v>-</v>
      </c>
      <c r="H170" s="19" t="str">
        <f t="array" ref="H170">IF(ISBLANK(Tareas!$B166),"-",
SUM(
SUMIF(INDIRECT(Equipo!$C$4&amp;"!B10:B1000"),$B170,INDIRECT(Equipo!$C$4&amp;"!"&amp;ADDRESS(10,COLUMN(H$9)+10)&amp;":"&amp;ADDRESS(1000,COLUMN(H$9)+10))),
SUMIF(INDIRECT(Equipo!$D$4&amp;"!B10:B1000"),$B170,INDIRECT(Equipo!$D$4&amp;"!"&amp;ADDRESS(10,COLUMN(H$9)+10)&amp;":"&amp;ADDRESS(1000,COLUMN(H$9)+10))),
SUMIF(INDIRECT(Equipo!$E$4&amp;"!B10:B1000"),$B170,INDIRECT(Equipo!$E$4&amp;"!"&amp;ADDRESS(10,COLUMN(H$9)+10)&amp;":"&amp;ADDRESS(1000,COLUMN(H$9)+10))),
SUMIF(INDIRECT(Equipo!$F$4&amp;"!B10:B1000"),$B170,INDIRECT(Equipo!$F$4&amp;"!"&amp;ADDRESS(10,COLUMN(H$9)+10)&amp;":"&amp;ADDRESS(1000,COLUMN(H$9)+10))),
SUMIF(INDIRECT(Equipo!$G$4&amp;"!B10:B1000"),$B170,INDIRECT(Equipo!$G$4&amp;"!"&amp;ADDRESS(10,COLUMN(H$9)+10)&amp;":"&amp;ADDRESS(1000,COLUMN(H$9)+10)))
))</f>
        <v>-</v>
      </c>
      <c r="I170" s="19" t="str">
        <f t="array" ref="I170">IF(ISBLANK(Tareas!$B166),"-",
SUM(
SUMIF(INDIRECT(Equipo!$C$4&amp;"!B10:B1000"),$B170,INDIRECT(Equipo!$C$4&amp;"!"&amp;ADDRESS(10,COLUMN(I$9)+10)&amp;":"&amp;ADDRESS(1000,COLUMN(I$9)+10))),
SUMIF(INDIRECT(Equipo!$D$4&amp;"!B10:B1000"),$B170,INDIRECT(Equipo!$D$4&amp;"!"&amp;ADDRESS(10,COLUMN(I$9)+10)&amp;":"&amp;ADDRESS(1000,COLUMN(I$9)+10))),
SUMIF(INDIRECT(Equipo!$E$4&amp;"!B10:B1000"),$B170,INDIRECT(Equipo!$E$4&amp;"!"&amp;ADDRESS(10,COLUMN(I$9)+10)&amp;":"&amp;ADDRESS(1000,COLUMN(I$9)+10))),
SUMIF(INDIRECT(Equipo!$F$4&amp;"!B10:B1000"),$B170,INDIRECT(Equipo!$F$4&amp;"!"&amp;ADDRESS(10,COLUMN(I$9)+10)&amp;":"&amp;ADDRESS(1000,COLUMN(I$9)+10))),
SUMIF(INDIRECT(Equipo!$G$4&amp;"!B10:B1000"),$B170,INDIRECT(Equipo!$G$4&amp;"!"&amp;ADDRESS(10,COLUMN(I$9)+10)&amp;":"&amp;ADDRESS(1000,COLUMN(I$9)+10)))
))</f>
        <v>-</v>
      </c>
      <c r="J170" s="19" t="str">
        <f t="array" ref="J170">IF(ISBLANK(Tareas!$B166),"-",
SUM(
SUMIF(INDIRECT(Equipo!$C$4&amp;"!B10:B1000"),$B170,INDIRECT(Equipo!$C$4&amp;"!"&amp;ADDRESS(10,COLUMN(J$9)+10)&amp;":"&amp;ADDRESS(1000,COLUMN(J$9)+10))),
SUMIF(INDIRECT(Equipo!$D$4&amp;"!B10:B1000"),$B170,INDIRECT(Equipo!$D$4&amp;"!"&amp;ADDRESS(10,COLUMN(J$9)+10)&amp;":"&amp;ADDRESS(1000,COLUMN(J$9)+10))),
SUMIF(INDIRECT(Equipo!$E$4&amp;"!B10:B1000"),$B170,INDIRECT(Equipo!$E$4&amp;"!"&amp;ADDRESS(10,COLUMN(J$9)+10)&amp;":"&amp;ADDRESS(1000,COLUMN(J$9)+10))),
SUMIF(INDIRECT(Equipo!$F$4&amp;"!B10:B1000"),$B170,INDIRECT(Equipo!$F$4&amp;"!"&amp;ADDRESS(10,COLUMN(J$9)+10)&amp;":"&amp;ADDRESS(1000,COLUMN(J$9)+10))),
SUMIF(INDIRECT(Equipo!$G$4&amp;"!B10:B1000"),$B170,INDIRECT(Equipo!$G$4&amp;"!"&amp;ADDRESS(10,COLUMN(J$9)+10)&amp;":"&amp;ADDRESS(1000,COLUMN(J$9)+10)))
))</f>
        <v>-</v>
      </c>
      <c r="K170" s="19" t="str">
        <f t="array" ref="K170">IF(ISBLANK(Tareas!$B166),"-",
SUM(
SUMIF(INDIRECT(Equipo!$C$4&amp;"!B10:B1000"),$B170,INDIRECT(Equipo!$C$4&amp;"!"&amp;ADDRESS(10,COLUMN(K$9)+10)&amp;":"&amp;ADDRESS(1000,COLUMN(K$9)+10))),
SUMIF(INDIRECT(Equipo!$D$4&amp;"!B10:B1000"),$B170,INDIRECT(Equipo!$D$4&amp;"!"&amp;ADDRESS(10,COLUMN(K$9)+10)&amp;":"&amp;ADDRESS(1000,COLUMN(K$9)+10))),
SUMIF(INDIRECT(Equipo!$E$4&amp;"!B10:B1000"),$B170,INDIRECT(Equipo!$E$4&amp;"!"&amp;ADDRESS(10,COLUMN(K$9)+10)&amp;":"&amp;ADDRESS(1000,COLUMN(K$9)+10))),
SUMIF(INDIRECT(Equipo!$F$4&amp;"!B10:B1000"),$B170,INDIRECT(Equipo!$F$4&amp;"!"&amp;ADDRESS(10,COLUMN(K$9)+10)&amp;":"&amp;ADDRESS(1000,COLUMN(K$9)+10))),
SUMIF(INDIRECT(Equipo!$G$4&amp;"!B10:B1000"),$B170,INDIRECT(Equipo!$G$4&amp;"!"&amp;ADDRESS(10,COLUMN(K$9)+10)&amp;":"&amp;ADDRESS(1000,COLUMN(K$9)+10)))
))</f>
        <v>-</v>
      </c>
    </row>
    <row r="171" ht="15.75" customHeight="1">
      <c r="C171" s="19" t="str">
        <f>IF(ISBLANK(Tareas!$B167),"-",SUM(D171:K171))</f>
        <v>-</v>
      </c>
      <c r="D171" s="19" t="str">
        <f t="array" ref="D171">IF(ISBLANK(Tareas!$B167),"-",
SUM(
SUMIF(INDIRECT(Equipo!$C$4&amp;"!B10:B1000"),$B171,INDIRECT(Equipo!$C$4&amp;"!"&amp;ADDRESS(10,COLUMN(D$9)+10)&amp;":"&amp;ADDRESS(1000,COLUMN(D$9)+10))),
SUMIF(INDIRECT(Equipo!$D$4&amp;"!B10:B1000"),$B171,INDIRECT(Equipo!$D$4&amp;"!"&amp;ADDRESS(10,COLUMN(D$9)+10)&amp;":"&amp;ADDRESS(1000,COLUMN(D$9)+10))),
SUMIF(INDIRECT(Equipo!$E$4&amp;"!B10:B1000"),$B171,INDIRECT(Equipo!$E$4&amp;"!"&amp;ADDRESS(10,COLUMN(D$9)+10)&amp;":"&amp;ADDRESS(1000,COLUMN(D$9)+10))),
SUMIF(INDIRECT(Equipo!$F$4&amp;"!B10:B1000"),$B171,INDIRECT(Equipo!$F$4&amp;"!"&amp;ADDRESS(10,COLUMN(D$9)+10)&amp;":"&amp;ADDRESS(1000,COLUMN(D$9)+10))),
SUMIF(INDIRECT(Equipo!$G$4&amp;"!B10:B1000"),$B171,INDIRECT(Equipo!$G$4&amp;"!"&amp;ADDRESS(10,COLUMN(D$9)+10)&amp;":"&amp;ADDRESS(1000,COLUMN(D$9)+10)))
))</f>
        <v>-</v>
      </c>
      <c r="E171" s="19" t="str">
        <f t="array" ref="E171">IF(ISBLANK(Tareas!$B167),"-",
SUM(
SUMIF(INDIRECT(Equipo!$C$4&amp;"!B10:B1000"),$B171,INDIRECT(Equipo!$C$4&amp;"!"&amp;ADDRESS(10,COLUMN(E$9)+10)&amp;":"&amp;ADDRESS(1000,COLUMN(E$9)+10))),
SUMIF(INDIRECT(Equipo!$D$4&amp;"!B10:B1000"),$B171,INDIRECT(Equipo!$D$4&amp;"!"&amp;ADDRESS(10,COLUMN(E$9)+10)&amp;":"&amp;ADDRESS(1000,COLUMN(E$9)+10))),
SUMIF(INDIRECT(Equipo!$E$4&amp;"!B10:B1000"),$B171,INDIRECT(Equipo!$E$4&amp;"!"&amp;ADDRESS(10,COLUMN(E$9)+10)&amp;":"&amp;ADDRESS(1000,COLUMN(E$9)+10))),
SUMIF(INDIRECT(Equipo!$F$4&amp;"!B10:B1000"),$B171,INDIRECT(Equipo!$F$4&amp;"!"&amp;ADDRESS(10,COLUMN(E$9)+10)&amp;":"&amp;ADDRESS(1000,COLUMN(E$9)+10))),
SUMIF(INDIRECT(Equipo!$G$4&amp;"!B10:B1000"),$B171,INDIRECT(Equipo!$G$4&amp;"!"&amp;ADDRESS(10,COLUMN(E$9)+10)&amp;":"&amp;ADDRESS(1000,COLUMN(E$9)+10)))
))</f>
        <v>-</v>
      </c>
      <c r="F171" s="19" t="str">
        <f t="array" ref="F171">IF(ISBLANK(Tareas!$B167),"-",
SUM(
SUMIF(INDIRECT(Equipo!$C$4&amp;"!B10:B1000"),$B171,INDIRECT(Equipo!$C$4&amp;"!"&amp;ADDRESS(10,COLUMN(F$9)+10)&amp;":"&amp;ADDRESS(1000,COLUMN(F$9)+10))),
SUMIF(INDIRECT(Equipo!$D$4&amp;"!B10:B1000"),$B171,INDIRECT(Equipo!$D$4&amp;"!"&amp;ADDRESS(10,COLUMN(F$9)+10)&amp;":"&amp;ADDRESS(1000,COLUMN(F$9)+10))),
SUMIF(INDIRECT(Equipo!$E$4&amp;"!B10:B1000"),$B171,INDIRECT(Equipo!$E$4&amp;"!"&amp;ADDRESS(10,COLUMN(F$9)+10)&amp;":"&amp;ADDRESS(1000,COLUMN(F$9)+10))),
SUMIF(INDIRECT(Equipo!$F$4&amp;"!B10:B1000"),$B171,INDIRECT(Equipo!$F$4&amp;"!"&amp;ADDRESS(10,COLUMN(F$9)+10)&amp;":"&amp;ADDRESS(1000,COLUMN(F$9)+10))),
SUMIF(INDIRECT(Equipo!$G$4&amp;"!B10:B1000"),$B171,INDIRECT(Equipo!$G$4&amp;"!"&amp;ADDRESS(10,COLUMN(F$9)+10)&amp;":"&amp;ADDRESS(1000,COLUMN(F$9)+10)))
))</f>
        <v>-</v>
      </c>
      <c r="G171" s="19" t="str">
        <f t="array" ref="G171">IF(ISBLANK(Tareas!$B167),"-",
SUM(
SUMIF(INDIRECT(Equipo!$C$4&amp;"!B10:B1000"),$B171,INDIRECT(Equipo!$C$4&amp;"!"&amp;ADDRESS(10,COLUMN(G$9)+10)&amp;":"&amp;ADDRESS(1000,COLUMN(G$9)+10))),
SUMIF(INDIRECT(Equipo!$D$4&amp;"!B10:B1000"),$B171,INDIRECT(Equipo!$D$4&amp;"!"&amp;ADDRESS(10,COLUMN(G$9)+10)&amp;":"&amp;ADDRESS(1000,COLUMN(G$9)+10))),
SUMIF(INDIRECT(Equipo!$E$4&amp;"!B10:B1000"),$B171,INDIRECT(Equipo!$E$4&amp;"!"&amp;ADDRESS(10,COLUMN(G$9)+10)&amp;":"&amp;ADDRESS(1000,COLUMN(G$9)+10))),
SUMIF(INDIRECT(Equipo!$F$4&amp;"!B10:B1000"),$B171,INDIRECT(Equipo!$F$4&amp;"!"&amp;ADDRESS(10,COLUMN(G$9)+10)&amp;":"&amp;ADDRESS(1000,COLUMN(G$9)+10))),
SUMIF(INDIRECT(Equipo!$G$4&amp;"!B10:B1000"),$B171,INDIRECT(Equipo!$G$4&amp;"!"&amp;ADDRESS(10,COLUMN(G$9)+10)&amp;":"&amp;ADDRESS(1000,COLUMN(G$9)+10)))
))</f>
        <v>-</v>
      </c>
      <c r="H171" s="19" t="str">
        <f t="array" ref="H171">IF(ISBLANK(Tareas!$B167),"-",
SUM(
SUMIF(INDIRECT(Equipo!$C$4&amp;"!B10:B1000"),$B171,INDIRECT(Equipo!$C$4&amp;"!"&amp;ADDRESS(10,COLUMN(H$9)+10)&amp;":"&amp;ADDRESS(1000,COLUMN(H$9)+10))),
SUMIF(INDIRECT(Equipo!$D$4&amp;"!B10:B1000"),$B171,INDIRECT(Equipo!$D$4&amp;"!"&amp;ADDRESS(10,COLUMN(H$9)+10)&amp;":"&amp;ADDRESS(1000,COLUMN(H$9)+10))),
SUMIF(INDIRECT(Equipo!$E$4&amp;"!B10:B1000"),$B171,INDIRECT(Equipo!$E$4&amp;"!"&amp;ADDRESS(10,COLUMN(H$9)+10)&amp;":"&amp;ADDRESS(1000,COLUMN(H$9)+10))),
SUMIF(INDIRECT(Equipo!$F$4&amp;"!B10:B1000"),$B171,INDIRECT(Equipo!$F$4&amp;"!"&amp;ADDRESS(10,COLUMN(H$9)+10)&amp;":"&amp;ADDRESS(1000,COLUMN(H$9)+10))),
SUMIF(INDIRECT(Equipo!$G$4&amp;"!B10:B1000"),$B171,INDIRECT(Equipo!$G$4&amp;"!"&amp;ADDRESS(10,COLUMN(H$9)+10)&amp;":"&amp;ADDRESS(1000,COLUMN(H$9)+10)))
))</f>
        <v>-</v>
      </c>
      <c r="I171" s="19" t="str">
        <f t="array" ref="I171">IF(ISBLANK(Tareas!$B167),"-",
SUM(
SUMIF(INDIRECT(Equipo!$C$4&amp;"!B10:B1000"),$B171,INDIRECT(Equipo!$C$4&amp;"!"&amp;ADDRESS(10,COLUMN(I$9)+10)&amp;":"&amp;ADDRESS(1000,COLUMN(I$9)+10))),
SUMIF(INDIRECT(Equipo!$D$4&amp;"!B10:B1000"),$B171,INDIRECT(Equipo!$D$4&amp;"!"&amp;ADDRESS(10,COLUMN(I$9)+10)&amp;":"&amp;ADDRESS(1000,COLUMN(I$9)+10))),
SUMIF(INDIRECT(Equipo!$E$4&amp;"!B10:B1000"),$B171,INDIRECT(Equipo!$E$4&amp;"!"&amp;ADDRESS(10,COLUMN(I$9)+10)&amp;":"&amp;ADDRESS(1000,COLUMN(I$9)+10))),
SUMIF(INDIRECT(Equipo!$F$4&amp;"!B10:B1000"),$B171,INDIRECT(Equipo!$F$4&amp;"!"&amp;ADDRESS(10,COLUMN(I$9)+10)&amp;":"&amp;ADDRESS(1000,COLUMN(I$9)+10))),
SUMIF(INDIRECT(Equipo!$G$4&amp;"!B10:B1000"),$B171,INDIRECT(Equipo!$G$4&amp;"!"&amp;ADDRESS(10,COLUMN(I$9)+10)&amp;":"&amp;ADDRESS(1000,COLUMN(I$9)+10)))
))</f>
        <v>-</v>
      </c>
      <c r="J171" s="19" t="str">
        <f t="array" ref="J171">IF(ISBLANK(Tareas!$B167),"-",
SUM(
SUMIF(INDIRECT(Equipo!$C$4&amp;"!B10:B1000"),$B171,INDIRECT(Equipo!$C$4&amp;"!"&amp;ADDRESS(10,COLUMN(J$9)+10)&amp;":"&amp;ADDRESS(1000,COLUMN(J$9)+10))),
SUMIF(INDIRECT(Equipo!$D$4&amp;"!B10:B1000"),$B171,INDIRECT(Equipo!$D$4&amp;"!"&amp;ADDRESS(10,COLUMN(J$9)+10)&amp;":"&amp;ADDRESS(1000,COLUMN(J$9)+10))),
SUMIF(INDIRECT(Equipo!$E$4&amp;"!B10:B1000"),$B171,INDIRECT(Equipo!$E$4&amp;"!"&amp;ADDRESS(10,COLUMN(J$9)+10)&amp;":"&amp;ADDRESS(1000,COLUMN(J$9)+10))),
SUMIF(INDIRECT(Equipo!$F$4&amp;"!B10:B1000"),$B171,INDIRECT(Equipo!$F$4&amp;"!"&amp;ADDRESS(10,COLUMN(J$9)+10)&amp;":"&amp;ADDRESS(1000,COLUMN(J$9)+10))),
SUMIF(INDIRECT(Equipo!$G$4&amp;"!B10:B1000"),$B171,INDIRECT(Equipo!$G$4&amp;"!"&amp;ADDRESS(10,COLUMN(J$9)+10)&amp;":"&amp;ADDRESS(1000,COLUMN(J$9)+10)))
))</f>
        <v>-</v>
      </c>
      <c r="K171" s="19" t="str">
        <f t="array" ref="K171">IF(ISBLANK(Tareas!$B167),"-",
SUM(
SUMIF(INDIRECT(Equipo!$C$4&amp;"!B10:B1000"),$B171,INDIRECT(Equipo!$C$4&amp;"!"&amp;ADDRESS(10,COLUMN(K$9)+10)&amp;":"&amp;ADDRESS(1000,COLUMN(K$9)+10))),
SUMIF(INDIRECT(Equipo!$D$4&amp;"!B10:B1000"),$B171,INDIRECT(Equipo!$D$4&amp;"!"&amp;ADDRESS(10,COLUMN(K$9)+10)&amp;":"&amp;ADDRESS(1000,COLUMN(K$9)+10))),
SUMIF(INDIRECT(Equipo!$E$4&amp;"!B10:B1000"),$B171,INDIRECT(Equipo!$E$4&amp;"!"&amp;ADDRESS(10,COLUMN(K$9)+10)&amp;":"&amp;ADDRESS(1000,COLUMN(K$9)+10))),
SUMIF(INDIRECT(Equipo!$F$4&amp;"!B10:B1000"),$B171,INDIRECT(Equipo!$F$4&amp;"!"&amp;ADDRESS(10,COLUMN(K$9)+10)&amp;":"&amp;ADDRESS(1000,COLUMN(K$9)+10))),
SUMIF(INDIRECT(Equipo!$G$4&amp;"!B10:B1000"),$B171,INDIRECT(Equipo!$G$4&amp;"!"&amp;ADDRESS(10,COLUMN(K$9)+10)&amp;":"&amp;ADDRESS(1000,COLUMN(K$9)+10)))
))</f>
        <v>-</v>
      </c>
    </row>
    <row r="172" ht="15.75" customHeight="1">
      <c r="C172" s="19" t="str">
        <f>IF(ISBLANK(Tareas!$B168),"-",SUM(D172:K172))</f>
        <v>-</v>
      </c>
      <c r="D172" s="19" t="str">
        <f t="array" ref="D172">IF(ISBLANK(Tareas!$B168),"-",
SUM(
SUMIF(INDIRECT(Equipo!$C$4&amp;"!B10:B1000"),$B172,INDIRECT(Equipo!$C$4&amp;"!"&amp;ADDRESS(10,COLUMN(D$9)+10)&amp;":"&amp;ADDRESS(1000,COLUMN(D$9)+10))),
SUMIF(INDIRECT(Equipo!$D$4&amp;"!B10:B1000"),$B172,INDIRECT(Equipo!$D$4&amp;"!"&amp;ADDRESS(10,COLUMN(D$9)+10)&amp;":"&amp;ADDRESS(1000,COLUMN(D$9)+10))),
SUMIF(INDIRECT(Equipo!$E$4&amp;"!B10:B1000"),$B172,INDIRECT(Equipo!$E$4&amp;"!"&amp;ADDRESS(10,COLUMN(D$9)+10)&amp;":"&amp;ADDRESS(1000,COLUMN(D$9)+10))),
SUMIF(INDIRECT(Equipo!$F$4&amp;"!B10:B1000"),$B172,INDIRECT(Equipo!$F$4&amp;"!"&amp;ADDRESS(10,COLUMN(D$9)+10)&amp;":"&amp;ADDRESS(1000,COLUMN(D$9)+10))),
SUMIF(INDIRECT(Equipo!$G$4&amp;"!B10:B1000"),$B172,INDIRECT(Equipo!$G$4&amp;"!"&amp;ADDRESS(10,COLUMN(D$9)+10)&amp;":"&amp;ADDRESS(1000,COLUMN(D$9)+10)))
))</f>
        <v>-</v>
      </c>
      <c r="E172" s="19" t="str">
        <f t="array" ref="E172">IF(ISBLANK(Tareas!$B168),"-",
SUM(
SUMIF(INDIRECT(Equipo!$C$4&amp;"!B10:B1000"),$B172,INDIRECT(Equipo!$C$4&amp;"!"&amp;ADDRESS(10,COLUMN(E$9)+10)&amp;":"&amp;ADDRESS(1000,COLUMN(E$9)+10))),
SUMIF(INDIRECT(Equipo!$D$4&amp;"!B10:B1000"),$B172,INDIRECT(Equipo!$D$4&amp;"!"&amp;ADDRESS(10,COLUMN(E$9)+10)&amp;":"&amp;ADDRESS(1000,COLUMN(E$9)+10))),
SUMIF(INDIRECT(Equipo!$E$4&amp;"!B10:B1000"),$B172,INDIRECT(Equipo!$E$4&amp;"!"&amp;ADDRESS(10,COLUMN(E$9)+10)&amp;":"&amp;ADDRESS(1000,COLUMN(E$9)+10))),
SUMIF(INDIRECT(Equipo!$F$4&amp;"!B10:B1000"),$B172,INDIRECT(Equipo!$F$4&amp;"!"&amp;ADDRESS(10,COLUMN(E$9)+10)&amp;":"&amp;ADDRESS(1000,COLUMN(E$9)+10))),
SUMIF(INDIRECT(Equipo!$G$4&amp;"!B10:B1000"),$B172,INDIRECT(Equipo!$G$4&amp;"!"&amp;ADDRESS(10,COLUMN(E$9)+10)&amp;":"&amp;ADDRESS(1000,COLUMN(E$9)+10)))
))</f>
        <v>-</v>
      </c>
      <c r="F172" s="19" t="str">
        <f t="array" ref="F172">IF(ISBLANK(Tareas!$B168),"-",
SUM(
SUMIF(INDIRECT(Equipo!$C$4&amp;"!B10:B1000"),$B172,INDIRECT(Equipo!$C$4&amp;"!"&amp;ADDRESS(10,COLUMN(F$9)+10)&amp;":"&amp;ADDRESS(1000,COLUMN(F$9)+10))),
SUMIF(INDIRECT(Equipo!$D$4&amp;"!B10:B1000"),$B172,INDIRECT(Equipo!$D$4&amp;"!"&amp;ADDRESS(10,COLUMN(F$9)+10)&amp;":"&amp;ADDRESS(1000,COLUMN(F$9)+10))),
SUMIF(INDIRECT(Equipo!$E$4&amp;"!B10:B1000"),$B172,INDIRECT(Equipo!$E$4&amp;"!"&amp;ADDRESS(10,COLUMN(F$9)+10)&amp;":"&amp;ADDRESS(1000,COLUMN(F$9)+10))),
SUMIF(INDIRECT(Equipo!$F$4&amp;"!B10:B1000"),$B172,INDIRECT(Equipo!$F$4&amp;"!"&amp;ADDRESS(10,COLUMN(F$9)+10)&amp;":"&amp;ADDRESS(1000,COLUMN(F$9)+10))),
SUMIF(INDIRECT(Equipo!$G$4&amp;"!B10:B1000"),$B172,INDIRECT(Equipo!$G$4&amp;"!"&amp;ADDRESS(10,COLUMN(F$9)+10)&amp;":"&amp;ADDRESS(1000,COLUMN(F$9)+10)))
))</f>
        <v>-</v>
      </c>
      <c r="G172" s="19" t="str">
        <f t="array" ref="G172">IF(ISBLANK(Tareas!$B168),"-",
SUM(
SUMIF(INDIRECT(Equipo!$C$4&amp;"!B10:B1000"),$B172,INDIRECT(Equipo!$C$4&amp;"!"&amp;ADDRESS(10,COLUMN(G$9)+10)&amp;":"&amp;ADDRESS(1000,COLUMN(G$9)+10))),
SUMIF(INDIRECT(Equipo!$D$4&amp;"!B10:B1000"),$B172,INDIRECT(Equipo!$D$4&amp;"!"&amp;ADDRESS(10,COLUMN(G$9)+10)&amp;":"&amp;ADDRESS(1000,COLUMN(G$9)+10))),
SUMIF(INDIRECT(Equipo!$E$4&amp;"!B10:B1000"),$B172,INDIRECT(Equipo!$E$4&amp;"!"&amp;ADDRESS(10,COLUMN(G$9)+10)&amp;":"&amp;ADDRESS(1000,COLUMN(G$9)+10))),
SUMIF(INDIRECT(Equipo!$F$4&amp;"!B10:B1000"),$B172,INDIRECT(Equipo!$F$4&amp;"!"&amp;ADDRESS(10,COLUMN(G$9)+10)&amp;":"&amp;ADDRESS(1000,COLUMN(G$9)+10))),
SUMIF(INDIRECT(Equipo!$G$4&amp;"!B10:B1000"),$B172,INDIRECT(Equipo!$G$4&amp;"!"&amp;ADDRESS(10,COLUMN(G$9)+10)&amp;":"&amp;ADDRESS(1000,COLUMN(G$9)+10)))
))</f>
        <v>-</v>
      </c>
      <c r="H172" s="19" t="str">
        <f t="array" ref="H172">IF(ISBLANK(Tareas!$B168),"-",
SUM(
SUMIF(INDIRECT(Equipo!$C$4&amp;"!B10:B1000"),$B172,INDIRECT(Equipo!$C$4&amp;"!"&amp;ADDRESS(10,COLUMN(H$9)+10)&amp;":"&amp;ADDRESS(1000,COLUMN(H$9)+10))),
SUMIF(INDIRECT(Equipo!$D$4&amp;"!B10:B1000"),$B172,INDIRECT(Equipo!$D$4&amp;"!"&amp;ADDRESS(10,COLUMN(H$9)+10)&amp;":"&amp;ADDRESS(1000,COLUMN(H$9)+10))),
SUMIF(INDIRECT(Equipo!$E$4&amp;"!B10:B1000"),$B172,INDIRECT(Equipo!$E$4&amp;"!"&amp;ADDRESS(10,COLUMN(H$9)+10)&amp;":"&amp;ADDRESS(1000,COLUMN(H$9)+10))),
SUMIF(INDIRECT(Equipo!$F$4&amp;"!B10:B1000"),$B172,INDIRECT(Equipo!$F$4&amp;"!"&amp;ADDRESS(10,COLUMN(H$9)+10)&amp;":"&amp;ADDRESS(1000,COLUMN(H$9)+10))),
SUMIF(INDIRECT(Equipo!$G$4&amp;"!B10:B1000"),$B172,INDIRECT(Equipo!$G$4&amp;"!"&amp;ADDRESS(10,COLUMN(H$9)+10)&amp;":"&amp;ADDRESS(1000,COLUMN(H$9)+10)))
))</f>
        <v>-</v>
      </c>
      <c r="I172" s="19" t="str">
        <f t="array" ref="I172">IF(ISBLANK(Tareas!$B168),"-",
SUM(
SUMIF(INDIRECT(Equipo!$C$4&amp;"!B10:B1000"),$B172,INDIRECT(Equipo!$C$4&amp;"!"&amp;ADDRESS(10,COLUMN(I$9)+10)&amp;":"&amp;ADDRESS(1000,COLUMN(I$9)+10))),
SUMIF(INDIRECT(Equipo!$D$4&amp;"!B10:B1000"),$B172,INDIRECT(Equipo!$D$4&amp;"!"&amp;ADDRESS(10,COLUMN(I$9)+10)&amp;":"&amp;ADDRESS(1000,COLUMN(I$9)+10))),
SUMIF(INDIRECT(Equipo!$E$4&amp;"!B10:B1000"),$B172,INDIRECT(Equipo!$E$4&amp;"!"&amp;ADDRESS(10,COLUMN(I$9)+10)&amp;":"&amp;ADDRESS(1000,COLUMN(I$9)+10))),
SUMIF(INDIRECT(Equipo!$F$4&amp;"!B10:B1000"),$B172,INDIRECT(Equipo!$F$4&amp;"!"&amp;ADDRESS(10,COLUMN(I$9)+10)&amp;":"&amp;ADDRESS(1000,COLUMN(I$9)+10))),
SUMIF(INDIRECT(Equipo!$G$4&amp;"!B10:B1000"),$B172,INDIRECT(Equipo!$G$4&amp;"!"&amp;ADDRESS(10,COLUMN(I$9)+10)&amp;":"&amp;ADDRESS(1000,COLUMN(I$9)+10)))
))</f>
        <v>-</v>
      </c>
      <c r="J172" s="19" t="str">
        <f t="array" ref="J172">IF(ISBLANK(Tareas!$B168),"-",
SUM(
SUMIF(INDIRECT(Equipo!$C$4&amp;"!B10:B1000"),$B172,INDIRECT(Equipo!$C$4&amp;"!"&amp;ADDRESS(10,COLUMN(J$9)+10)&amp;":"&amp;ADDRESS(1000,COLUMN(J$9)+10))),
SUMIF(INDIRECT(Equipo!$D$4&amp;"!B10:B1000"),$B172,INDIRECT(Equipo!$D$4&amp;"!"&amp;ADDRESS(10,COLUMN(J$9)+10)&amp;":"&amp;ADDRESS(1000,COLUMN(J$9)+10))),
SUMIF(INDIRECT(Equipo!$E$4&amp;"!B10:B1000"),$B172,INDIRECT(Equipo!$E$4&amp;"!"&amp;ADDRESS(10,COLUMN(J$9)+10)&amp;":"&amp;ADDRESS(1000,COLUMN(J$9)+10))),
SUMIF(INDIRECT(Equipo!$F$4&amp;"!B10:B1000"),$B172,INDIRECT(Equipo!$F$4&amp;"!"&amp;ADDRESS(10,COLUMN(J$9)+10)&amp;":"&amp;ADDRESS(1000,COLUMN(J$9)+10))),
SUMIF(INDIRECT(Equipo!$G$4&amp;"!B10:B1000"),$B172,INDIRECT(Equipo!$G$4&amp;"!"&amp;ADDRESS(10,COLUMN(J$9)+10)&amp;":"&amp;ADDRESS(1000,COLUMN(J$9)+10)))
))</f>
        <v>-</v>
      </c>
      <c r="K172" s="19" t="str">
        <f t="array" ref="K172">IF(ISBLANK(Tareas!$B168),"-",
SUM(
SUMIF(INDIRECT(Equipo!$C$4&amp;"!B10:B1000"),$B172,INDIRECT(Equipo!$C$4&amp;"!"&amp;ADDRESS(10,COLUMN(K$9)+10)&amp;":"&amp;ADDRESS(1000,COLUMN(K$9)+10))),
SUMIF(INDIRECT(Equipo!$D$4&amp;"!B10:B1000"),$B172,INDIRECT(Equipo!$D$4&amp;"!"&amp;ADDRESS(10,COLUMN(K$9)+10)&amp;":"&amp;ADDRESS(1000,COLUMN(K$9)+10))),
SUMIF(INDIRECT(Equipo!$E$4&amp;"!B10:B1000"),$B172,INDIRECT(Equipo!$E$4&amp;"!"&amp;ADDRESS(10,COLUMN(K$9)+10)&amp;":"&amp;ADDRESS(1000,COLUMN(K$9)+10))),
SUMIF(INDIRECT(Equipo!$F$4&amp;"!B10:B1000"),$B172,INDIRECT(Equipo!$F$4&amp;"!"&amp;ADDRESS(10,COLUMN(K$9)+10)&amp;":"&amp;ADDRESS(1000,COLUMN(K$9)+10))),
SUMIF(INDIRECT(Equipo!$G$4&amp;"!B10:B1000"),$B172,INDIRECT(Equipo!$G$4&amp;"!"&amp;ADDRESS(10,COLUMN(K$9)+10)&amp;":"&amp;ADDRESS(1000,COLUMN(K$9)+10)))
))</f>
        <v>-</v>
      </c>
    </row>
    <row r="173" ht="15.75" customHeight="1">
      <c r="C173" s="19" t="str">
        <f>IF(ISBLANK(Tareas!$B169),"-",SUM(D173:K173))</f>
        <v>-</v>
      </c>
      <c r="D173" s="19" t="str">
        <f t="array" ref="D173">IF(ISBLANK(Tareas!$B169),"-",
SUM(
SUMIF(INDIRECT(Equipo!$C$4&amp;"!B10:B1000"),$B173,INDIRECT(Equipo!$C$4&amp;"!"&amp;ADDRESS(10,COLUMN(D$9)+10)&amp;":"&amp;ADDRESS(1000,COLUMN(D$9)+10))),
SUMIF(INDIRECT(Equipo!$D$4&amp;"!B10:B1000"),$B173,INDIRECT(Equipo!$D$4&amp;"!"&amp;ADDRESS(10,COLUMN(D$9)+10)&amp;":"&amp;ADDRESS(1000,COLUMN(D$9)+10))),
SUMIF(INDIRECT(Equipo!$E$4&amp;"!B10:B1000"),$B173,INDIRECT(Equipo!$E$4&amp;"!"&amp;ADDRESS(10,COLUMN(D$9)+10)&amp;":"&amp;ADDRESS(1000,COLUMN(D$9)+10))),
SUMIF(INDIRECT(Equipo!$F$4&amp;"!B10:B1000"),$B173,INDIRECT(Equipo!$F$4&amp;"!"&amp;ADDRESS(10,COLUMN(D$9)+10)&amp;":"&amp;ADDRESS(1000,COLUMN(D$9)+10))),
SUMIF(INDIRECT(Equipo!$G$4&amp;"!B10:B1000"),$B173,INDIRECT(Equipo!$G$4&amp;"!"&amp;ADDRESS(10,COLUMN(D$9)+10)&amp;":"&amp;ADDRESS(1000,COLUMN(D$9)+10)))
))</f>
        <v>-</v>
      </c>
      <c r="E173" s="19" t="str">
        <f t="array" ref="E173">IF(ISBLANK(Tareas!$B169),"-",
SUM(
SUMIF(INDIRECT(Equipo!$C$4&amp;"!B10:B1000"),$B173,INDIRECT(Equipo!$C$4&amp;"!"&amp;ADDRESS(10,COLUMN(E$9)+10)&amp;":"&amp;ADDRESS(1000,COLUMN(E$9)+10))),
SUMIF(INDIRECT(Equipo!$D$4&amp;"!B10:B1000"),$B173,INDIRECT(Equipo!$D$4&amp;"!"&amp;ADDRESS(10,COLUMN(E$9)+10)&amp;":"&amp;ADDRESS(1000,COLUMN(E$9)+10))),
SUMIF(INDIRECT(Equipo!$E$4&amp;"!B10:B1000"),$B173,INDIRECT(Equipo!$E$4&amp;"!"&amp;ADDRESS(10,COLUMN(E$9)+10)&amp;":"&amp;ADDRESS(1000,COLUMN(E$9)+10))),
SUMIF(INDIRECT(Equipo!$F$4&amp;"!B10:B1000"),$B173,INDIRECT(Equipo!$F$4&amp;"!"&amp;ADDRESS(10,COLUMN(E$9)+10)&amp;":"&amp;ADDRESS(1000,COLUMN(E$9)+10))),
SUMIF(INDIRECT(Equipo!$G$4&amp;"!B10:B1000"),$B173,INDIRECT(Equipo!$G$4&amp;"!"&amp;ADDRESS(10,COLUMN(E$9)+10)&amp;":"&amp;ADDRESS(1000,COLUMN(E$9)+10)))
))</f>
        <v>-</v>
      </c>
      <c r="F173" s="19" t="str">
        <f t="array" ref="F173">IF(ISBLANK(Tareas!$B169),"-",
SUM(
SUMIF(INDIRECT(Equipo!$C$4&amp;"!B10:B1000"),$B173,INDIRECT(Equipo!$C$4&amp;"!"&amp;ADDRESS(10,COLUMN(F$9)+10)&amp;":"&amp;ADDRESS(1000,COLUMN(F$9)+10))),
SUMIF(INDIRECT(Equipo!$D$4&amp;"!B10:B1000"),$B173,INDIRECT(Equipo!$D$4&amp;"!"&amp;ADDRESS(10,COLUMN(F$9)+10)&amp;":"&amp;ADDRESS(1000,COLUMN(F$9)+10))),
SUMIF(INDIRECT(Equipo!$E$4&amp;"!B10:B1000"),$B173,INDIRECT(Equipo!$E$4&amp;"!"&amp;ADDRESS(10,COLUMN(F$9)+10)&amp;":"&amp;ADDRESS(1000,COLUMN(F$9)+10))),
SUMIF(INDIRECT(Equipo!$F$4&amp;"!B10:B1000"),$B173,INDIRECT(Equipo!$F$4&amp;"!"&amp;ADDRESS(10,COLUMN(F$9)+10)&amp;":"&amp;ADDRESS(1000,COLUMN(F$9)+10))),
SUMIF(INDIRECT(Equipo!$G$4&amp;"!B10:B1000"),$B173,INDIRECT(Equipo!$G$4&amp;"!"&amp;ADDRESS(10,COLUMN(F$9)+10)&amp;":"&amp;ADDRESS(1000,COLUMN(F$9)+10)))
))</f>
        <v>-</v>
      </c>
      <c r="G173" s="19" t="str">
        <f t="array" ref="G173">IF(ISBLANK(Tareas!$B169),"-",
SUM(
SUMIF(INDIRECT(Equipo!$C$4&amp;"!B10:B1000"),$B173,INDIRECT(Equipo!$C$4&amp;"!"&amp;ADDRESS(10,COLUMN(G$9)+10)&amp;":"&amp;ADDRESS(1000,COLUMN(G$9)+10))),
SUMIF(INDIRECT(Equipo!$D$4&amp;"!B10:B1000"),$B173,INDIRECT(Equipo!$D$4&amp;"!"&amp;ADDRESS(10,COLUMN(G$9)+10)&amp;":"&amp;ADDRESS(1000,COLUMN(G$9)+10))),
SUMIF(INDIRECT(Equipo!$E$4&amp;"!B10:B1000"),$B173,INDIRECT(Equipo!$E$4&amp;"!"&amp;ADDRESS(10,COLUMN(G$9)+10)&amp;":"&amp;ADDRESS(1000,COLUMN(G$9)+10))),
SUMIF(INDIRECT(Equipo!$F$4&amp;"!B10:B1000"),$B173,INDIRECT(Equipo!$F$4&amp;"!"&amp;ADDRESS(10,COLUMN(G$9)+10)&amp;":"&amp;ADDRESS(1000,COLUMN(G$9)+10))),
SUMIF(INDIRECT(Equipo!$G$4&amp;"!B10:B1000"),$B173,INDIRECT(Equipo!$G$4&amp;"!"&amp;ADDRESS(10,COLUMN(G$9)+10)&amp;":"&amp;ADDRESS(1000,COLUMN(G$9)+10)))
))</f>
        <v>-</v>
      </c>
      <c r="H173" s="19" t="str">
        <f t="array" ref="H173">IF(ISBLANK(Tareas!$B169),"-",
SUM(
SUMIF(INDIRECT(Equipo!$C$4&amp;"!B10:B1000"),$B173,INDIRECT(Equipo!$C$4&amp;"!"&amp;ADDRESS(10,COLUMN(H$9)+10)&amp;":"&amp;ADDRESS(1000,COLUMN(H$9)+10))),
SUMIF(INDIRECT(Equipo!$D$4&amp;"!B10:B1000"),$B173,INDIRECT(Equipo!$D$4&amp;"!"&amp;ADDRESS(10,COLUMN(H$9)+10)&amp;":"&amp;ADDRESS(1000,COLUMN(H$9)+10))),
SUMIF(INDIRECT(Equipo!$E$4&amp;"!B10:B1000"),$B173,INDIRECT(Equipo!$E$4&amp;"!"&amp;ADDRESS(10,COLUMN(H$9)+10)&amp;":"&amp;ADDRESS(1000,COLUMN(H$9)+10))),
SUMIF(INDIRECT(Equipo!$F$4&amp;"!B10:B1000"),$B173,INDIRECT(Equipo!$F$4&amp;"!"&amp;ADDRESS(10,COLUMN(H$9)+10)&amp;":"&amp;ADDRESS(1000,COLUMN(H$9)+10))),
SUMIF(INDIRECT(Equipo!$G$4&amp;"!B10:B1000"),$B173,INDIRECT(Equipo!$G$4&amp;"!"&amp;ADDRESS(10,COLUMN(H$9)+10)&amp;":"&amp;ADDRESS(1000,COLUMN(H$9)+10)))
))</f>
        <v>-</v>
      </c>
      <c r="I173" s="19" t="str">
        <f t="array" ref="I173">IF(ISBLANK(Tareas!$B169),"-",
SUM(
SUMIF(INDIRECT(Equipo!$C$4&amp;"!B10:B1000"),$B173,INDIRECT(Equipo!$C$4&amp;"!"&amp;ADDRESS(10,COLUMN(I$9)+10)&amp;":"&amp;ADDRESS(1000,COLUMN(I$9)+10))),
SUMIF(INDIRECT(Equipo!$D$4&amp;"!B10:B1000"),$B173,INDIRECT(Equipo!$D$4&amp;"!"&amp;ADDRESS(10,COLUMN(I$9)+10)&amp;":"&amp;ADDRESS(1000,COLUMN(I$9)+10))),
SUMIF(INDIRECT(Equipo!$E$4&amp;"!B10:B1000"),$B173,INDIRECT(Equipo!$E$4&amp;"!"&amp;ADDRESS(10,COLUMN(I$9)+10)&amp;":"&amp;ADDRESS(1000,COLUMN(I$9)+10))),
SUMIF(INDIRECT(Equipo!$F$4&amp;"!B10:B1000"),$B173,INDIRECT(Equipo!$F$4&amp;"!"&amp;ADDRESS(10,COLUMN(I$9)+10)&amp;":"&amp;ADDRESS(1000,COLUMN(I$9)+10))),
SUMIF(INDIRECT(Equipo!$G$4&amp;"!B10:B1000"),$B173,INDIRECT(Equipo!$G$4&amp;"!"&amp;ADDRESS(10,COLUMN(I$9)+10)&amp;":"&amp;ADDRESS(1000,COLUMN(I$9)+10)))
))</f>
        <v>-</v>
      </c>
      <c r="J173" s="19" t="str">
        <f t="array" ref="J173">IF(ISBLANK(Tareas!$B169),"-",
SUM(
SUMIF(INDIRECT(Equipo!$C$4&amp;"!B10:B1000"),$B173,INDIRECT(Equipo!$C$4&amp;"!"&amp;ADDRESS(10,COLUMN(J$9)+10)&amp;":"&amp;ADDRESS(1000,COLUMN(J$9)+10))),
SUMIF(INDIRECT(Equipo!$D$4&amp;"!B10:B1000"),$B173,INDIRECT(Equipo!$D$4&amp;"!"&amp;ADDRESS(10,COLUMN(J$9)+10)&amp;":"&amp;ADDRESS(1000,COLUMN(J$9)+10))),
SUMIF(INDIRECT(Equipo!$E$4&amp;"!B10:B1000"),$B173,INDIRECT(Equipo!$E$4&amp;"!"&amp;ADDRESS(10,COLUMN(J$9)+10)&amp;":"&amp;ADDRESS(1000,COLUMN(J$9)+10))),
SUMIF(INDIRECT(Equipo!$F$4&amp;"!B10:B1000"),$B173,INDIRECT(Equipo!$F$4&amp;"!"&amp;ADDRESS(10,COLUMN(J$9)+10)&amp;":"&amp;ADDRESS(1000,COLUMN(J$9)+10))),
SUMIF(INDIRECT(Equipo!$G$4&amp;"!B10:B1000"),$B173,INDIRECT(Equipo!$G$4&amp;"!"&amp;ADDRESS(10,COLUMN(J$9)+10)&amp;":"&amp;ADDRESS(1000,COLUMN(J$9)+10)))
))</f>
        <v>-</v>
      </c>
      <c r="K173" s="19" t="str">
        <f t="array" ref="K173">IF(ISBLANK(Tareas!$B169),"-",
SUM(
SUMIF(INDIRECT(Equipo!$C$4&amp;"!B10:B1000"),$B173,INDIRECT(Equipo!$C$4&amp;"!"&amp;ADDRESS(10,COLUMN(K$9)+10)&amp;":"&amp;ADDRESS(1000,COLUMN(K$9)+10))),
SUMIF(INDIRECT(Equipo!$D$4&amp;"!B10:B1000"),$B173,INDIRECT(Equipo!$D$4&amp;"!"&amp;ADDRESS(10,COLUMN(K$9)+10)&amp;":"&amp;ADDRESS(1000,COLUMN(K$9)+10))),
SUMIF(INDIRECT(Equipo!$E$4&amp;"!B10:B1000"),$B173,INDIRECT(Equipo!$E$4&amp;"!"&amp;ADDRESS(10,COLUMN(K$9)+10)&amp;":"&amp;ADDRESS(1000,COLUMN(K$9)+10))),
SUMIF(INDIRECT(Equipo!$F$4&amp;"!B10:B1000"),$B173,INDIRECT(Equipo!$F$4&amp;"!"&amp;ADDRESS(10,COLUMN(K$9)+10)&amp;":"&amp;ADDRESS(1000,COLUMN(K$9)+10))),
SUMIF(INDIRECT(Equipo!$G$4&amp;"!B10:B1000"),$B173,INDIRECT(Equipo!$G$4&amp;"!"&amp;ADDRESS(10,COLUMN(K$9)+10)&amp;":"&amp;ADDRESS(1000,COLUMN(K$9)+10)))
))</f>
        <v>-</v>
      </c>
    </row>
    <row r="174" ht="15.75" customHeight="1">
      <c r="C174" s="19" t="str">
        <f>IF(ISBLANK(Tareas!$B170),"-",SUM(D174:K174))</f>
        <v>-</v>
      </c>
      <c r="D174" s="19" t="str">
        <f t="array" ref="D174">IF(ISBLANK(Tareas!$B170),"-",
SUM(
SUMIF(INDIRECT(Equipo!$C$4&amp;"!B10:B1000"),$B174,INDIRECT(Equipo!$C$4&amp;"!"&amp;ADDRESS(10,COLUMN(D$9)+10)&amp;":"&amp;ADDRESS(1000,COLUMN(D$9)+10))),
SUMIF(INDIRECT(Equipo!$D$4&amp;"!B10:B1000"),$B174,INDIRECT(Equipo!$D$4&amp;"!"&amp;ADDRESS(10,COLUMN(D$9)+10)&amp;":"&amp;ADDRESS(1000,COLUMN(D$9)+10))),
SUMIF(INDIRECT(Equipo!$E$4&amp;"!B10:B1000"),$B174,INDIRECT(Equipo!$E$4&amp;"!"&amp;ADDRESS(10,COLUMN(D$9)+10)&amp;":"&amp;ADDRESS(1000,COLUMN(D$9)+10))),
SUMIF(INDIRECT(Equipo!$F$4&amp;"!B10:B1000"),$B174,INDIRECT(Equipo!$F$4&amp;"!"&amp;ADDRESS(10,COLUMN(D$9)+10)&amp;":"&amp;ADDRESS(1000,COLUMN(D$9)+10))),
SUMIF(INDIRECT(Equipo!$G$4&amp;"!B10:B1000"),$B174,INDIRECT(Equipo!$G$4&amp;"!"&amp;ADDRESS(10,COLUMN(D$9)+10)&amp;":"&amp;ADDRESS(1000,COLUMN(D$9)+10)))
))</f>
        <v>-</v>
      </c>
      <c r="E174" s="19" t="str">
        <f t="array" ref="E174">IF(ISBLANK(Tareas!$B170),"-",
SUM(
SUMIF(INDIRECT(Equipo!$C$4&amp;"!B10:B1000"),$B174,INDIRECT(Equipo!$C$4&amp;"!"&amp;ADDRESS(10,COLUMN(E$9)+10)&amp;":"&amp;ADDRESS(1000,COLUMN(E$9)+10))),
SUMIF(INDIRECT(Equipo!$D$4&amp;"!B10:B1000"),$B174,INDIRECT(Equipo!$D$4&amp;"!"&amp;ADDRESS(10,COLUMN(E$9)+10)&amp;":"&amp;ADDRESS(1000,COLUMN(E$9)+10))),
SUMIF(INDIRECT(Equipo!$E$4&amp;"!B10:B1000"),$B174,INDIRECT(Equipo!$E$4&amp;"!"&amp;ADDRESS(10,COLUMN(E$9)+10)&amp;":"&amp;ADDRESS(1000,COLUMN(E$9)+10))),
SUMIF(INDIRECT(Equipo!$F$4&amp;"!B10:B1000"),$B174,INDIRECT(Equipo!$F$4&amp;"!"&amp;ADDRESS(10,COLUMN(E$9)+10)&amp;":"&amp;ADDRESS(1000,COLUMN(E$9)+10))),
SUMIF(INDIRECT(Equipo!$G$4&amp;"!B10:B1000"),$B174,INDIRECT(Equipo!$G$4&amp;"!"&amp;ADDRESS(10,COLUMN(E$9)+10)&amp;":"&amp;ADDRESS(1000,COLUMN(E$9)+10)))
))</f>
        <v>-</v>
      </c>
      <c r="F174" s="19" t="str">
        <f t="array" ref="F174">IF(ISBLANK(Tareas!$B170),"-",
SUM(
SUMIF(INDIRECT(Equipo!$C$4&amp;"!B10:B1000"),$B174,INDIRECT(Equipo!$C$4&amp;"!"&amp;ADDRESS(10,COLUMN(F$9)+10)&amp;":"&amp;ADDRESS(1000,COLUMN(F$9)+10))),
SUMIF(INDIRECT(Equipo!$D$4&amp;"!B10:B1000"),$B174,INDIRECT(Equipo!$D$4&amp;"!"&amp;ADDRESS(10,COLUMN(F$9)+10)&amp;":"&amp;ADDRESS(1000,COLUMN(F$9)+10))),
SUMIF(INDIRECT(Equipo!$E$4&amp;"!B10:B1000"),$B174,INDIRECT(Equipo!$E$4&amp;"!"&amp;ADDRESS(10,COLUMN(F$9)+10)&amp;":"&amp;ADDRESS(1000,COLUMN(F$9)+10))),
SUMIF(INDIRECT(Equipo!$F$4&amp;"!B10:B1000"),$B174,INDIRECT(Equipo!$F$4&amp;"!"&amp;ADDRESS(10,COLUMN(F$9)+10)&amp;":"&amp;ADDRESS(1000,COLUMN(F$9)+10))),
SUMIF(INDIRECT(Equipo!$G$4&amp;"!B10:B1000"),$B174,INDIRECT(Equipo!$G$4&amp;"!"&amp;ADDRESS(10,COLUMN(F$9)+10)&amp;":"&amp;ADDRESS(1000,COLUMN(F$9)+10)))
))</f>
        <v>-</v>
      </c>
      <c r="G174" s="19" t="str">
        <f t="array" ref="G174">IF(ISBLANK(Tareas!$B170),"-",
SUM(
SUMIF(INDIRECT(Equipo!$C$4&amp;"!B10:B1000"),$B174,INDIRECT(Equipo!$C$4&amp;"!"&amp;ADDRESS(10,COLUMN(G$9)+10)&amp;":"&amp;ADDRESS(1000,COLUMN(G$9)+10))),
SUMIF(INDIRECT(Equipo!$D$4&amp;"!B10:B1000"),$B174,INDIRECT(Equipo!$D$4&amp;"!"&amp;ADDRESS(10,COLUMN(G$9)+10)&amp;":"&amp;ADDRESS(1000,COLUMN(G$9)+10))),
SUMIF(INDIRECT(Equipo!$E$4&amp;"!B10:B1000"),$B174,INDIRECT(Equipo!$E$4&amp;"!"&amp;ADDRESS(10,COLUMN(G$9)+10)&amp;":"&amp;ADDRESS(1000,COLUMN(G$9)+10))),
SUMIF(INDIRECT(Equipo!$F$4&amp;"!B10:B1000"),$B174,INDIRECT(Equipo!$F$4&amp;"!"&amp;ADDRESS(10,COLUMN(G$9)+10)&amp;":"&amp;ADDRESS(1000,COLUMN(G$9)+10))),
SUMIF(INDIRECT(Equipo!$G$4&amp;"!B10:B1000"),$B174,INDIRECT(Equipo!$G$4&amp;"!"&amp;ADDRESS(10,COLUMN(G$9)+10)&amp;":"&amp;ADDRESS(1000,COLUMN(G$9)+10)))
))</f>
        <v>-</v>
      </c>
      <c r="H174" s="19" t="str">
        <f t="array" ref="H174">IF(ISBLANK(Tareas!$B170),"-",
SUM(
SUMIF(INDIRECT(Equipo!$C$4&amp;"!B10:B1000"),$B174,INDIRECT(Equipo!$C$4&amp;"!"&amp;ADDRESS(10,COLUMN(H$9)+10)&amp;":"&amp;ADDRESS(1000,COLUMN(H$9)+10))),
SUMIF(INDIRECT(Equipo!$D$4&amp;"!B10:B1000"),$B174,INDIRECT(Equipo!$D$4&amp;"!"&amp;ADDRESS(10,COLUMN(H$9)+10)&amp;":"&amp;ADDRESS(1000,COLUMN(H$9)+10))),
SUMIF(INDIRECT(Equipo!$E$4&amp;"!B10:B1000"),$B174,INDIRECT(Equipo!$E$4&amp;"!"&amp;ADDRESS(10,COLUMN(H$9)+10)&amp;":"&amp;ADDRESS(1000,COLUMN(H$9)+10))),
SUMIF(INDIRECT(Equipo!$F$4&amp;"!B10:B1000"),$B174,INDIRECT(Equipo!$F$4&amp;"!"&amp;ADDRESS(10,COLUMN(H$9)+10)&amp;":"&amp;ADDRESS(1000,COLUMN(H$9)+10))),
SUMIF(INDIRECT(Equipo!$G$4&amp;"!B10:B1000"),$B174,INDIRECT(Equipo!$G$4&amp;"!"&amp;ADDRESS(10,COLUMN(H$9)+10)&amp;":"&amp;ADDRESS(1000,COLUMN(H$9)+10)))
))</f>
        <v>-</v>
      </c>
      <c r="I174" s="19" t="str">
        <f t="array" ref="I174">IF(ISBLANK(Tareas!$B170),"-",
SUM(
SUMIF(INDIRECT(Equipo!$C$4&amp;"!B10:B1000"),$B174,INDIRECT(Equipo!$C$4&amp;"!"&amp;ADDRESS(10,COLUMN(I$9)+10)&amp;":"&amp;ADDRESS(1000,COLUMN(I$9)+10))),
SUMIF(INDIRECT(Equipo!$D$4&amp;"!B10:B1000"),$B174,INDIRECT(Equipo!$D$4&amp;"!"&amp;ADDRESS(10,COLUMN(I$9)+10)&amp;":"&amp;ADDRESS(1000,COLUMN(I$9)+10))),
SUMIF(INDIRECT(Equipo!$E$4&amp;"!B10:B1000"),$B174,INDIRECT(Equipo!$E$4&amp;"!"&amp;ADDRESS(10,COLUMN(I$9)+10)&amp;":"&amp;ADDRESS(1000,COLUMN(I$9)+10))),
SUMIF(INDIRECT(Equipo!$F$4&amp;"!B10:B1000"),$B174,INDIRECT(Equipo!$F$4&amp;"!"&amp;ADDRESS(10,COLUMN(I$9)+10)&amp;":"&amp;ADDRESS(1000,COLUMN(I$9)+10))),
SUMIF(INDIRECT(Equipo!$G$4&amp;"!B10:B1000"),$B174,INDIRECT(Equipo!$G$4&amp;"!"&amp;ADDRESS(10,COLUMN(I$9)+10)&amp;":"&amp;ADDRESS(1000,COLUMN(I$9)+10)))
))</f>
        <v>-</v>
      </c>
      <c r="J174" s="19" t="str">
        <f t="array" ref="J174">IF(ISBLANK(Tareas!$B170),"-",
SUM(
SUMIF(INDIRECT(Equipo!$C$4&amp;"!B10:B1000"),$B174,INDIRECT(Equipo!$C$4&amp;"!"&amp;ADDRESS(10,COLUMN(J$9)+10)&amp;":"&amp;ADDRESS(1000,COLUMN(J$9)+10))),
SUMIF(INDIRECT(Equipo!$D$4&amp;"!B10:B1000"),$B174,INDIRECT(Equipo!$D$4&amp;"!"&amp;ADDRESS(10,COLUMN(J$9)+10)&amp;":"&amp;ADDRESS(1000,COLUMN(J$9)+10))),
SUMIF(INDIRECT(Equipo!$E$4&amp;"!B10:B1000"),$B174,INDIRECT(Equipo!$E$4&amp;"!"&amp;ADDRESS(10,COLUMN(J$9)+10)&amp;":"&amp;ADDRESS(1000,COLUMN(J$9)+10))),
SUMIF(INDIRECT(Equipo!$F$4&amp;"!B10:B1000"),$B174,INDIRECT(Equipo!$F$4&amp;"!"&amp;ADDRESS(10,COLUMN(J$9)+10)&amp;":"&amp;ADDRESS(1000,COLUMN(J$9)+10))),
SUMIF(INDIRECT(Equipo!$G$4&amp;"!B10:B1000"),$B174,INDIRECT(Equipo!$G$4&amp;"!"&amp;ADDRESS(10,COLUMN(J$9)+10)&amp;":"&amp;ADDRESS(1000,COLUMN(J$9)+10)))
))</f>
        <v>-</v>
      </c>
      <c r="K174" s="19" t="str">
        <f t="array" ref="K174">IF(ISBLANK(Tareas!$B170),"-",
SUM(
SUMIF(INDIRECT(Equipo!$C$4&amp;"!B10:B1000"),$B174,INDIRECT(Equipo!$C$4&amp;"!"&amp;ADDRESS(10,COLUMN(K$9)+10)&amp;":"&amp;ADDRESS(1000,COLUMN(K$9)+10))),
SUMIF(INDIRECT(Equipo!$D$4&amp;"!B10:B1000"),$B174,INDIRECT(Equipo!$D$4&amp;"!"&amp;ADDRESS(10,COLUMN(K$9)+10)&amp;":"&amp;ADDRESS(1000,COLUMN(K$9)+10))),
SUMIF(INDIRECT(Equipo!$E$4&amp;"!B10:B1000"),$B174,INDIRECT(Equipo!$E$4&amp;"!"&amp;ADDRESS(10,COLUMN(K$9)+10)&amp;":"&amp;ADDRESS(1000,COLUMN(K$9)+10))),
SUMIF(INDIRECT(Equipo!$F$4&amp;"!B10:B1000"),$B174,INDIRECT(Equipo!$F$4&amp;"!"&amp;ADDRESS(10,COLUMN(K$9)+10)&amp;":"&amp;ADDRESS(1000,COLUMN(K$9)+10))),
SUMIF(INDIRECT(Equipo!$G$4&amp;"!B10:B1000"),$B174,INDIRECT(Equipo!$G$4&amp;"!"&amp;ADDRESS(10,COLUMN(K$9)+10)&amp;":"&amp;ADDRESS(1000,COLUMN(K$9)+10)))
))</f>
        <v>-</v>
      </c>
    </row>
    <row r="175" ht="15.75" customHeight="1">
      <c r="C175" s="19" t="str">
        <f>IF(ISBLANK(Tareas!$B171),"-",SUM(D175:K175))</f>
        <v>-</v>
      </c>
      <c r="D175" s="19" t="str">
        <f t="array" ref="D175">IF(ISBLANK(Tareas!$B171),"-",
SUM(
SUMIF(INDIRECT(Equipo!$C$4&amp;"!B10:B1000"),$B175,INDIRECT(Equipo!$C$4&amp;"!"&amp;ADDRESS(10,COLUMN(D$9)+10)&amp;":"&amp;ADDRESS(1000,COLUMN(D$9)+10))),
SUMIF(INDIRECT(Equipo!$D$4&amp;"!B10:B1000"),$B175,INDIRECT(Equipo!$D$4&amp;"!"&amp;ADDRESS(10,COLUMN(D$9)+10)&amp;":"&amp;ADDRESS(1000,COLUMN(D$9)+10))),
SUMIF(INDIRECT(Equipo!$E$4&amp;"!B10:B1000"),$B175,INDIRECT(Equipo!$E$4&amp;"!"&amp;ADDRESS(10,COLUMN(D$9)+10)&amp;":"&amp;ADDRESS(1000,COLUMN(D$9)+10))),
SUMIF(INDIRECT(Equipo!$F$4&amp;"!B10:B1000"),$B175,INDIRECT(Equipo!$F$4&amp;"!"&amp;ADDRESS(10,COLUMN(D$9)+10)&amp;":"&amp;ADDRESS(1000,COLUMN(D$9)+10))),
SUMIF(INDIRECT(Equipo!$G$4&amp;"!B10:B1000"),$B175,INDIRECT(Equipo!$G$4&amp;"!"&amp;ADDRESS(10,COLUMN(D$9)+10)&amp;":"&amp;ADDRESS(1000,COLUMN(D$9)+10)))
))</f>
        <v>-</v>
      </c>
      <c r="E175" s="19" t="str">
        <f t="array" ref="E175">IF(ISBLANK(Tareas!$B171),"-",
SUM(
SUMIF(INDIRECT(Equipo!$C$4&amp;"!B10:B1000"),$B175,INDIRECT(Equipo!$C$4&amp;"!"&amp;ADDRESS(10,COLUMN(E$9)+10)&amp;":"&amp;ADDRESS(1000,COLUMN(E$9)+10))),
SUMIF(INDIRECT(Equipo!$D$4&amp;"!B10:B1000"),$B175,INDIRECT(Equipo!$D$4&amp;"!"&amp;ADDRESS(10,COLUMN(E$9)+10)&amp;":"&amp;ADDRESS(1000,COLUMN(E$9)+10))),
SUMIF(INDIRECT(Equipo!$E$4&amp;"!B10:B1000"),$B175,INDIRECT(Equipo!$E$4&amp;"!"&amp;ADDRESS(10,COLUMN(E$9)+10)&amp;":"&amp;ADDRESS(1000,COLUMN(E$9)+10))),
SUMIF(INDIRECT(Equipo!$F$4&amp;"!B10:B1000"),$B175,INDIRECT(Equipo!$F$4&amp;"!"&amp;ADDRESS(10,COLUMN(E$9)+10)&amp;":"&amp;ADDRESS(1000,COLUMN(E$9)+10))),
SUMIF(INDIRECT(Equipo!$G$4&amp;"!B10:B1000"),$B175,INDIRECT(Equipo!$G$4&amp;"!"&amp;ADDRESS(10,COLUMN(E$9)+10)&amp;":"&amp;ADDRESS(1000,COLUMN(E$9)+10)))
))</f>
        <v>-</v>
      </c>
      <c r="F175" s="19" t="str">
        <f t="array" ref="F175">IF(ISBLANK(Tareas!$B171),"-",
SUM(
SUMIF(INDIRECT(Equipo!$C$4&amp;"!B10:B1000"),$B175,INDIRECT(Equipo!$C$4&amp;"!"&amp;ADDRESS(10,COLUMN(F$9)+10)&amp;":"&amp;ADDRESS(1000,COLUMN(F$9)+10))),
SUMIF(INDIRECT(Equipo!$D$4&amp;"!B10:B1000"),$B175,INDIRECT(Equipo!$D$4&amp;"!"&amp;ADDRESS(10,COLUMN(F$9)+10)&amp;":"&amp;ADDRESS(1000,COLUMN(F$9)+10))),
SUMIF(INDIRECT(Equipo!$E$4&amp;"!B10:B1000"),$B175,INDIRECT(Equipo!$E$4&amp;"!"&amp;ADDRESS(10,COLUMN(F$9)+10)&amp;":"&amp;ADDRESS(1000,COLUMN(F$9)+10))),
SUMIF(INDIRECT(Equipo!$F$4&amp;"!B10:B1000"),$B175,INDIRECT(Equipo!$F$4&amp;"!"&amp;ADDRESS(10,COLUMN(F$9)+10)&amp;":"&amp;ADDRESS(1000,COLUMN(F$9)+10))),
SUMIF(INDIRECT(Equipo!$G$4&amp;"!B10:B1000"),$B175,INDIRECT(Equipo!$G$4&amp;"!"&amp;ADDRESS(10,COLUMN(F$9)+10)&amp;":"&amp;ADDRESS(1000,COLUMN(F$9)+10)))
))</f>
        <v>-</v>
      </c>
      <c r="G175" s="19" t="str">
        <f t="array" ref="G175">IF(ISBLANK(Tareas!$B171),"-",
SUM(
SUMIF(INDIRECT(Equipo!$C$4&amp;"!B10:B1000"),$B175,INDIRECT(Equipo!$C$4&amp;"!"&amp;ADDRESS(10,COLUMN(G$9)+10)&amp;":"&amp;ADDRESS(1000,COLUMN(G$9)+10))),
SUMIF(INDIRECT(Equipo!$D$4&amp;"!B10:B1000"),$B175,INDIRECT(Equipo!$D$4&amp;"!"&amp;ADDRESS(10,COLUMN(G$9)+10)&amp;":"&amp;ADDRESS(1000,COLUMN(G$9)+10))),
SUMIF(INDIRECT(Equipo!$E$4&amp;"!B10:B1000"),$B175,INDIRECT(Equipo!$E$4&amp;"!"&amp;ADDRESS(10,COLUMN(G$9)+10)&amp;":"&amp;ADDRESS(1000,COLUMN(G$9)+10))),
SUMIF(INDIRECT(Equipo!$F$4&amp;"!B10:B1000"),$B175,INDIRECT(Equipo!$F$4&amp;"!"&amp;ADDRESS(10,COLUMN(G$9)+10)&amp;":"&amp;ADDRESS(1000,COLUMN(G$9)+10))),
SUMIF(INDIRECT(Equipo!$G$4&amp;"!B10:B1000"),$B175,INDIRECT(Equipo!$G$4&amp;"!"&amp;ADDRESS(10,COLUMN(G$9)+10)&amp;":"&amp;ADDRESS(1000,COLUMN(G$9)+10)))
))</f>
        <v>-</v>
      </c>
      <c r="H175" s="19" t="str">
        <f t="array" ref="H175">IF(ISBLANK(Tareas!$B171),"-",
SUM(
SUMIF(INDIRECT(Equipo!$C$4&amp;"!B10:B1000"),$B175,INDIRECT(Equipo!$C$4&amp;"!"&amp;ADDRESS(10,COLUMN(H$9)+10)&amp;":"&amp;ADDRESS(1000,COLUMN(H$9)+10))),
SUMIF(INDIRECT(Equipo!$D$4&amp;"!B10:B1000"),$B175,INDIRECT(Equipo!$D$4&amp;"!"&amp;ADDRESS(10,COLUMN(H$9)+10)&amp;":"&amp;ADDRESS(1000,COLUMN(H$9)+10))),
SUMIF(INDIRECT(Equipo!$E$4&amp;"!B10:B1000"),$B175,INDIRECT(Equipo!$E$4&amp;"!"&amp;ADDRESS(10,COLUMN(H$9)+10)&amp;":"&amp;ADDRESS(1000,COLUMN(H$9)+10))),
SUMIF(INDIRECT(Equipo!$F$4&amp;"!B10:B1000"),$B175,INDIRECT(Equipo!$F$4&amp;"!"&amp;ADDRESS(10,COLUMN(H$9)+10)&amp;":"&amp;ADDRESS(1000,COLUMN(H$9)+10))),
SUMIF(INDIRECT(Equipo!$G$4&amp;"!B10:B1000"),$B175,INDIRECT(Equipo!$G$4&amp;"!"&amp;ADDRESS(10,COLUMN(H$9)+10)&amp;":"&amp;ADDRESS(1000,COLUMN(H$9)+10)))
))</f>
        <v>-</v>
      </c>
      <c r="I175" s="19" t="str">
        <f t="array" ref="I175">IF(ISBLANK(Tareas!$B171),"-",
SUM(
SUMIF(INDIRECT(Equipo!$C$4&amp;"!B10:B1000"),$B175,INDIRECT(Equipo!$C$4&amp;"!"&amp;ADDRESS(10,COLUMN(I$9)+10)&amp;":"&amp;ADDRESS(1000,COLUMN(I$9)+10))),
SUMIF(INDIRECT(Equipo!$D$4&amp;"!B10:B1000"),$B175,INDIRECT(Equipo!$D$4&amp;"!"&amp;ADDRESS(10,COLUMN(I$9)+10)&amp;":"&amp;ADDRESS(1000,COLUMN(I$9)+10))),
SUMIF(INDIRECT(Equipo!$E$4&amp;"!B10:B1000"),$B175,INDIRECT(Equipo!$E$4&amp;"!"&amp;ADDRESS(10,COLUMN(I$9)+10)&amp;":"&amp;ADDRESS(1000,COLUMN(I$9)+10))),
SUMIF(INDIRECT(Equipo!$F$4&amp;"!B10:B1000"),$B175,INDIRECT(Equipo!$F$4&amp;"!"&amp;ADDRESS(10,COLUMN(I$9)+10)&amp;":"&amp;ADDRESS(1000,COLUMN(I$9)+10))),
SUMIF(INDIRECT(Equipo!$G$4&amp;"!B10:B1000"),$B175,INDIRECT(Equipo!$G$4&amp;"!"&amp;ADDRESS(10,COLUMN(I$9)+10)&amp;":"&amp;ADDRESS(1000,COLUMN(I$9)+10)))
))</f>
        <v>-</v>
      </c>
      <c r="J175" s="19" t="str">
        <f t="array" ref="J175">IF(ISBLANK(Tareas!$B171),"-",
SUM(
SUMIF(INDIRECT(Equipo!$C$4&amp;"!B10:B1000"),$B175,INDIRECT(Equipo!$C$4&amp;"!"&amp;ADDRESS(10,COLUMN(J$9)+10)&amp;":"&amp;ADDRESS(1000,COLUMN(J$9)+10))),
SUMIF(INDIRECT(Equipo!$D$4&amp;"!B10:B1000"),$B175,INDIRECT(Equipo!$D$4&amp;"!"&amp;ADDRESS(10,COLUMN(J$9)+10)&amp;":"&amp;ADDRESS(1000,COLUMN(J$9)+10))),
SUMIF(INDIRECT(Equipo!$E$4&amp;"!B10:B1000"),$B175,INDIRECT(Equipo!$E$4&amp;"!"&amp;ADDRESS(10,COLUMN(J$9)+10)&amp;":"&amp;ADDRESS(1000,COLUMN(J$9)+10))),
SUMIF(INDIRECT(Equipo!$F$4&amp;"!B10:B1000"),$B175,INDIRECT(Equipo!$F$4&amp;"!"&amp;ADDRESS(10,COLUMN(J$9)+10)&amp;":"&amp;ADDRESS(1000,COLUMN(J$9)+10))),
SUMIF(INDIRECT(Equipo!$G$4&amp;"!B10:B1000"),$B175,INDIRECT(Equipo!$G$4&amp;"!"&amp;ADDRESS(10,COLUMN(J$9)+10)&amp;":"&amp;ADDRESS(1000,COLUMN(J$9)+10)))
))</f>
        <v>-</v>
      </c>
      <c r="K175" s="19" t="str">
        <f t="array" ref="K175">IF(ISBLANK(Tareas!$B171),"-",
SUM(
SUMIF(INDIRECT(Equipo!$C$4&amp;"!B10:B1000"),$B175,INDIRECT(Equipo!$C$4&amp;"!"&amp;ADDRESS(10,COLUMN(K$9)+10)&amp;":"&amp;ADDRESS(1000,COLUMN(K$9)+10))),
SUMIF(INDIRECT(Equipo!$D$4&amp;"!B10:B1000"),$B175,INDIRECT(Equipo!$D$4&amp;"!"&amp;ADDRESS(10,COLUMN(K$9)+10)&amp;":"&amp;ADDRESS(1000,COLUMN(K$9)+10))),
SUMIF(INDIRECT(Equipo!$E$4&amp;"!B10:B1000"),$B175,INDIRECT(Equipo!$E$4&amp;"!"&amp;ADDRESS(10,COLUMN(K$9)+10)&amp;":"&amp;ADDRESS(1000,COLUMN(K$9)+10))),
SUMIF(INDIRECT(Equipo!$F$4&amp;"!B10:B1000"),$B175,INDIRECT(Equipo!$F$4&amp;"!"&amp;ADDRESS(10,COLUMN(K$9)+10)&amp;":"&amp;ADDRESS(1000,COLUMN(K$9)+10))),
SUMIF(INDIRECT(Equipo!$G$4&amp;"!B10:B1000"),$B175,INDIRECT(Equipo!$G$4&amp;"!"&amp;ADDRESS(10,COLUMN(K$9)+10)&amp;":"&amp;ADDRESS(1000,COLUMN(K$9)+10)))
))</f>
        <v>-</v>
      </c>
    </row>
    <row r="176" ht="15.75" customHeight="1">
      <c r="C176" s="19" t="str">
        <f>IF(ISBLANK(Tareas!$B172),"-",SUM(D176:K176))</f>
        <v>-</v>
      </c>
      <c r="D176" s="19" t="str">
        <f t="array" ref="D176">IF(ISBLANK(Tareas!$B172),"-",
SUM(
SUMIF(INDIRECT(Equipo!$C$4&amp;"!B10:B1000"),$B176,INDIRECT(Equipo!$C$4&amp;"!"&amp;ADDRESS(10,COLUMN(D$9)+10)&amp;":"&amp;ADDRESS(1000,COLUMN(D$9)+10))),
SUMIF(INDIRECT(Equipo!$D$4&amp;"!B10:B1000"),$B176,INDIRECT(Equipo!$D$4&amp;"!"&amp;ADDRESS(10,COLUMN(D$9)+10)&amp;":"&amp;ADDRESS(1000,COLUMN(D$9)+10))),
SUMIF(INDIRECT(Equipo!$E$4&amp;"!B10:B1000"),$B176,INDIRECT(Equipo!$E$4&amp;"!"&amp;ADDRESS(10,COLUMN(D$9)+10)&amp;":"&amp;ADDRESS(1000,COLUMN(D$9)+10))),
SUMIF(INDIRECT(Equipo!$F$4&amp;"!B10:B1000"),$B176,INDIRECT(Equipo!$F$4&amp;"!"&amp;ADDRESS(10,COLUMN(D$9)+10)&amp;":"&amp;ADDRESS(1000,COLUMN(D$9)+10))),
SUMIF(INDIRECT(Equipo!$G$4&amp;"!B10:B1000"),$B176,INDIRECT(Equipo!$G$4&amp;"!"&amp;ADDRESS(10,COLUMN(D$9)+10)&amp;":"&amp;ADDRESS(1000,COLUMN(D$9)+10)))
))</f>
        <v>-</v>
      </c>
      <c r="E176" s="19" t="str">
        <f t="array" ref="E176">IF(ISBLANK(Tareas!$B172),"-",
SUM(
SUMIF(INDIRECT(Equipo!$C$4&amp;"!B10:B1000"),$B176,INDIRECT(Equipo!$C$4&amp;"!"&amp;ADDRESS(10,COLUMN(E$9)+10)&amp;":"&amp;ADDRESS(1000,COLUMN(E$9)+10))),
SUMIF(INDIRECT(Equipo!$D$4&amp;"!B10:B1000"),$B176,INDIRECT(Equipo!$D$4&amp;"!"&amp;ADDRESS(10,COLUMN(E$9)+10)&amp;":"&amp;ADDRESS(1000,COLUMN(E$9)+10))),
SUMIF(INDIRECT(Equipo!$E$4&amp;"!B10:B1000"),$B176,INDIRECT(Equipo!$E$4&amp;"!"&amp;ADDRESS(10,COLUMN(E$9)+10)&amp;":"&amp;ADDRESS(1000,COLUMN(E$9)+10))),
SUMIF(INDIRECT(Equipo!$F$4&amp;"!B10:B1000"),$B176,INDIRECT(Equipo!$F$4&amp;"!"&amp;ADDRESS(10,COLUMN(E$9)+10)&amp;":"&amp;ADDRESS(1000,COLUMN(E$9)+10))),
SUMIF(INDIRECT(Equipo!$G$4&amp;"!B10:B1000"),$B176,INDIRECT(Equipo!$G$4&amp;"!"&amp;ADDRESS(10,COLUMN(E$9)+10)&amp;":"&amp;ADDRESS(1000,COLUMN(E$9)+10)))
))</f>
        <v>-</v>
      </c>
      <c r="F176" s="19" t="str">
        <f t="array" ref="F176">IF(ISBLANK(Tareas!$B172),"-",
SUM(
SUMIF(INDIRECT(Equipo!$C$4&amp;"!B10:B1000"),$B176,INDIRECT(Equipo!$C$4&amp;"!"&amp;ADDRESS(10,COLUMN(F$9)+10)&amp;":"&amp;ADDRESS(1000,COLUMN(F$9)+10))),
SUMIF(INDIRECT(Equipo!$D$4&amp;"!B10:B1000"),$B176,INDIRECT(Equipo!$D$4&amp;"!"&amp;ADDRESS(10,COLUMN(F$9)+10)&amp;":"&amp;ADDRESS(1000,COLUMN(F$9)+10))),
SUMIF(INDIRECT(Equipo!$E$4&amp;"!B10:B1000"),$B176,INDIRECT(Equipo!$E$4&amp;"!"&amp;ADDRESS(10,COLUMN(F$9)+10)&amp;":"&amp;ADDRESS(1000,COLUMN(F$9)+10))),
SUMIF(INDIRECT(Equipo!$F$4&amp;"!B10:B1000"),$B176,INDIRECT(Equipo!$F$4&amp;"!"&amp;ADDRESS(10,COLUMN(F$9)+10)&amp;":"&amp;ADDRESS(1000,COLUMN(F$9)+10))),
SUMIF(INDIRECT(Equipo!$G$4&amp;"!B10:B1000"),$B176,INDIRECT(Equipo!$G$4&amp;"!"&amp;ADDRESS(10,COLUMN(F$9)+10)&amp;":"&amp;ADDRESS(1000,COLUMN(F$9)+10)))
))</f>
        <v>-</v>
      </c>
      <c r="G176" s="19" t="str">
        <f t="array" ref="G176">IF(ISBLANK(Tareas!$B172),"-",
SUM(
SUMIF(INDIRECT(Equipo!$C$4&amp;"!B10:B1000"),$B176,INDIRECT(Equipo!$C$4&amp;"!"&amp;ADDRESS(10,COLUMN(G$9)+10)&amp;":"&amp;ADDRESS(1000,COLUMN(G$9)+10))),
SUMIF(INDIRECT(Equipo!$D$4&amp;"!B10:B1000"),$B176,INDIRECT(Equipo!$D$4&amp;"!"&amp;ADDRESS(10,COLUMN(G$9)+10)&amp;":"&amp;ADDRESS(1000,COLUMN(G$9)+10))),
SUMIF(INDIRECT(Equipo!$E$4&amp;"!B10:B1000"),$B176,INDIRECT(Equipo!$E$4&amp;"!"&amp;ADDRESS(10,COLUMN(G$9)+10)&amp;":"&amp;ADDRESS(1000,COLUMN(G$9)+10))),
SUMIF(INDIRECT(Equipo!$F$4&amp;"!B10:B1000"),$B176,INDIRECT(Equipo!$F$4&amp;"!"&amp;ADDRESS(10,COLUMN(G$9)+10)&amp;":"&amp;ADDRESS(1000,COLUMN(G$9)+10))),
SUMIF(INDIRECT(Equipo!$G$4&amp;"!B10:B1000"),$B176,INDIRECT(Equipo!$G$4&amp;"!"&amp;ADDRESS(10,COLUMN(G$9)+10)&amp;":"&amp;ADDRESS(1000,COLUMN(G$9)+10)))
))</f>
        <v>-</v>
      </c>
      <c r="H176" s="19" t="str">
        <f t="array" ref="H176">IF(ISBLANK(Tareas!$B172),"-",
SUM(
SUMIF(INDIRECT(Equipo!$C$4&amp;"!B10:B1000"),$B176,INDIRECT(Equipo!$C$4&amp;"!"&amp;ADDRESS(10,COLUMN(H$9)+10)&amp;":"&amp;ADDRESS(1000,COLUMN(H$9)+10))),
SUMIF(INDIRECT(Equipo!$D$4&amp;"!B10:B1000"),$B176,INDIRECT(Equipo!$D$4&amp;"!"&amp;ADDRESS(10,COLUMN(H$9)+10)&amp;":"&amp;ADDRESS(1000,COLUMN(H$9)+10))),
SUMIF(INDIRECT(Equipo!$E$4&amp;"!B10:B1000"),$B176,INDIRECT(Equipo!$E$4&amp;"!"&amp;ADDRESS(10,COLUMN(H$9)+10)&amp;":"&amp;ADDRESS(1000,COLUMN(H$9)+10))),
SUMIF(INDIRECT(Equipo!$F$4&amp;"!B10:B1000"),$B176,INDIRECT(Equipo!$F$4&amp;"!"&amp;ADDRESS(10,COLUMN(H$9)+10)&amp;":"&amp;ADDRESS(1000,COLUMN(H$9)+10))),
SUMIF(INDIRECT(Equipo!$G$4&amp;"!B10:B1000"),$B176,INDIRECT(Equipo!$G$4&amp;"!"&amp;ADDRESS(10,COLUMN(H$9)+10)&amp;":"&amp;ADDRESS(1000,COLUMN(H$9)+10)))
))</f>
        <v>-</v>
      </c>
      <c r="I176" s="19" t="str">
        <f t="array" ref="I176">IF(ISBLANK(Tareas!$B172),"-",
SUM(
SUMIF(INDIRECT(Equipo!$C$4&amp;"!B10:B1000"),$B176,INDIRECT(Equipo!$C$4&amp;"!"&amp;ADDRESS(10,COLUMN(I$9)+10)&amp;":"&amp;ADDRESS(1000,COLUMN(I$9)+10))),
SUMIF(INDIRECT(Equipo!$D$4&amp;"!B10:B1000"),$B176,INDIRECT(Equipo!$D$4&amp;"!"&amp;ADDRESS(10,COLUMN(I$9)+10)&amp;":"&amp;ADDRESS(1000,COLUMN(I$9)+10))),
SUMIF(INDIRECT(Equipo!$E$4&amp;"!B10:B1000"),$B176,INDIRECT(Equipo!$E$4&amp;"!"&amp;ADDRESS(10,COLUMN(I$9)+10)&amp;":"&amp;ADDRESS(1000,COLUMN(I$9)+10))),
SUMIF(INDIRECT(Equipo!$F$4&amp;"!B10:B1000"),$B176,INDIRECT(Equipo!$F$4&amp;"!"&amp;ADDRESS(10,COLUMN(I$9)+10)&amp;":"&amp;ADDRESS(1000,COLUMN(I$9)+10))),
SUMIF(INDIRECT(Equipo!$G$4&amp;"!B10:B1000"),$B176,INDIRECT(Equipo!$G$4&amp;"!"&amp;ADDRESS(10,COLUMN(I$9)+10)&amp;":"&amp;ADDRESS(1000,COLUMN(I$9)+10)))
))</f>
        <v>-</v>
      </c>
      <c r="J176" s="19" t="str">
        <f t="array" ref="J176">IF(ISBLANK(Tareas!$B172),"-",
SUM(
SUMIF(INDIRECT(Equipo!$C$4&amp;"!B10:B1000"),$B176,INDIRECT(Equipo!$C$4&amp;"!"&amp;ADDRESS(10,COLUMN(J$9)+10)&amp;":"&amp;ADDRESS(1000,COLUMN(J$9)+10))),
SUMIF(INDIRECT(Equipo!$D$4&amp;"!B10:B1000"),$B176,INDIRECT(Equipo!$D$4&amp;"!"&amp;ADDRESS(10,COLUMN(J$9)+10)&amp;":"&amp;ADDRESS(1000,COLUMN(J$9)+10))),
SUMIF(INDIRECT(Equipo!$E$4&amp;"!B10:B1000"),$B176,INDIRECT(Equipo!$E$4&amp;"!"&amp;ADDRESS(10,COLUMN(J$9)+10)&amp;":"&amp;ADDRESS(1000,COLUMN(J$9)+10))),
SUMIF(INDIRECT(Equipo!$F$4&amp;"!B10:B1000"),$B176,INDIRECT(Equipo!$F$4&amp;"!"&amp;ADDRESS(10,COLUMN(J$9)+10)&amp;":"&amp;ADDRESS(1000,COLUMN(J$9)+10))),
SUMIF(INDIRECT(Equipo!$G$4&amp;"!B10:B1000"),$B176,INDIRECT(Equipo!$G$4&amp;"!"&amp;ADDRESS(10,COLUMN(J$9)+10)&amp;":"&amp;ADDRESS(1000,COLUMN(J$9)+10)))
))</f>
        <v>-</v>
      </c>
      <c r="K176" s="19" t="str">
        <f t="array" ref="K176">IF(ISBLANK(Tareas!$B172),"-",
SUM(
SUMIF(INDIRECT(Equipo!$C$4&amp;"!B10:B1000"),$B176,INDIRECT(Equipo!$C$4&amp;"!"&amp;ADDRESS(10,COLUMN(K$9)+10)&amp;":"&amp;ADDRESS(1000,COLUMN(K$9)+10))),
SUMIF(INDIRECT(Equipo!$D$4&amp;"!B10:B1000"),$B176,INDIRECT(Equipo!$D$4&amp;"!"&amp;ADDRESS(10,COLUMN(K$9)+10)&amp;":"&amp;ADDRESS(1000,COLUMN(K$9)+10))),
SUMIF(INDIRECT(Equipo!$E$4&amp;"!B10:B1000"),$B176,INDIRECT(Equipo!$E$4&amp;"!"&amp;ADDRESS(10,COLUMN(K$9)+10)&amp;":"&amp;ADDRESS(1000,COLUMN(K$9)+10))),
SUMIF(INDIRECT(Equipo!$F$4&amp;"!B10:B1000"),$B176,INDIRECT(Equipo!$F$4&amp;"!"&amp;ADDRESS(10,COLUMN(K$9)+10)&amp;":"&amp;ADDRESS(1000,COLUMN(K$9)+10))),
SUMIF(INDIRECT(Equipo!$G$4&amp;"!B10:B1000"),$B176,INDIRECT(Equipo!$G$4&amp;"!"&amp;ADDRESS(10,COLUMN(K$9)+10)&amp;":"&amp;ADDRESS(1000,COLUMN(K$9)+10)))
))</f>
        <v>-</v>
      </c>
    </row>
    <row r="177" ht="15.75" customHeight="1">
      <c r="C177" s="19" t="str">
        <f>IF(ISBLANK(Tareas!$B173),"-",SUM(D177:K177))</f>
        <v>-</v>
      </c>
      <c r="D177" s="19" t="str">
        <f t="array" ref="D177">IF(ISBLANK(Tareas!$B173),"-",
SUM(
SUMIF(INDIRECT(Equipo!$C$4&amp;"!B10:B1000"),$B177,INDIRECT(Equipo!$C$4&amp;"!"&amp;ADDRESS(10,COLUMN(D$9)+10)&amp;":"&amp;ADDRESS(1000,COLUMN(D$9)+10))),
SUMIF(INDIRECT(Equipo!$D$4&amp;"!B10:B1000"),$B177,INDIRECT(Equipo!$D$4&amp;"!"&amp;ADDRESS(10,COLUMN(D$9)+10)&amp;":"&amp;ADDRESS(1000,COLUMN(D$9)+10))),
SUMIF(INDIRECT(Equipo!$E$4&amp;"!B10:B1000"),$B177,INDIRECT(Equipo!$E$4&amp;"!"&amp;ADDRESS(10,COLUMN(D$9)+10)&amp;":"&amp;ADDRESS(1000,COLUMN(D$9)+10))),
SUMIF(INDIRECT(Equipo!$F$4&amp;"!B10:B1000"),$B177,INDIRECT(Equipo!$F$4&amp;"!"&amp;ADDRESS(10,COLUMN(D$9)+10)&amp;":"&amp;ADDRESS(1000,COLUMN(D$9)+10))),
SUMIF(INDIRECT(Equipo!$G$4&amp;"!B10:B1000"),$B177,INDIRECT(Equipo!$G$4&amp;"!"&amp;ADDRESS(10,COLUMN(D$9)+10)&amp;":"&amp;ADDRESS(1000,COLUMN(D$9)+10)))
))</f>
        <v>-</v>
      </c>
      <c r="E177" s="19" t="str">
        <f t="array" ref="E177">IF(ISBLANK(Tareas!$B173),"-",
SUM(
SUMIF(INDIRECT(Equipo!$C$4&amp;"!B10:B1000"),$B177,INDIRECT(Equipo!$C$4&amp;"!"&amp;ADDRESS(10,COLUMN(E$9)+10)&amp;":"&amp;ADDRESS(1000,COLUMN(E$9)+10))),
SUMIF(INDIRECT(Equipo!$D$4&amp;"!B10:B1000"),$B177,INDIRECT(Equipo!$D$4&amp;"!"&amp;ADDRESS(10,COLUMN(E$9)+10)&amp;":"&amp;ADDRESS(1000,COLUMN(E$9)+10))),
SUMIF(INDIRECT(Equipo!$E$4&amp;"!B10:B1000"),$B177,INDIRECT(Equipo!$E$4&amp;"!"&amp;ADDRESS(10,COLUMN(E$9)+10)&amp;":"&amp;ADDRESS(1000,COLUMN(E$9)+10))),
SUMIF(INDIRECT(Equipo!$F$4&amp;"!B10:B1000"),$B177,INDIRECT(Equipo!$F$4&amp;"!"&amp;ADDRESS(10,COLUMN(E$9)+10)&amp;":"&amp;ADDRESS(1000,COLUMN(E$9)+10))),
SUMIF(INDIRECT(Equipo!$G$4&amp;"!B10:B1000"),$B177,INDIRECT(Equipo!$G$4&amp;"!"&amp;ADDRESS(10,COLUMN(E$9)+10)&amp;":"&amp;ADDRESS(1000,COLUMN(E$9)+10)))
))</f>
        <v>-</v>
      </c>
      <c r="F177" s="19" t="str">
        <f t="array" ref="F177">IF(ISBLANK(Tareas!$B173),"-",
SUM(
SUMIF(INDIRECT(Equipo!$C$4&amp;"!B10:B1000"),$B177,INDIRECT(Equipo!$C$4&amp;"!"&amp;ADDRESS(10,COLUMN(F$9)+10)&amp;":"&amp;ADDRESS(1000,COLUMN(F$9)+10))),
SUMIF(INDIRECT(Equipo!$D$4&amp;"!B10:B1000"),$B177,INDIRECT(Equipo!$D$4&amp;"!"&amp;ADDRESS(10,COLUMN(F$9)+10)&amp;":"&amp;ADDRESS(1000,COLUMN(F$9)+10))),
SUMIF(INDIRECT(Equipo!$E$4&amp;"!B10:B1000"),$B177,INDIRECT(Equipo!$E$4&amp;"!"&amp;ADDRESS(10,COLUMN(F$9)+10)&amp;":"&amp;ADDRESS(1000,COLUMN(F$9)+10))),
SUMIF(INDIRECT(Equipo!$F$4&amp;"!B10:B1000"),$B177,INDIRECT(Equipo!$F$4&amp;"!"&amp;ADDRESS(10,COLUMN(F$9)+10)&amp;":"&amp;ADDRESS(1000,COLUMN(F$9)+10))),
SUMIF(INDIRECT(Equipo!$G$4&amp;"!B10:B1000"),$B177,INDIRECT(Equipo!$G$4&amp;"!"&amp;ADDRESS(10,COLUMN(F$9)+10)&amp;":"&amp;ADDRESS(1000,COLUMN(F$9)+10)))
))</f>
        <v>-</v>
      </c>
      <c r="G177" s="19" t="str">
        <f t="array" ref="G177">IF(ISBLANK(Tareas!$B173),"-",
SUM(
SUMIF(INDIRECT(Equipo!$C$4&amp;"!B10:B1000"),$B177,INDIRECT(Equipo!$C$4&amp;"!"&amp;ADDRESS(10,COLUMN(G$9)+10)&amp;":"&amp;ADDRESS(1000,COLUMN(G$9)+10))),
SUMIF(INDIRECT(Equipo!$D$4&amp;"!B10:B1000"),$B177,INDIRECT(Equipo!$D$4&amp;"!"&amp;ADDRESS(10,COLUMN(G$9)+10)&amp;":"&amp;ADDRESS(1000,COLUMN(G$9)+10))),
SUMIF(INDIRECT(Equipo!$E$4&amp;"!B10:B1000"),$B177,INDIRECT(Equipo!$E$4&amp;"!"&amp;ADDRESS(10,COLUMN(G$9)+10)&amp;":"&amp;ADDRESS(1000,COLUMN(G$9)+10))),
SUMIF(INDIRECT(Equipo!$F$4&amp;"!B10:B1000"),$B177,INDIRECT(Equipo!$F$4&amp;"!"&amp;ADDRESS(10,COLUMN(G$9)+10)&amp;":"&amp;ADDRESS(1000,COLUMN(G$9)+10))),
SUMIF(INDIRECT(Equipo!$G$4&amp;"!B10:B1000"),$B177,INDIRECT(Equipo!$G$4&amp;"!"&amp;ADDRESS(10,COLUMN(G$9)+10)&amp;":"&amp;ADDRESS(1000,COLUMN(G$9)+10)))
))</f>
        <v>-</v>
      </c>
      <c r="H177" s="19" t="str">
        <f t="array" ref="H177">IF(ISBLANK(Tareas!$B173),"-",
SUM(
SUMIF(INDIRECT(Equipo!$C$4&amp;"!B10:B1000"),$B177,INDIRECT(Equipo!$C$4&amp;"!"&amp;ADDRESS(10,COLUMN(H$9)+10)&amp;":"&amp;ADDRESS(1000,COLUMN(H$9)+10))),
SUMIF(INDIRECT(Equipo!$D$4&amp;"!B10:B1000"),$B177,INDIRECT(Equipo!$D$4&amp;"!"&amp;ADDRESS(10,COLUMN(H$9)+10)&amp;":"&amp;ADDRESS(1000,COLUMN(H$9)+10))),
SUMIF(INDIRECT(Equipo!$E$4&amp;"!B10:B1000"),$B177,INDIRECT(Equipo!$E$4&amp;"!"&amp;ADDRESS(10,COLUMN(H$9)+10)&amp;":"&amp;ADDRESS(1000,COLUMN(H$9)+10))),
SUMIF(INDIRECT(Equipo!$F$4&amp;"!B10:B1000"),$B177,INDIRECT(Equipo!$F$4&amp;"!"&amp;ADDRESS(10,COLUMN(H$9)+10)&amp;":"&amp;ADDRESS(1000,COLUMN(H$9)+10))),
SUMIF(INDIRECT(Equipo!$G$4&amp;"!B10:B1000"),$B177,INDIRECT(Equipo!$G$4&amp;"!"&amp;ADDRESS(10,COLUMN(H$9)+10)&amp;":"&amp;ADDRESS(1000,COLUMN(H$9)+10)))
))</f>
        <v>-</v>
      </c>
      <c r="I177" s="19" t="str">
        <f t="array" ref="I177">IF(ISBLANK(Tareas!$B173),"-",
SUM(
SUMIF(INDIRECT(Equipo!$C$4&amp;"!B10:B1000"),$B177,INDIRECT(Equipo!$C$4&amp;"!"&amp;ADDRESS(10,COLUMN(I$9)+10)&amp;":"&amp;ADDRESS(1000,COLUMN(I$9)+10))),
SUMIF(INDIRECT(Equipo!$D$4&amp;"!B10:B1000"),$B177,INDIRECT(Equipo!$D$4&amp;"!"&amp;ADDRESS(10,COLUMN(I$9)+10)&amp;":"&amp;ADDRESS(1000,COLUMN(I$9)+10))),
SUMIF(INDIRECT(Equipo!$E$4&amp;"!B10:B1000"),$B177,INDIRECT(Equipo!$E$4&amp;"!"&amp;ADDRESS(10,COLUMN(I$9)+10)&amp;":"&amp;ADDRESS(1000,COLUMN(I$9)+10))),
SUMIF(INDIRECT(Equipo!$F$4&amp;"!B10:B1000"),$B177,INDIRECT(Equipo!$F$4&amp;"!"&amp;ADDRESS(10,COLUMN(I$9)+10)&amp;":"&amp;ADDRESS(1000,COLUMN(I$9)+10))),
SUMIF(INDIRECT(Equipo!$G$4&amp;"!B10:B1000"),$B177,INDIRECT(Equipo!$G$4&amp;"!"&amp;ADDRESS(10,COLUMN(I$9)+10)&amp;":"&amp;ADDRESS(1000,COLUMN(I$9)+10)))
))</f>
        <v>-</v>
      </c>
      <c r="J177" s="19" t="str">
        <f t="array" ref="J177">IF(ISBLANK(Tareas!$B173),"-",
SUM(
SUMIF(INDIRECT(Equipo!$C$4&amp;"!B10:B1000"),$B177,INDIRECT(Equipo!$C$4&amp;"!"&amp;ADDRESS(10,COLUMN(J$9)+10)&amp;":"&amp;ADDRESS(1000,COLUMN(J$9)+10))),
SUMIF(INDIRECT(Equipo!$D$4&amp;"!B10:B1000"),$B177,INDIRECT(Equipo!$D$4&amp;"!"&amp;ADDRESS(10,COLUMN(J$9)+10)&amp;":"&amp;ADDRESS(1000,COLUMN(J$9)+10))),
SUMIF(INDIRECT(Equipo!$E$4&amp;"!B10:B1000"),$B177,INDIRECT(Equipo!$E$4&amp;"!"&amp;ADDRESS(10,COLUMN(J$9)+10)&amp;":"&amp;ADDRESS(1000,COLUMN(J$9)+10))),
SUMIF(INDIRECT(Equipo!$F$4&amp;"!B10:B1000"),$B177,INDIRECT(Equipo!$F$4&amp;"!"&amp;ADDRESS(10,COLUMN(J$9)+10)&amp;":"&amp;ADDRESS(1000,COLUMN(J$9)+10))),
SUMIF(INDIRECT(Equipo!$G$4&amp;"!B10:B1000"),$B177,INDIRECT(Equipo!$G$4&amp;"!"&amp;ADDRESS(10,COLUMN(J$9)+10)&amp;":"&amp;ADDRESS(1000,COLUMN(J$9)+10)))
))</f>
        <v>-</v>
      </c>
      <c r="K177" s="19" t="str">
        <f t="array" ref="K177">IF(ISBLANK(Tareas!$B173),"-",
SUM(
SUMIF(INDIRECT(Equipo!$C$4&amp;"!B10:B1000"),$B177,INDIRECT(Equipo!$C$4&amp;"!"&amp;ADDRESS(10,COLUMN(K$9)+10)&amp;":"&amp;ADDRESS(1000,COLUMN(K$9)+10))),
SUMIF(INDIRECT(Equipo!$D$4&amp;"!B10:B1000"),$B177,INDIRECT(Equipo!$D$4&amp;"!"&amp;ADDRESS(10,COLUMN(K$9)+10)&amp;":"&amp;ADDRESS(1000,COLUMN(K$9)+10))),
SUMIF(INDIRECT(Equipo!$E$4&amp;"!B10:B1000"),$B177,INDIRECT(Equipo!$E$4&amp;"!"&amp;ADDRESS(10,COLUMN(K$9)+10)&amp;":"&amp;ADDRESS(1000,COLUMN(K$9)+10))),
SUMIF(INDIRECT(Equipo!$F$4&amp;"!B10:B1000"),$B177,INDIRECT(Equipo!$F$4&amp;"!"&amp;ADDRESS(10,COLUMN(K$9)+10)&amp;":"&amp;ADDRESS(1000,COLUMN(K$9)+10))),
SUMIF(INDIRECT(Equipo!$G$4&amp;"!B10:B1000"),$B177,INDIRECT(Equipo!$G$4&amp;"!"&amp;ADDRESS(10,COLUMN(K$9)+10)&amp;":"&amp;ADDRESS(1000,COLUMN(K$9)+10)))
))</f>
        <v>-</v>
      </c>
    </row>
    <row r="178" ht="15.75" customHeight="1">
      <c r="C178" s="19" t="str">
        <f>IF(ISBLANK(Tareas!$B174),"-",SUM(D178:K178))</f>
        <v>-</v>
      </c>
      <c r="D178" s="19" t="str">
        <f t="array" ref="D178">IF(ISBLANK(Tareas!$B174),"-",
SUM(
SUMIF(INDIRECT(Equipo!$C$4&amp;"!B10:B1000"),$B178,INDIRECT(Equipo!$C$4&amp;"!"&amp;ADDRESS(10,COLUMN(D$9)+10)&amp;":"&amp;ADDRESS(1000,COLUMN(D$9)+10))),
SUMIF(INDIRECT(Equipo!$D$4&amp;"!B10:B1000"),$B178,INDIRECT(Equipo!$D$4&amp;"!"&amp;ADDRESS(10,COLUMN(D$9)+10)&amp;":"&amp;ADDRESS(1000,COLUMN(D$9)+10))),
SUMIF(INDIRECT(Equipo!$E$4&amp;"!B10:B1000"),$B178,INDIRECT(Equipo!$E$4&amp;"!"&amp;ADDRESS(10,COLUMN(D$9)+10)&amp;":"&amp;ADDRESS(1000,COLUMN(D$9)+10))),
SUMIF(INDIRECT(Equipo!$F$4&amp;"!B10:B1000"),$B178,INDIRECT(Equipo!$F$4&amp;"!"&amp;ADDRESS(10,COLUMN(D$9)+10)&amp;":"&amp;ADDRESS(1000,COLUMN(D$9)+10))),
SUMIF(INDIRECT(Equipo!$G$4&amp;"!B10:B1000"),$B178,INDIRECT(Equipo!$G$4&amp;"!"&amp;ADDRESS(10,COLUMN(D$9)+10)&amp;":"&amp;ADDRESS(1000,COLUMN(D$9)+10)))
))</f>
        <v>-</v>
      </c>
      <c r="E178" s="19" t="str">
        <f t="array" ref="E178">IF(ISBLANK(Tareas!$B174),"-",
SUM(
SUMIF(INDIRECT(Equipo!$C$4&amp;"!B10:B1000"),$B178,INDIRECT(Equipo!$C$4&amp;"!"&amp;ADDRESS(10,COLUMN(E$9)+10)&amp;":"&amp;ADDRESS(1000,COLUMN(E$9)+10))),
SUMIF(INDIRECT(Equipo!$D$4&amp;"!B10:B1000"),$B178,INDIRECT(Equipo!$D$4&amp;"!"&amp;ADDRESS(10,COLUMN(E$9)+10)&amp;":"&amp;ADDRESS(1000,COLUMN(E$9)+10))),
SUMIF(INDIRECT(Equipo!$E$4&amp;"!B10:B1000"),$B178,INDIRECT(Equipo!$E$4&amp;"!"&amp;ADDRESS(10,COLUMN(E$9)+10)&amp;":"&amp;ADDRESS(1000,COLUMN(E$9)+10))),
SUMIF(INDIRECT(Equipo!$F$4&amp;"!B10:B1000"),$B178,INDIRECT(Equipo!$F$4&amp;"!"&amp;ADDRESS(10,COLUMN(E$9)+10)&amp;":"&amp;ADDRESS(1000,COLUMN(E$9)+10))),
SUMIF(INDIRECT(Equipo!$G$4&amp;"!B10:B1000"),$B178,INDIRECT(Equipo!$G$4&amp;"!"&amp;ADDRESS(10,COLUMN(E$9)+10)&amp;":"&amp;ADDRESS(1000,COLUMN(E$9)+10)))
))</f>
        <v>-</v>
      </c>
      <c r="F178" s="19" t="str">
        <f t="array" ref="F178">IF(ISBLANK(Tareas!$B174),"-",
SUM(
SUMIF(INDIRECT(Equipo!$C$4&amp;"!B10:B1000"),$B178,INDIRECT(Equipo!$C$4&amp;"!"&amp;ADDRESS(10,COLUMN(F$9)+10)&amp;":"&amp;ADDRESS(1000,COLUMN(F$9)+10))),
SUMIF(INDIRECT(Equipo!$D$4&amp;"!B10:B1000"),$B178,INDIRECT(Equipo!$D$4&amp;"!"&amp;ADDRESS(10,COLUMN(F$9)+10)&amp;":"&amp;ADDRESS(1000,COLUMN(F$9)+10))),
SUMIF(INDIRECT(Equipo!$E$4&amp;"!B10:B1000"),$B178,INDIRECT(Equipo!$E$4&amp;"!"&amp;ADDRESS(10,COLUMN(F$9)+10)&amp;":"&amp;ADDRESS(1000,COLUMN(F$9)+10))),
SUMIF(INDIRECT(Equipo!$F$4&amp;"!B10:B1000"),$B178,INDIRECT(Equipo!$F$4&amp;"!"&amp;ADDRESS(10,COLUMN(F$9)+10)&amp;":"&amp;ADDRESS(1000,COLUMN(F$9)+10))),
SUMIF(INDIRECT(Equipo!$G$4&amp;"!B10:B1000"),$B178,INDIRECT(Equipo!$G$4&amp;"!"&amp;ADDRESS(10,COLUMN(F$9)+10)&amp;":"&amp;ADDRESS(1000,COLUMN(F$9)+10)))
))</f>
        <v>-</v>
      </c>
      <c r="G178" s="19" t="str">
        <f t="array" ref="G178">IF(ISBLANK(Tareas!$B174),"-",
SUM(
SUMIF(INDIRECT(Equipo!$C$4&amp;"!B10:B1000"),$B178,INDIRECT(Equipo!$C$4&amp;"!"&amp;ADDRESS(10,COLUMN(G$9)+10)&amp;":"&amp;ADDRESS(1000,COLUMN(G$9)+10))),
SUMIF(INDIRECT(Equipo!$D$4&amp;"!B10:B1000"),$B178,INDIRECT(Equipo!$D$4&amp;"!"&amp;ADDRESS(10,COLUMN(G$9)+10)&amp;":"&amp;ADDRESS(1000,COLUMN(G$9)+10))),
SUMIF(INDIRECT(Equipo!$E$4&amp;"!B10:B1000"),$B178,INDIRECT(Equipo!$E$4&amp;"!"&amp;ADDRESS(10,COLUMN(G$9)+10)&amp;":"&amp;ADDRESS(1000,COLUMN(G$9)+10))),
SUMIF(INDIRECT(Equipo!$F$4&amp;"!B10:B1000"),$B178,INDIRECT(Equipo!$F$4&amp;"!"&amp;ADDRESS(10,COLUMN(G$9)+10)&amp;":"&amp;ADDRESS(1000,COLUMN(G$9)+10))),
SUMIF(INDIRECT(Equipo!$G$4&amp;"!B10:B1000"),$B178,INDIRECT(Equipo!$G$4&amp;"!"&amp;ADDRESS(10,COLUMN(G$9)+10)&amp;":"&amp;ADDRESS(1000,COLUMN(G$9)+10)))
))</f>
        <v>-</v>
      </c>
      <c r="H178" s="19" t="str">
        <f t="array" ref="H178">IF(ISBLANK(Tareas!$B174),"-",
SUM(
SUMIF(INDIRECT(Equipo!$C$4&amp;"!B10:B1000"),$B178,INDIRECT(Equipo!$C$4&amp;"!"&amp;ADDRESS(10,COLUMN(H$9)+10)&amp;":"&amp;ADDRESS(1000,COLUMN(H$9)+10))),
SUMIF(INDIRECT(Equipo!$D$4&amp;"!B10:B1000"),$B178,INDIRECT(Equipo!$D$4&amp;"!"&amp;ADDRESS(10,COLUMN(H$9)+10)&amp;":"&amp;ADDRESS(1000,COLUMN(H$9)+10))),
SUMIF(INDIRECT(Equipo!$E$4&amp;"!B10:B1000"),$B178,INDIRECT(Equipo!$E$4&amp;"!"&amp;ADDRESS(10,COLUMN(H$9)+10)&amp;":"&amp;ADDRESS(1000,COLUMN(H$9)+10))),
SUMIF(INDIRECT(Equipo!$F$4&amp;"!B10:B1000"),$B178,INDIRECT(Equipo!$F$4&amp;"!"&amp;ADDRESS(10,COLUMN(H$9)+10)&amp;":"&amp;ADDRESS(1000,COLUMN(H$9)+10))),
SUMIF(INDIRECT(Equipo!$G$4&amp;"!B10:B1000"),$B178,INDIRECT(Equipo!$G$4&amp;"!"&amp;ADDRESS(10,COLUMN(H$9)+10)&amp;":"&amp;ADDRESS(1000,COLUMN(H$9)+10)))
))</f>
        <v>-</v>
      </c>
      <c r="I178" s="19" t="str">
        <f t="array" ref="I178">IF(ISBLANK(Tareas!$B174),"-",
SUM(
SUMIF(INDIRECT(Equipo!$C$4&amp;"!B10:B1000"),$B178,INDIRECT(Equipo!$C$4&amp;"!"&amp;ADDRESS(10,COLUMN(I$9)+10)&amp;":"&amp;ADDRESS(1000,COLUMN(I$9)+10))),
SUMIF(INDIRECT(Equipo!$D$4&amp;"!B10:B1000"),$B178,INDIRECT(Equipo!$D$4&amp;"!"&amp;ADDRESS(10,COLUMN(I$9)+10)&amp;":"&amp;ADDRESS(1000,COLUMN(I$9)+10))),
SUMIF(INDIRECT(Equipo!$E$4&amp;"!B10:B1000"),$B178,INDIRECT(Equipo!$E$4&amp;"!"&amp;ADDRESS(10,COLUMN(I$9)+10)&amp;":"&amp;ADDRESS(1000,COLUMN(I$9)+10))),
SUMIF(INDIRECT(Equipo!$F$4&amp;"!B10:B1000"),$B178,INDIRECT(Equipo!$F$4&amp;"!"&amp;ADDRESS(10,COLUMN(I$9)+10)&amp;":"&amp;ADDRESS(1000,COLUMN(I$9)+10))),
SUMIF(INDIRECT(Equipo!$G$4&amp;"!B10:B1000"),$B178,INDIRECT(Equipo!$G$4&amp;"!"&amp;ADDRESS(10,COLUMN(I$9)+10)&amp;":"&amp;ADDRESS(1000,COLUMN(I$9)+10)))
))</f>
        <v>-</v>
      </c>
      <c r="J178" s="19" t="str">
        <f t="array" ref="J178">IF(ISBLANK(Tareas!$B174),"-",
SUM(
SUMIF(INDIRECT(Equipo!$C$4&amp;"!B10:B1000"),$B178,INDIRECT(Equipo!$C$4&amp;"!"&amp;ADDRESS(10,COLUMN(J$9)+10)&amp;":"&amp;ADDRESS(1000,COLUMN(J$9)+10))),
SUMIF(INDIRECT(Equipo!$D$4&amp;"!B10:B1000"),$B178,INDIRECT(Equipo!$D$4&amp;"!"&amp;ADDRESS(10,COLUMN(J$9)+10)&amp;":"&amp;ADDRESS(1000,COLUMN(J$9)+10))),
SUMIF(INDIRECT(Equipo!$E$4&amp;"!B10:B1000"),$B178,INDIRECT(Equipo!$E$4&amp;"!"&amp;ADDRESS(10,COLUMN(J$9)+10)&amp;":"&amp;ADDRESS(1000,COLUMN(J$9)+10))),
SUMIF(INDIRECT(Equipo!$F$4&amp;"!B10:B1000"),$B178,INDIRECT(Equipo!$F$4&amp;"!"&amp;ADDRESS(10,COLUMN(J$9)+10)&amp;":"&amp;ADDRESS(1000,COLUMN(J$9)+10))),
SUMIF(INDIRECT(Equipo!$G$4&amp;"!B10:B1000"),$B178,INDIRECT(Equipo!$G$4&amp;"!"&amp;ADDRESS(10,COLUMN(J$9)+10)&amp;":"&amp;ADDRESS(1000,COLUMN(J$9)+10)))
))</f>
        <v>-</v>
      </c>
      <c r="K178" s="19" t="str">
        <f t="array" ref="K178">IF(ISBLANK(Tareas!$B174),"-",
SUM(
SUMIF(INDIRECT(Equipo!$C$4&amp;"!B10:B1000"),$B178,INDIRECT(Equipo!$C$4&amp;"!"&amp;ADDRESS(10,COLUMN(K$9)+10)&amp;":"&amp;ADDRESS(1000,COLUMN(K$9)+10))),
SUMIF(INDIRECT(Equipo!$D$4&amp;"!B10:B1000"),$B178,INDIRECT(Equipo!$D$4&amp;"!"&amp;ADDRESS(10,COLUMN(K$9)+10)&amp;":"&amp;ADDRESS(1000,COLUMN(K$9)+10))),
SUMIF(INDIRECT(Equipo!$E$4&amp;"!B10:B1000"),$B178,INDIRECT(Equipo!$E$4&amp;"!"&amp;ADDRESS(10,COLUMN(K$9)+10)&amp;":"&amp;ADDRESS(1000,COLUMN(K$9)+10))),
SUMIF(INDIRECT(Equipo!$F$4&amp;"!B10:B1000"),$B178,INDIRECT(Equipo!$F$4&amp;"!"&amp;ADDRESS(10,COLUMN(K$9)+10)&amp;":"&amp;ADDRESS(1000,COLUMN(K$9)+10))),
SUMIF(INDIRECT(Equipo!$G$4&amp;"!B10:B1000"),$B178,INDIRECT(Equipo!$G$4&amp;"!"&amp;ADDRESS(10,COLUMN(K$9)+10)&amp;":"&amp;ADDRESS(1000,COLUMN(K$9)+10)))
))</f>
        <v>-</v>
      </c>
    </row>
    <row r="179" ht="15.75" customHeight="1">
      <c r="C179" s="19" t="str">
        <f>IF(ISBLANK(Tareas!$B175),"-",SUM(D179:K179))</f>
        <v>-</v>
      </c>
      <c r="D179" s="19" t="str">
        <f t="array" ref="D179">IF(ISBLANK(Tareas!$B175),"-",
SUM(
SUMIF(INDIRECT(Equipo!$C$4&amp;"!B10:B1000"),$B179,INDIRECT(Equipo!$C$4&amp;"!"&amp;ADDRESS(10,COLUMN(D$9)+10)&amp;":"&amp;ADDRESS(1000,COLUMN(D$9)+10))),
SUMIF(INDIRECT(Equipo!$D$4&amp;"!B10:B1000"),$B179,INDIRECT(Equipo!$D$4&amp;"!"&amp;ADDRESS(10,COLUMN(D$9)+10)&amp;":"&amp;ADDRESS(1000,COLUMN(D$9)+10))),
SUMIF(INDIRECT(Equipo!$E$4&amp;"!B10:B1000"),$B179,INDIRECT(Equipo!$E$4&amp;"!"&amp;ADDRESS(10,COLUMN(D$9)+10)&amp;":"&amp;ADDRESS(1000,COLUMN(D$9)+10))),
SUMIF(INDIRECT(Equipo!$F$4&amp;"!B10:B1000"),$B179,INDIRECT(Equipo!$F$4&amp;"!"&amp;ADDRESS(10,COLUMN(D$9)+10)&amp;":"&amp;ADDRESS(1000,COLUMN(D$9)+10))),
SUMIF(INDIRECT(Equipo!$G$4&amp;"!B10:B1000"),$B179,INDIRECT(Equipo!$G$4&amp;"!"&amp;ADDRESS(10,COLUMN(D$9)+10)&amp;":"&amp;ADDRESS(1000,COLUMN(D$9)+10)))
))</f>
        <v>-</v>
      </c>
      <c r="E179" s="19" t="str">
        <f t="array" ref="E179">IF(ISBLANK(Tareas!$B175),"-",
SUM(
SUMIF(INDIRECT(Equipo!$C$4&amp;"!B10:B1000"),$B179,INDIRECT(Equipo!$C$4&amp;"!"&amp;ADDRESS(10,COLUMN(E$9)+10)&amp;":"&amp;ADDRESS(1000,COLUMN(E$9)+10))),
SUMIF(INDIRECT(Equipo!$D$4&amp;"!B10:B1000"),$B179,INDIRECT(Equipo!$D$4&amp;"!"&amp;ADDRESS(10,COLUMN(E$9)+10)&amp;":"&amp;ADDRESS(1000,COLUMN(E$9)+10))),
SUMIF(INDIRECT(Equipo!$E$4&amp;"!B10:B1000"),$B179,INDIRECT(Equipo!$E$4&amp;"!"&amp;ADDRESS(10,COLUMN(E$9)+10)&amp;":"&amp;ADDRESS(1000,COLUMN(E$9)+10))),
SUMIF(INDIRECT(Equipo!$F$4&amp;"!B10:B1000"),$B179,INDIRECT(Equipo!$F$4&amp;"!"&amp;ADDRESS(10,COLUMN(E$9)+10)&amp;":"&amp;ADDRESS(1000,COLUMN(E$9)+10))),
SUMIF(INDIRECT(Equipo!$G$4&amp;"!B10:B1000"),$B179,INDIRECT(Equipo!$G$4&amp;"!"&amp;ADDRESS(10,COLUMN(E$9)+10)&amp;":"&amp;ADDRESS(1000,COLUMN(E$9)+10)))
))</f>
        <v>-</v>
      </c>
      <c r="F179" s="19" t="str">
        <f t="array" ref="F179">IF(ISBLANK(Tareas!$B175),"-",
SUM(
SUMIF(INDIRECT(Equipo!$C$4&amp;"!B10:B1000"),$B179,INDIRECT(Equipo!$C$4&amp;"!"&amp;ADDRESS(10,COLUMN(F$9)+10)&amp;":"&amp;ADDRESS(1000,COLUMN(F$9)+10))),
SUMIF(INDIRECT(Equipo!$D$4&amp;"!B10:B1000"),$B179,INDIRECT(Equipo!$D$4&amp;"!"&amp;ADDRESS(10,COLUMN(F$9)+10)&amp;":"&amp;ADDRESS(1000,COLUMN(F$9)+10))),
SUMIF(INDIRECT(Equipo!$E$4&amp;"!B10:B1000"),$B179,INDIRECT(Equipo!$E$4&amp;"!"&amp;ADDRESS(10,COLUMN(F$9)+10)&amp;":"&amp;ADDRESS(1000,COLUMN(F$9)+10))),
SUMIF(INDIRECT(Equipo!$F$4&amp;"!B10:B1000"),$B179,INDIRECT(Equipo!$F$4&amp;"!"&amp;ADDRESS(10,COLUMN(F$9)+10)&amp;":"&amp;ADDRESS(1000,COLUMN(F$9)+10))),
SUMIF(INDIRECT(Equipo!$G$4&amp;"!B10:B1000"),$B179,INDIRECT(Equipo!$G$4&amp;"!"&amp;ADDRESS(10,COLUMN(F$9)+10)&amp;":"&amp;ADDRESS(1000,COLUMN(F$9)+10)))
))</f>
        <v>-</v>
      </c>
      <c r="G179" s="19" t="str">
        <f t="array" ref="G179">IF(ISBLANK(Tareas!$B175),"-",
SUM(
SUMIF(INDIRECT(Equipo!$C$4&amp;"!B10:B1000"),$B179,INDIRECT(Equipo!$C$4&amp;"!"&amp;ADDRESS(10,COLUMN(G$9)+10)&amp;":"&amp;ADDRESS(1000,COLUMN(G$9)+10))),
SUMIF(INDIRECT(Equipo!$D$4&amp;"!B10:B1000"),$B179,INDIRECT(Equipo!$D$4&amp;"!"&amp;ADDRESS(10,COLUMN(G$9)+10)&amp;":"&amp;ADDRESS(1000,COLUMN(G$9)+10))),
SUMIF(INDIRECT(Equipo!$E$4&amp;"!B10:B1000"),$B179,INDIRECT(Equipo!$E$4&amp;"!"&amp;ADDRESS(10,COLUMN(G$9)+10)&amp;":"&amp;ADDRESS(1000,COLUMN(G$9)+10))),
SUMIF(INDIRECT(Equipo!$F$4&amp;"!B10:B1000"),$B179,INDIRECT(Equipo!$F$4&amp;"!"&amp;ADDRESS(10,COLUMN(G$9)+10)&amp;":"&amp;ADDRESS(1000,COLUMN(G$9)+10))),
SUMIF(INDIRECT(Equipo!$G$4&amp;"!B10:B1000"),$B179,INDIRECT(Equipo!$G$4&amp;"!"&amp;ADDRESS(10,COLUMN(G$9)+10)&amp;":"&amp;ADDRESS(1000,COLUMN(G$9)+10)))
))</f>
        <v>-</v>
      </c>
      <c r="H179" s="19" t="str">
        <f t="array" ref="H179">IF(ISBLANK(Tareas!$B175),"-",
SUM(
SUMIF(INDIRECT(Equipo!$C$4&amp;"!B10:B1000"),$B179,INDIRECT(Equipo!$C$4&amp;"!"&amp;ADDRESS(10,COLUMN(H$9)+10)&amp;":"&amp;ADDRESS(1000,COLUMN(H$9)+10))),
SUMIF(INDIRECT(Equipo!$D$4&amp;"!B10:B1000"),$B179,INDIRECT(Equipo!$D$4&amp;"!"&amp;ADDRESS(10,COLUMN(H$9)+10)&amp;":"&amp;ADDRESS(1000,COLUMN(H$9)+10))),
SUMIF(INDIRECT(Equipo!$E$4&amp;"!B10:B1000"),$B179,INDIRECT(Equipo!$E$4&amp;"!"&amp;ADDRESS(10,COLUMN(H$9)+10)&amp;":"&amp;ADDRESS(1000,COLUMN(H$9)+10))),
SUMIF(INDIRECT(Equipo!$F$4&amp;"!B10:B1000"),$B179,INDIRECT(Equipo!$F$4&amp;"!"&amp;ADDRESS(10,COLUMN(H$9)+10)&amp;":"&amp;ADDRESS(1000,COLUMN(H$9)+10))),
SUMIF(INDIRECT(Equipo!$G$4&amp;"!B10:B1000"),$B179,INDIRECT(Equipo!$G$4&amp;"!"&amp;ADDRESS(10,COLUMN(H$9)+10)&amp;":"&amp;ADDRESS(1000,COLUMN(H$9)+10)))
))</f>
        <v>-</v>
      </c>
      <c r="I179" s="19" t="str">
        <f t="array" ref="I179">IF(ISBLANK(Tareas!$B175),"-",
SUM(
SUMIF(INDIRECT(Equipo!$C$4&amp;"!B10:B1000"),$B179,INDIRECT(Equipo!$C$4&amp;"!"&amp;ADDRESS(10,COLUMN(I$9)+10)&amp;":"&amp;ADDRESS(1000,COLUMN(I$9)+10))),
SUMIF(INDIRECT(Equipo!$D$4&amp;"!B10:B1000"),$B179,INDIRECT(Equipo!$D$4&amp;"!"&amp;ADDRESS(10,COLUMN(I$9)+10)&amp;":"&amp;ADDRESS(1000,COLUMN(I$9)+10))),
SUMIF(INDIRECT(Equipo!$E$4&amp;"!B10:B1000"),$B179,INDIRECT(Equipo!$E$4&amp;"!"&amp;ADDRESS(10,COLUMN(I$9)+10)&amp;":"&amp;ADDRESS(1000,COLUMN(I$9)+10))),
SUMIF(INDIRECT(Equipo!$F$4&amp;"!B10:B1000"),$B179,INDIRECT(Equipo!$F$4&amp;"!"&amp;ADDRESS(10,COLUMN(I$9)+10)&amp;":"&amp;ADDRESS(1000,COLUMN(I$9)+10))),
SUMIF(INDIRECT(Equipo!$G$4&amp;"!B10:B1000"),$B179,INDIRECT(Equipo!$G$4&amp;"!"&amp;ADDRESS(10,COLUMN(I$9)+10)&amp;":"&amp;ADDRESS(1000,COLUMN(I$9)+10)))
))</f>
        <v>-</v>
      </c>
      <c r="J179" s="19" t="str">
        <f t="array" ref="J179">IF(ISBLANK(Tareas!$B175),"-",
SUM(
SUMIF(INDIRECT(Equipo!$C$4&amp;"!B10:B1000"),$B179,INDIRECT(Equipo!$C$4&amp;"!"&amp;ADDRESS(10,COLUMN(J$9)+10)&amp;":"&amp;ADDRESS(1000,COLUMN(J$9)+10))),
SUMIF(INDIRECT(Equipo!$D$4&amp;"!B10:B1000"),$B179,INDIRECT(Equipo!$D$4&amp;"!"&amp;ADDRESS(10,COLUMN(J$9)+10)&amp;":"&amp;ADDRESS(1000,COLUMN(J$9)+10))),
SUMIF(INDIRECT(Equipo!$E$4&amp;"!B10:B1000"),$B179,INDIRECT(Equipo!$E$4&amp;"!"&amp;ADDRESS(10,COLUMN(J$9)+10)&amp;":"&amp;ADDRESS(1000,COLUMN(J$9)+10))),
SUMIF(INDIRECT(Equipo!$F$4&amp;"!B10:B1000"),$B179,INDIRECT(Equipo!$F$4&amp;"!"&amp;ADDRESS(10,COLUMN(J$9)+10)&amp;":"&amp;ADDRESS(1000,COLUMN(J$9)+10))),
SUMIF(INDIRECT(Equipo!$G$4&amp;"!B10:B1000"),$B179,INDIRECT(Equipo!$G$4&amp;"!"&amp;ADDRESS(10,COLUMN(J$9)+10)&amp;":"&amp;ADDRESS(1000,COLUMN(J$9)+10)))
))</f>
        <v>-</v>
      </c>
      <c r="K179" s="19" t="str">
        <f t="array" ref="K179">IF(ISBLANK(Tareas!$B175),"-",
SUM(
SUMIF(INDIRECT(Equipo!$C$4&amp;"!B10:B1000"),$B179,INDIRECT(Equipo!$C$4&amp;"!"&amp;ADDRESS(10,COLUMN(K$9)+10)&amp;":"&amp;ADDRESS(1000,COLUMN(K$9)+10))),
SUMIF(INDIRECT(Equipo!$D$4&amp;"!B10:B1000"),$B179,INDIRECT(Equipo!$D$4&amp;"!"&amp;ADDRESS(10,COLUMN(K$9)+10)&amp;":"&amp;ADDRESS(1000,COLUMN(K$9)+10))),
SUMIF(INDIRECT(Equipo!$E$4&amp;"!B10:B1000"),$B179,INDIRECT(Equipo!$E$4&amp;"!"&amp;ADDRESS(10,COLUMN(K$9)+10)&amp;":"&amp;ADDRESS(1000,COLUMN(K$9)+10))),
SUMIF(INDIRECT(Equipo!$F$4&amp;"!B10:B1000"),$B179,INDIRECT(Equipo!$F$4&amp;"!"&amp;ADDRESS(10,COLUMN(K$9)+10)&amp;":"&amp;ADDRESS(1000,COLUMN(K$9)+10))),
SUMIF(INDIRECT(Equipo!$G$4&amp;"!B10:B1000"),$B179,INDIRECT(Equipo!$G$4&amp;"!"&amp;ADDRESS(10,COLUMN(K$9)+10)&amp;":"&amp;ADDRESS(1000,COLUMN(K$9)+10)))
))</f>
        <v>-</v>
      </c>
    </row>
    <row r="180" ht="15.75" customHeight="1">
      <c r="C180" s="19" t="str">
        <f>IF(ISBLANK(Tareas!$B176),"-",SUM(D180:K180))</f>
        <v>-</v>
      </c>
      <c r="D180" s="19" t="str">
        <f t="array" ref="D180">IF(ISBLANK(Tareas!$B176),"-",
SUM(
SUMIF(INDIRECT(Equipo!$C$4&amp;"!B10:B1000"),$B180,INDIRECT(Equipo!$C$4&amp;"!"&amp;ADDRESS(10,COLUMN(D$9)+10)&amp;":"&amp;ADDRESS(1000,COLUMN(D$9)+10))),
SUMIF(INDIRECT(Equipo!$D$4&amp;"!B10:B1000"),$B180,INDIRECT(Equipo!$D$4&amp;"!"&amp;ADDRESS(10,COLUMN(D$9)+10)&amp;":"&amp;ADDRESS(1000,COLUMN(D$9)+10))),
SUMIF(INDIRECT(Equipo!$E$4&amp;"!B10:B1000"),$B180,INDIRECT(Equipo!$E$4&amp;"!"&amp;ADDRESS(10,COLUMN(D$9)+10)&amp;":"&amp;ADDRESS(1000,COLUMN(D$9)+10))),
SUMIF(INDIRECT(Equipo!$F$4&amp;"!B10:B1000"),$B180,INDIRECT(Equipo!$F$4&amp;"!"&amp;ADDRESS(10,COLUMN(D$9)+10)&amp;":"&amp;ADDRESS(1000,COLUMN(D$9)+10))),
SUMIF(INDIRECT(Equipo!$G$4&amp;"!B10:B1000"),$B180,INDIRECT(Equipo!$G$4&amp;"!"&amp;ADDRESS(10,COLUMN(D$9)+10)&amp;":"&amp;ADDRESS(1000,COLUMN(D$9)+10)))
))</f>
        <v>-</v>
      </c>
      <c r="E180" s="19" t="str">
        <f t="array" ref="E180">IF(ISBLANK(Tareas!$B176),"-",
SUM(
SUMIF(INDIRECT(Equipo!$C$4&amp;"!B10:B1000"),$B180,INDIRECT(Equipo!$C$4&amp;"!"&amp;ADDRESS(10,COLUMN(E$9)+10)&amp;":"&amp;ADDRESS(1000,COLUMN(E$9)+10))),
SUMIF(INDIRECT(Equipo!$D$4&amp;"!B10:B1000"),$B180,INDIRECT(Equipo!$D$4&amp;"!"&amp;ADDRESS(10,COLUMN(E$9)+10)&amp;":"&amp;ADDRESS(1000,COLUMN(E$9)+10))),
SUMIF(INDIRECT(Equipo!$E$4&amp;"!B10:B1000"),$B180,INDIRECT(Equipo!$E$4&amp;"!"&amp;ADDRESS(10,COLUMN(E$9)+10)&amp;":"&amp;ADDRESS(1000,COLUMN(E$9)+10))),
SUMIF(INDIRECT(Equipo!$F$4&amp;"!B10:B1000"),$B180,INDIRECT(Equipo!$F$4&amp;"!"&amp;ADDRESS(10,COLUMN(E$9)+10)&amp;":"&amp;ADDRESS(1000,COLUMN(E$9)+10))),
SUMIF(INDIRECT(Equipo!$G$4&amp;"!B10:B1000"),$B180,INDIRECT(Equipo!$G$4&amp;"!"&amp;ADDRESS(10,COLUMN(E$9)+10)&amp;":"&amp;ADDRESS(1000,COLUMN(E$9)+10)))
))</f>
        <v>-</v>
      </c>
      <c r="F180" s="19" t="str">
        <f t="array" ref="F180">IF(ISBLANK(Tareas!$B176),"-",
SUM(
SUMIF(INDIRECT(Equipo!$C$4&amp;"!B10:B1000"),$B180,INDIRECT(Equipo!$C$4&amp;"!"&amp;ADDRESS(10,COLUMN(F$9)+10)&amp;":"&amp;ADDRESS(1000,COLUMN(F$9)+10))),
SUMIF(INDIRECT(Equipo!$D$4&amp;"!B10:B1000"),$B180,INDIRECT(Equipo!$D$4&amp;"!"&amp;ADDRESS(10,COLUMN(F$9)+10)&amp;":"&amp;ADDRESS(1000,COLUMN(F$9)+10))),
SUMIF(INDIRECT(Equipo!$E$4&amp;"!B10:B1000"),$B180,INDIRECT(Equipo!$E$4&amp;"!"&amp;ADDRESS(10,COLUMN(F$9)+10)&amp;":"&amp;ADDRESS(1000,COLUMN(F$9)+10))),
SUMIF(INDIRECT(Equipo!$F$4&amp;"!B10:B1000"),$B180,INDIRECT(Equipo!$F$4&amp;"!"&amp;ADDRESS(10,COLUMN(F$9)+10)&amp;":"&amp;ADDRESS(1000,COLUMN(F$9)+10))),
SUMIF(INDIRECT(Equipo!$G$4&amp;"!B10:B1000"),$B180,INDIRECT(Equipo!$G$4&amp;"!"&amp;ADDRESS(10,COLUMN(F$9)+10)&amp;":"&amp;ADDRESS(1000,COLUMN(F$9)+10)))
))</f>
        <v>-</v>
      </c>
      <c r="G180" s="19" t="str">
        <f t="array" ref="G180">IF(ISBLANK(Tareas!$B176),"-",
SUM(
SUMIF(INDIRECT(Equipo!$C$4&amp;"!B10:B1000"),$B180,INDIRECT(Equipo!$C$4&amp;"!"&amp;ADDRESS(10,COLUMN(G$9)+10)&amp;":"&amp;ADDRESS(1000,COLUMN(G$9)+10))),
SUMIF(INDIRECT(Equipo!$D$4&amp;"!B10:B1000"),$B180,INDIRECT(Equipo!$D$4&amp;"!"&amp;ADDRESS(10,COLUMN(G$9)+10)&amp;":"&amp;ADDRESS(1000,COLUMN(G$9)+10))),
SUMIF(INDIRECT(Equipo!$E$4&amp;"!B10:B1000"),$B180,INDIRECT(Equipo!$E$4&amp;"!"&amp;ADDRESS(10,COLUMN(G$9)+10)&amp;":"&amp;ADDRESS(1000,COLUMN(G$9)+10))),
SUMIF(INDIRECT(Equipo!$F$4&amp;"!B10:B1000"),$B180,INDIRECT(Equipo!$F$4&amp;"!"&amp;ADDRESS(10,COLUMN(G$9)+10)&amp;":"&amp;ADDRESS(1000,COLUMN(G$9)+10))),
SUMIF(INDIRECT(Equipo!$G$4&amp;"!B10:B1000"),$B180,INDIRECT(Equipo!$G$4&amp;"!"&amp;ADDRESS(10,COLUMN(G$9)+10)&amp;":"&amp;ADDRESS(1000,COLUMN(G$9)+10)))
))</f>
        <v>-</v>
      </c>
      <c r="H180" s="19" t="str">
        <f t="array" ref="H180">IF(ISBLANK(Tareas!$B176),"-",
SUM(
SUMIF(INDIRECT(Equipo!$C$4&amp;"!B10:B1000"),$B180,INDIRECT(Equipo!$C$4&amp;"!"&amp;ADDRESS(10,COLUMN(H$9)+10)&amp;":"&amp;ADDRESS(1000,COLUMN(H$9)+10))),
SUMIF(INDIRECT(Equipo!$D$4&amp;"!B10:B1000"),$B180,INDIRECT(Equipo!$D$4&amp;"!"&amp;ADDRESS(10,COLUMN(H$9)+10)&amp;":"&amp;ADDRESS(1000,COLUMN(H$9)+10))),
SUMIF(INDIRECT(Equipo!$E$4&amp;"!B10:B1000"),$B180,INDIRECT(Equipo!$E$4&amp;"!"&amp;ADDRESS(10,COLUMN(H$9)+10)&amp;":"&amp;ADDRESS(1000,COLUMN(H$9)+10))),
SUMIF(INDIRECT(Equipo!$F$4&amp;"!B10:B1000"),$B180,INDIRECT(Equipo!$F$4&amp;"!"&amp;ADDRESS(10,COLUMN(H$9)+10)&amp;":"&amp;ADDRESS(1000,COLUMN(H$9)+10))),
SUMIF(INDIRECT(Equipo!$G$4&amp;"!B10:B1000"),$B180,INDIRECT(Equipo!$G$4&amp;"!"&amp;ADDRESS(10,COLUMN(H$9)+10)&amp;":"&amp;ADDRESS(1000,COLUMN(H$9)+10)))
))</f>
        <v>-</v>
      </c>
      <c r="I180" s="19" t="str">
        <f t="array" ref="I180">IF(ISBLANK(Tareas!$B176),"-",
SUM(
SUMIF(INDIRECT(Equipo!$C$4&amp;"!B10:B1000"),$B180,INDIRECT(Equipo!$C$4&amp;"!"&amp;ADDRESS(10,COLUMN(I$9)+10)&amp;":"&amp;ADDRESS(1000,COLUMN(I$9)+10))),
SUMIF(INDIRECT(Equipo!$D$4&amp;"!B10:B1000"),$B180,INDIRECT(Equipo!$D$4&amp;"!"&amp;ADDRESS(10,COLUMN(I$9)+10)&amp;":"&amp;ADDRESS(1000,COLUMN(I$9)+10))),
SUMIF(INDIRECT(Equipo!$E$4&amp;"!B10:B1000"),$B180,INDIRECT(Equipo!$E$4&amp;"!"&amp;ADDRESS(10,COLUMN(I$9)+10)&amp;":"&amp;ADDRESS(1000,COLUMN(I$9)+10))),
SUMIF(INDIRECT(Equipo!$F$4&amp;"!B10:B1000"),$B180,INDIRECT(Equipo!$F$4&amp;"!"&amp;ADDRESS(10,COLUMN(I$9)+10)&amp;":"&amp;ADDRESS(1000,COLUMN(I$9)+10))),
SUMIF(INDIRECT(Equipo!$G$4&amp;"!B10:B1000"),$B180,INDIRECT(Equipo!$G$4&amp;"!"&amp;ADDRESS(10,COLUMN(I$9)+10)&amp;":"&amp;ADDRESS(1000,COLUMN(I$9)+10)))
))</f>
        <v>-</v>
      </c>
      <c r="J180" s="19" t="str">
        <f t="array" ref="J180">IF(ISBLANK(Tareas!$B176),"-",
SUM(
SUMIF(INDIRECT(Equipo!$C$4&amp;"!B10:B1000"),$B180,INDIRECT(Equipo!$C$4&amp;"!"&amp;ADDRESS(10,COLUMN(J$9)+10)&amp;":"&amp;ADDRESS(1000,COLUMN(J$9)+10))),
SUMIF(INDIRECT(Equipo!$D$4&amp;"!B10:B1000"),$B180,INDIRECT(Equipo!$D$4&amp;"!"&amp;ADDRESS(10,COLUMN(J$9)+10)&amp;":"&amp;ADDRESS(1000,COLUMN(J$9)+10))),
SUMIF(INDIRECT(Equipo!$E$4&amp;"!B10:B1000"),$B180,INDIRECT(Equipo!$E$4&amp;"!"&amp;ADDRESS(10,COLUMN(J$9)+10)&amp;":"&amp;ADDRESS(1000,COLUMN(J$9)+10))),
SUMIF(INDIRECT(Equipo!$F$4&amp;"!B10:B1000"),$B180,INDIRECT(Equipo!$F$4&amp;"!"&amp;ADDRESS(10,COLUMN(J$9)+10)&amp;":"&amp;ADDRESS(1000,COLUMN(J$9)+10))),
SUMIF(INDIRECT(Equipo!$G$4&amp;"!B10:B1000"),$B180,INDIRECT(Equipo!$G$4&amp;"!"&amp;ADDRESS(10,COLUMN(J$9)+10)&amp;":"&amp;ADDRESS(1000,COLUMN(J$9)+10)))
))</f>
        <v>-</v>
      </c>
      <c r="K180" s="19" t="str">
        <f t="array" ref="K180">IF(ISBLANK(Tareas!$B176),"-",
SUM(
SUMIF(INDIRECT(Equipo!$C$4&amp;"!B10:B1000"),$B180,INDIRECT(Equipo!$C$4&amp;"!"&amp;ADDRESS(10,COLUMN(K$9)+10)&amp;":"&amp;ADDRESS(1000,COLUMN(K$9)+10))),
SUMIF(INDIRECT(Equipo!$D$4&amp;"!B10:B1000"),$B180,INDIRECT(Equipo!$D$4&amp;"!"&amp;ADDRESS(10,COLUMN(K$9)+10)&amp;":"&amp;ADDRESS(1000,COLUMN(K$9)+10))),
SUMIF(INDIRECT(Equipo!$E$4&amp;"!B10:B1000"),$B180,INDIRECT(Equipo!$E$4&amp;"!"&amp;ADDRESS(10,COLUMN(K$9)+10)&amp;":"&amp;ADDRESS(1000,COLUMN(K$9)+10))),
SUMIF(INDIRECT(Equipo!$F$4&amp;"!B10:B1000"),$B180,INDIRECT(Equipo!$F$4&amp;"!"&amp;ADDRESS(10,COLUMN(K$9)+10)&amp;":"&amp;ADDRESS(1000,COLUMN(K$9)+10))),
SUMIF(INDIRECT(Equipo!$G$4&amp;"!B10:B1000"),$B180,INDIRECT(Equipo!$G$4&amp;"!"&amp;ADDRESS(10,COLUMN(K$9)+10)&amp;":"&amp;ADDRESS(1000,COLUMN(K$9)+10)))
))</f>
        <v>-</v>
      </c>
    </row>
    <row r="181" ht="15.75" customHeight="1">
      <c r="C181" s="19" t="str">
        <f>IF(ISBLANK(Tareas!$B177),"-",SUM(D181:K181))</f>
        <v>-</v>
      </c>
      <c r="D181" s="19" t="str">
        <f t="array" ref="D181">IF(ISBLANK(Tareas!$B177),"-",
SUM(
SUMIF(INDIRECT(Equipo!$C$4&amp;"!B10:B1000"),$B181,INDIRECT(Equipo!$C$4&amp;"!"&amp;ADDRESS(10,COLUMN(D$9)+10)&amp;":"&amp;ADDRESS(1000,COLUMN(D$9)+10))),
SUMIF(INDIRECT(Equipo!$D$4&amp;"!B10:B1000"),$B181,INDIRECT(Equipo!$D$4&amp;"!"&amp;ADDRESS(10,COLUMN(D$9)+10)&amp;":"&amp;ADDRESS(1000,COLUMN(D$9)+10))),
SUMIF(INDIRECT(Equipo!$E$4&amp;"!B10:B1000"),$B181,INDIRECT(Equipo!$E$4&amp;"!"&amp;ADDRESS(10,COLUMN(D$9)+10)&amp;":"&amp;ADDRESS(1000,COLUMN(D$9)+10))),
SUMIF(INDIRECT(Equipo!$F$4&amp;"!B10:B1000"),$B181,INDIRECT(Equipo!$F$4&amp;"!"&amp;ADDRESS(10,COLUMN(D$9)+10)&amp;":"&amp;ADDRESS(1000,COLUMN(D$9)+10))),
SUMIF(INDIRECT(Equipo!$G$4&amp;"!B10:B1000"),$B181,INDIRECT(Equipo!$G$4&amp;"!"&amp;ADDRESS(10,COLUMN(D$9)+10)&amp;":"&amp;ADDRESS(1000,COLUMN(D$9)+10)))
))</f>
        <v>-</v>
      </c>
      <c r="E181" s="19" t="str">
        <f t="array" ref="E181">IF(ISBLANK(Tareas!$B177),"-",
SUM(
SUMIF(INDIRECT(Equipo!$C$4&amp;"!B10:B1000"),$B181,INDIRECT(Equipo!$C$4&amp;"!"&amp;ADDRESS(10,COLUMN(E$9)+10)&amp;":"&amp;ADDRESS(1000,COLUMN(E$9)+10))),
SUMIF(INDIRECT(Equipo!$D$4&amp;"!B10:B1000"),$B181,INDIRECT(Equipo!$D$4&amp;"!"&amp;ADDRESS(10,COLUMN(E$9)+10)&amp;":"&amp;ADDRESS(1000,COLUMN(E$9)+10))),
SUMIF(INDIRECT(Equipo!$E$4&amp;"!B10:B1000"),$B181,INDIRECT(Equipo!$E$4&amp;"!"&amp;ADDRESS(10,COLUMN(E$9)+10)&amp;":"&amp;ADDRESS(1000,COLUMN(E$9)+10))),
SUMIF(INDIRECT(Equipo!$F$4&amp;"!B10:B1000"),$B181,INDIRECT(Equipo!$F$4&amp;"!"&amp;ADDRESS(10,COLUMN(E$9)+10)&amp;":"&amp;ADDRESS(1000,COLUMN(E$9)+10))),
SUMIF(INDIRECT(Equipo!$G$4&amp;"!B10:B1000"),$B181,INDIRECT(Equipo!$G$4&amp;"!"&amp;ADDRESS(10,COLUMN(E$9)+10)&amp;":"&amp;ADDRESS(1000,COLUMN(E$9)+10)))
))</f>
        <v>-</v>
      </c>
      <c r="F181" s="19" t="str">
        <f t="array" ref="F181">IF(ISBLANK(Tareas!$B177),"-",
SUM(
SUMIF(INDIRECT(Equipo!$C$4&amp;"!B10:B1000"),$B181,INDIRECT(Equipo!$C$4&amp;"!"&amp;ADDRESS(10,COLUMN(F$9)+10)&amp;":"&amp;ADDRESS(1000,COLUMN(F$9)+10))),
SUMIF(INDIRECT(Equipo!$D$4&amp;"!B10:B1000"),$B181,INDIRECT(Equipo!$D$4&amp;"!"&amp;ADDRESS(10,COLUMN(F$9)+10)&amp;":"&amp;ADDRESS(1000,COLUMN(F$9)+10))),
SUMIF(INDIRECT(Equipo!$E$4&amp;"!B10:B1000"),$B181,INDIRECT(Equipo!$E$4&amp;"!"&amp;ADDRESS(10,COLUMN(F$9)+10)&amp;":"&amp;ADDRESS(1000,COLUMN(F$9)+10))),
SUMIF(INDIRECT(Equipo!$F$4&amp;"!B10:B1000"),$B181,INDIRECT(Equipo!$F$4&amp;"!"&amp;ADDRESS(10,COLUMN(F$9)+10)&amp;":"&amp;ADDRESS(1000,COLUMN(F$9)+10))),
SUMIF(INDIRECT(Equipo!$G$4&amp;"!B10:B1000"),$B181,INDIRECT(Equipo!$G$4&amp;"!"&amp;ADDRESS(10,COLUMN(F$9)+10)&amp;":"&amp;ADDRESS(1000,COLUMN(F$9)+10)))
))</f>
        <v>-</v>
      </c>
      <c r="G181" s="19" t="str">
        <f t="array" ref="G181">IF(ISBLANK(Tareas!$B177),"-",
SUM(
SUMIF(INDIRECT(Equipo!$C$4&amp;"!B10:B1000"),$B181,INDIRECT(Equipo!$C$4&amp;"!"&amp;ADDRESS(10,COLUMN(G$9)+10)&amp;":"&amp;ADDRESS(1000,COLUMN(G$9)+10))),
SUMIF(INDIRECT(Equipo!$D$4&amp;"!B10:B1000"),$B181,INDIRECT(Equipo!$D$4&amp;"!"&amp;ADDRESS(10,COLUMN(G$9)+10)&amp;":"&amp;ADDRESS(1000,COLUMN(G$9)+10))),
SUMIF(INDIRECT(Equipo!$E$4&amp;"!B10:B1000"),$B181,INDIRECT(Equipo!$E$4&amp;"!"&amp;ADDRESS(10,COLUMN(G$9)+10)&amp;":"&amp;ADDRESS(1000,COLUMN(G$9)+10))),
SUMIF(INDIRECT(Equipo!$F$4&amp;"!B10:B1000"),$B181,INDIRECT(Equipo!$F$4&amp;"!"&amp;ADDRESS(10,COLUMN(G$9)+10)&amp;":"&amp;ADDRESS(1000,COLUMN(G$9)+10))),
SUMIF(INDIRECT(Equipo!$G$4&amp;"!B10:B1000"),$B181,INDIRECT(Equipo!$G$4&amp;"!"&amp;ADDRESS(10,COLUMN(G$9)+10)&amp;":"&amp;ADDRESS(1000,COLUMN(G$9)+10)))
))</f>
        <v>-</v>
      </c>
      <c r="H181" s="19" t="str">
        <f t="array" ref="H181">IF(ISBLANK(Tareas!$B177),"-",
SUM(
SUMIF(INDIRECT(Equipo!$C$4&amp;"!B10:B1000"),$B181,INDIRECT(Equipo!$C$4&amp;"!"&amp;ADDRESS(10,COLUMN(H$9)+10)&amp;":"&amp;ADDRESS(1000,COLUMN(H$9)+10))),
SUMIF(INDIRECT(Equipo!$D$4&amp;"!B10:B1000"),$B181,INDIRECT(Equipo!$D$4&amp;"!"&amp;ADDRESS(10,COLUMN(H$9)+10)&amp;":"&amp;ADDRESS(1000,COLUMN(H$9)+10))),
SUMIF(INDIRECT(Equipo!$E$4&amp;"!B10:B1000"),$B181,INDIRECT(Equipo!$E$4&amp;"!"&amp;ADDRESS(10,COLUMN(H$9)+10)&amp;":"&amp;ADDRESS(1000,COLUMN(H$9)+10))),
SUMIF(INDIRECT(Equipo!$F$4&amp;"!B10:B1000"),$B181,INDIRECT(Equipo!$F$4&amp;"!"&amp;ADDRESS(10,COLUMN(H$9)+10)&amp;":"&amp;ADDRESS(1000,COLUMN(H$9)+10))),
SUMIF(INDIRECT(Equipo!$G$4&amp;"!B10:B1000"),$B181,INDIRECT(Equipo!$G$4&amp;"!"&amp;ADDRESS(10,COLUMN(H$9)+10)&amp;":"&amp;ADDRESS(1000,COLUMN(H$9)+10)))
))</f>
        <v>-</v>
      </c>
      <c r="I181" s="19" t="str">
        <f t="array" ref="I181">IF(ISBLANK(Tareas!$B177),"-",
SUM(
SUMIF(INDIRECT(Equipo!$C$4&amp;"!B10:B1000"),$B181,INDIRECT(Equipo!$C$4&amp;"!"&amp;ADDRESS(10,COLUMN(I$9)+10)&amp;":"&amp;ADDRESS(1000,COLUMN(I$9)+10))),
SUMIF(INDIRECT(Equipo!$D$4&amp;"!B10:B1000"),$B181,INDIRECT(Equipo!$D$4&amp;"!"&amp;ADDRESS(10,COLUMN(I$9)+10)&amp;":"&amp;ADDRESS(1000,COLUMN(I$9)+10))),
SUMIF(INDIRECT(Equipo!$E$4&amp;"!B10:B1000"),$B181,INDIRECT(Equipo!$E$4&amp;"!"&amp;ADDRESS(10,COLUMN(I$9)+10)&amp;":"&amp;ADDRESS(1000,COLUMN(I$9)+10))),
SUMIF(INDIRECT(Equipo!$F$4&amp;"!B10:B1000"),$B181,INDIRECT(Equipo!$F$4&amp;"!"&amp;ADDRESS(10,COLUMN(I$9)+10)&amp;":"&amp;ADDRESS(1000,COLUMN(I$9)+10))),
SUMIF(INDIRECT(Equipo!$G$4&amp;"!B10:B1000"),$B181,INDIRECT(Equipo!$G$4&amp;"!"&amp;ADDRESS(10,COLUMN(I$9)+10)&amp;":"&amp;ADDRESS(1000,COLUMN(I$9)+10)))
))</f>
        <v>-</v>
      </c>
      <c r="J181" s="19" t="str">
        <f t="array" ref="J181">IF(ISBLANK(Tareas!$B177),"-",
SUM(
SUMIF(INDIRECT(Equipo!$C$4&amp;"!B10:B1000"),$B181,INDIRECT(Equipo!$C$4&amp;"!"&amp;ADDRESS(10,COLUMN(J$9)+10)&amp;":"&amp;ADDRESS(1000,COLUMN(J$9)+10))),
SUMIF(INDIRECT(Equipo!$D$4&amp;"!B10:B1000"),$B181,INDIRECT(Equipo!$D$4&amp;"!"&amp;ADDRESS(10,COLUMN(J$9)+10)&amp;":"&amp;ADDRESS(1000,COLUMN(J$9)+10))),
SUMIF(INDIRECT(Equipo!$E$4&amp;"!B10:B1000"),$B181,INDIRECT(Equipo!$E$4&amp;"!"&amp;ADDRESS(10,COLUMN(J$9)+10)&amp;":"&amp;ADDRESS(1000,COLUMN(J$9)+10))),
SUMIF(INDIRECT(Equipo!$F$4&amp;"!B10:B1000"),$B181,INDIRECT(Equipo!$F$4&amp;"!"&amp;ADDRESS(10,COLUMN(J$9)+10)&amp;":"&amp;ADDRESS(1000,COLUMN(J$9)+10))),
SUMIF(INDIRECT(Equipo!$G$4&amp;"!B10:B1000"),$B181,INDIRECT(Equipo!$G$4&amp;"!"&amp;ADDRESS(10,COLUMN(J$9)+10)&amp;":"&amp;ADDRESS(1000,COLUMN(J$9)+10)))
))</f>
        <v>-</v>
      </c>
      <c r="K181" s="19" t="str">
        <f t="array" ref="K181">IF(ISBLANK(Tareas!$B177),"-",
SUM(
SUMIF(INDIRECT(Equipo!$C$4&amp;"!B10:B1000"),$B181,INDIRECT(Equipo!$C$4&amp;"!"&amp;ADDRESS(10,COLUMN(K$9)+10)&amp;":"&amp;ADDRESS(1000,COLUMN(K$9)+10))),
SUMIF(INDIRECT(Equipo!$D$4&amp;"!B10:B1000"),$B181,INDIRECT(Equipo!$D$4&amp;"!"&amp;ADDRESS(10,COLUMN(K$9)+10)&amp;":"&amp;ADDRESS(1000,COLUMN(K$9)+10))),
SUMIF(INDIRECT(Equipo!$E$4&amp;"!B10:B1000"),$B181,INDIRECT(Equipo!$E$4&amp;"!"&amp;ADDRESS(10,COLUMN(K$9)+10)&amp;":"&amp;ADDRESS(1000,COLUMN(K$9)+10))),
SUMIF(INDIRECT(Equipo!$F$4&amp;"!B10:B1000"),$B181,INDIRECT(Equipo!$F$4&amp;"!"&amp;ADDRESS(10,COLUMN(K$9)+10)&amp;":"&amp;ADDRESS(1000,COLUMN(K$9)+10))),
SUMIF(INDIRECT(Equipo!$G$4&amp;"!B10:B1000"),$B181,INDIRECT(Equipo!$G$4&amp;"!"&amp;ADDRESS(10,COLUMN(K$9)+10)&amp;":"&amp;ADDRESS(1000,COLUMN(K$9)+10)))
))</f>
        <v>-</v>
      </c>
    </row>
    <row r="182" ht="15.75" customHeight="1">
      <c r="C182" s="19" t="str">
        <f>IF(ISBLANK(Tareas!$B178),"-",SUM(D182:K182))</f>
        <v>-</v>
      </c>
      <c r="D182" s="19" t="str">
        <f t="array" ref="D182">IF(ISBLANK(Tareas!$B178),"-",
SUM(
SUMIF(INDIRECT(Equipo!$C$4&amp;"!B10:B1000"),$B182,INDIRECT(Equipo!$C$4&amp;"!"&amp;ADDRESS(10,COLUMN(D$9)+10)&amp;":"&amp;ADDRESS(1000,COLUMN(D$9)+10))),
SUMIF(INDIRECT(Equipo!$D$4&amp;"!B10:B1000"),$B182,INDIRECT(Equipo!$D$4&amp;"!"&amp;ADDRESS(10,COLUMN(D$9)+10)&amp;":"&amp;ADDRESS(1000,COLUMN(D$9)+10))),
SUMIF(INDIRECT(Equipo!$E$4&amp;"!B10:B1000"),$B182,INDIRECT(Equipo!$E$4&amp;"!"&amp;ADDRESS(10,COLUMN(D$9)+10)&amp;":"&amp;ADDRESS(1000,COLUMN(D$9)+10))),
SUMIF(INDIRECT(Equipo!$F$4&amp;"!B10:B1000"),$B182,INDIRECT(Equipo!$F$4&amp;"!"&amp;ADDRESS(10,COLUMN(D$9)+10)&amp;":"&amp;ADDRESS(1000,COLUMN(D$9)+10))),
SUMIF(INDIRECT(Equipo!$G$4&amp;"!B10:B1000"),$B182,INDIRECT(Equipo!$G$4&amp;"!"&amp;ADDRESS(10,COLUMN(D$9)+10)&amp;":"&amp;ADDRESS(1000,COLUMN(D$9)+10)))
))</f>
        <v>-</v>
      </c>
      <c r="E182" s="19" t="str">
        <f t="array" ref="E182">IF(ISBLANK(Tareas!$B178),"-",
SUM(
SUMIF(INDIRECT(Equipo!$C$4&amp;"!B10:B1000"),$B182,INDIRECT(Equipo!$C$4&amp;"!"&amp;ADDRESS(10,COLUMN(E$9)+10)&amp;":"&amp;ADDRESS(1000,COLUMN(E$9)+10))),
SUMIF(INDIRECT(Equipo!$D$4&amp;"!B10:B1000"),$B182,INDIRECT(Equipo!$D$4&amp;"!"&amp;ADDRESS(10,COLUMN(E$9)+10)&amp;":"&amp;ADDRESS(1000,COLUMN(E$9)+10))),
SUMIF(INDIRECT(Equipo!$E$4&amp;"!B10:B1000"),$B182,INDIRECT(Equipo!$E$4&amp;"!"&amp;ADDRESS(10,COLUMN(E$9)+10)&amp;":"&amp;ADDRESS(1000,COLUMN(E$9)+10))),
SUMIF(INDIRECT(Equipo!$F$4&amp;"!B10:B1000"),$B182,INDIRECT(Equipo!$F$4&amp;"!"&amp;ADDRESS(10,COLUMN(E$9)+10)&amp;":"&amp;ADDRESS(1000,COLUMN(E$9)+10))),
SUMIF(INDIRECT(Equipo!$G$4&amp;"!B10:B1000"),$B182,INDIRECT(Equipo!$G$4&amp;"!"&amp;ADDRESS(10,COLUMN(E$9)+10)&amp;":"&amp;ADDRESS(1000,COLUMN(E$9)+10)))
))</f>
        <v>-</v>
      </c>
      <c r="F182" s="19" t="str">
        <f t="array" ref="F182">IF(ISBLANK(Tareas!$B178),"-",
SUM(
SUMIF(INDIRECT(Equipo!$C$4&amp;"!B10:B1000"),$B182,INDIRECT(Equipo!$C$4&amp;"!"&amp;ADDRESS(10,COLUMN(F$9)+10)&amp;":"&amp;ADDRESS(1000,COLUMN(F$9)+10))),
SUMIF(INDIRECT(Equipo!$D$4&amp;"!B10:B1000"),$B182,INDIRECT(Equipo!$D$4&amp;"!"&amp;ADDRESS(10,COLUMN(F$9)+10)&amp;":"&amp;ADDRESS(1000,COLUMN(F$9)+10))),
SUMIF(INDIRECT(Equipo!$E$4&amp;"!B10:B1000"),$B182,INDIRECT(Equipo!$E$4&amp;"!"&amp;ADDRESS(10,COLUMN(F$9)+10)&amp;":"&amp;ADDRESS(1000,COLUMN(F$9)+10))),
SUMIF(INDIRECT(Equipo!$F$4&amp;"!B10:B1000"),$B182,INDIRECT(Equipo!$F$4&amp;"!"&amp;ADDRESS(10,COLUMN(F$9)+10)&amp;":"&amp;ADDRESS(1000,COLUMN(F$9)+10))),
SUMIF(INDIRECT(Equipo!$G$4&amp;"!B10:B1000"),$B182,INDIRECT(Equipo!$G$4&amp;"!"&amp;ADDRESS(10,COLUMN(F$9)+10)&amp;":"&amp;ADDRESS(1000,COLUMN(F$9)+10)))
))</f>
        <v>-</v>
      </c>
      <c r="G182" s="19" t="str">
        <f t="array" ref="G182">IF(ISBLANK(Tareas!$B178),"-",
SUM(
SUMIF(INDIRECT(Equipo!$C$4&amp;"!B10:B1000"),$B182,INDIRECT(Equipo!$C$4&amp;"!"&amp;ADDRESS(10,COLUMN(G$9)+10)&amp;":"&amp;ADDRESS(1000,COLUMN(G$9)+10))),
SUMIF(INDIRECT(Equipo!$D$4&amp;"!B10:B1000"),$B182,INDIRECT(Equipo!$D$4&amp;"!"&amp;ADDRESS(10,COLUMN(G$9)+10)&amp;":"&amp;ADDRESS(1000,COLUMN(G$9)+10))),
SUMIF(INDIRECT(Equipo!$E$4&amp;"!B10:B1000"),$B182,INDIRECT(Equipo!$E$4&amp;"!"&amp;ADDRESS(10,COLUMN(G$9)+10)&amp;":"&amp;ADDRESS(1000,COLUMN(G$9)+10))),
SUMIF(INDIRECT(Equipo!$F$4&amp;"!B10:B1000"),$B182,INDIRECT(Equipo!$F$4&amp;"!"&amp;ADDRESS(10,COLUMN(G$9)+10)&amp;":"&amp;ADDRESS(1000,COLUMN(G$9)+10))),
SUMIF(INDIRECT(Equipo!$G$4&amp;"!B10:B1000"),$B182,INDIRECT(Equipo!$G$4&amp;"!"&amp;ADDRESS(10,COLUMN(G$9)+10)&amp;":"&amp;ADDRESS(1000,COLUMN(G$9)+10)))
))</f>
        <v>-</v>
      </c>
      <c r="H182" s="19" t="str">
        <f t="array" ref="H182">IF(ISBLANK(Tareas!$B178),"-",
SUM(
SUMIF(INDIRECT(Equipo!$C$4&amp;"!B10:B1000"),$B182,INDIRECT(Equipo!$C$4&amp;"!"&amp;ADDRESS(10,COLUMN(H$9)+10)&amp;":"&amp;ADDRESS(1000,COLUMN(H$9)+10))),
SUMIF(INDIRECT(Equipo!$D$4&amp;"!B10:B1000"),$B182,INDIRECT(Equipo!$D$4&amp;"!"&amp;ADDRESS(10,COLUMN(H$9)+10)&amp;":"&amp;ADDRESS(1000,COLUMN(H$9)+10))),
SUMIF(INDIRECT(Equipo!$E$4&amp;"!B10:B1000"),$B182,INDIRECT(Equipo!$E$4&amp;"!"&amp;ADDRESS(10,COLUMN(H$9)+10)&amp;":"&amp;ADDRESS(1000,COLUMN(H$9)+10))),
SUMIF(INDIRECT(Equipo!$F$4&amp;"!B10:B1000"),$B182,INDIRECT(Equipo!$F$4&amp;"!"&amp;ADDRESS(10,COLUMN(H$9)+10)&amp;":"&amp;ADDRESS(1000,COLUMN(H$9)+10))),
SUMIF(INDIRECT(Equipo!$G$4&amp;"!B10:B1000"),$B182,INDIRECT(Equipo!$G$4&amp;"!"&amp;ADDRESS(10,COLUMN(H$9)+10)&amp;":"&amp;ADDRESS(1000,COLUMN(H$9)+10)))
))</f>
        <v>-</v>
      </c>
      <c r="I182" s="19" t="str">
        <f t="array" ref="I182">IF(ISBLANK(Tareas!$B178),"-",
SUM(
SUMIF(INDIRECT(Equipo!$C$4&amp;"!B10:B1000"),$B182,INDIRECT(Equipo!$C$4&amp;"!"&amp;ADDRESS(10,COLUMN(I$9)+10)&amp;":"&amp;ADDRESS(1000,COLUMN(I$9)+10))),
SUMIF(INDIRECT(Equipo!$D$4&amp;"!B10:B1000"),$B182,INDIRECT(Equipo!$D$4&amp;"!"&amp;ADDRESS(10,COLUMN(I$9)+10)&amp;":"&amp;ADDRESS(1000,COLUMN(I$9)+10))),
SUMIF(INDIRECT(Equipo!$E$4&amp;"!B10:B1000"),$B182,INDIRECT(Equipo!$E$4&amp;"!"&amp;ADDRESS(10,COLUMN(I$9)+10)&amp;":"&amp;ADDRESS(1000,COLUMN(I$9)+10))),
SUMIF(INDIRECT(Equipo!$F$4&amp;"!B10:B1000"),$B182,INDIRECT(Equipo!$F$4&amp;"!"&amp;ADDRESS(10,COLUMN(I$9)+10)&amp;":"&amp;ADDRESS(1000,COLUMN(I$9)+10))),
SUMIF(INDIRECT(Equipo!$G$4&amp;"!B10:B1000"),$B182,INDIRECT(Equipo!$G$4&amp;"!"&amp;ADDRESS(10,COLUMN(I$9)+10)&amp;":"&amp;ADDRESS(1000,COLUMN(I$9)+10)))
))</f>
        <v>-</v>
      </c>
      <c r="J182" s="19" t="str">
        <f t="array" ref="J182">IF(ISBLANK(Tareas!$B178),"-",
SUM(
SUMIF(INDIRECT(Equipo!$C$4&amp;"!B10:B1000"),$B182,INDIRECT(Equipo!$C$4&amp;"!"&amp;ADDRESS(10,COLUMN(J$9)+10)&amp;":"&amp;ADDRESS(1000,COLUMN(J$9)+10))),
SUMIF(INDIRECT(Equipo!$D$4&amp;"!B10:B1000"),$B182,INDIRECT(Equipo!$D$4&amp;"!"&amp;ADDRESS(10,COLUMN(J$9)+10)&amp;":"&amp;ADDRESS(1000,COLUMN(J$9)+10))),
SUMIF(INDIRECT(Equipo!$E$4&amp;"!B10:B1000"),$B182,INDIRECT(Equipo!$E$4&amp;"!"&amp;ADDRESS(10,COLUMN(J$9)+10)&amp;":"&amp;ADDRESS(1000,COLUMN(J$9)+10))),
SUMIF(INDIRECT(Equipo!$F$4&amp;"!B10:B1000"),$B182,INDIRECT(Equipo!$F$4&amp;"!"&amp;ADDRESS(10,COLUMN(J$9)+10)&amp;":"&amp;ADDRESS(1000,COLUMN(J$9)+10))),
SUMIF(INDIRECT(Equipo!$G$4&amp;"!B10:B1000"),$B182,INDIRECT(Equipo!$G$4&amp;"!"&amp;ADDRESS(10,COLUMN(J$9)+10)&amp;":"&amp;ADDRESS(1000,COLUMN(J$9)+10)))
))</f>
        <v>-</v>
      </c>
      <c r="K182" s="19" t="str">
        <f t="array" ref="K182">IF(ISBLANK(Tareas!$B178),"-",
SUM(
SUMIF(INDIRECT(Equipo!$C$4&amp;"!B10:B1000"),$B182,INDIRECT(Equipo!$C$4&amp;"!"&amp;ADDRESS(10,COLUMN(K$9)+10)&amp;":"&amp;ADDRESS(1000,COLUMN(K$9)+10))),
SUMIF(INDIRECT(Equipo!$D$4&amp;"!B10:B1000"),$B182,INDIRECT(Equipo!$D$4&amp;"!"&amp;ADDRESS(10,COLUMN(K$9)+10)&amp;":"&amp;ADDRESS(1000,COLUMN(K$9)+10))),
SUMIF(INDIRECT(Equipo!$E$4&amp;"!B10:B1000"),$B182,INDIRECT(Equipo!$E$4&amp;"!"&amp;ADDRESS(10,COLUMN(K$9)+10)&amp;":"&amp;ADDRESS(1000,COLUMN(K$9)+10))),
SUMIF(INDIRECT(Equipo!$F$4&amp;"!B10:B1000"),$B182,INDIRECT(Equipo!$F$4&amp;"!"&amp;ADDRESS(10,COLUMN(K$9)+10)&amp;":"&amp;ADDRESS(1000,COLUMN(K$9)+10))),
SUMIF(INDIRECT(Equipo!$G$4&amp;"!B10:B1000"),$B182,INDIRECT(Equipo!$G$4&amp;"!"&amp;ADDRESS(10,COLUMN(K$9)+10)&amp;":"&amp;ADDRESS(1000,COLUMN(K$9)+10)))
))</f>
        <v>-</v>
      </c>
    </row>
    <row r="183" ht="15.75" customHeight="1">
      <c r="C183" s="19" t="str">
        <f>IF(ISBLANK(Tareas!$B179),"-",SUM(D183:K183))</f>
        <v>-</v>
      </c>
      <c r="D183" s="19" t="str">
        <f t="array" ref="D183">IF(ISBLANK(Tareas!$B179),"-",
SUM(
SUMIF(INDIRECT(Equipo!$C$4&amp;"!B10:B1000"),$B183,INDIRECT(Equipo!$C$4&amp;"!"&amp;ADDRESS(10,COLUMN(D$9)+10)&amp;":"&amp;ADDRESS(1000,COLUMN(D$9)+10))),
SUMIF(INDIRECT(Equipo!$D$4&amp;"!B10:B1000"),$B183,INDIRECT(Equipo!$D$4&amp;"!"&amp;ADDRESS(10,COLUMN(D$9)+10)&amp;":"&amp;ADDRESS(1000,COLUMN(D$9)+10))),
SUMIF(INDIRECT(Equipo!$E$4&amp;"!B10:B1000"),$B183,INDIRECT(Equipo!$E$4&amp;"!"&amp;ADDRESS(10,COLUMN(D$9)+10)&amp;":"&amp;ADDRESS(1000,COLUMN(D$9)+10))),
SUMIF(INDIRECT(Equipo!$F$4&amp;"!B10:B1000"),$B183,INDIRECT(Equipo!$F$4&amp;"!"&amp;ADDRESS(10,COLUMN(D$9)+10)&amp;":"&amp;ADDRESS(1000,COLUMN(D$9)+10))),
SUMIF(INDIRECT(Equipo!$G$4&amp;"!B10:B1000"),$B183,INDIRECT(Equipo!$G$4&amp;"!"&amp;ADDRESS(10,COLUMN(D$9)+10)&amp;":"&amp;ADDRESS(1000,COLUMN(D$9)+10)))
))</f>
        <v>-</v>
      </c>
      <c r="E183" s="19" t="str">
        <f t="array" ref="E183">IF(ISBLANK(Tareas!$B179),"-",
SUM(
SUMIF(INDIRECT(Equipo!$C$4&amp;"!B10:B1000"),$B183,INDIRECT(Equipo!$C$4&amp;"!"&amp;ADDRESS(10,COLUMN(E$9)+10)&amp;":"&amp;ADDRESS(1000,COLUMN(E$9)+10))),
SUMIF(INDIRECT(Equipo!$D$4&amp;"!B10:B1000"),$B183,INDIRECT(Equipo!$D$4&amp;"!"&amp;ADDRESS(10,COLUMN(E$9)+10)&amp;":"&amp;ADDRESS(1000,COLUMN(E$9)+10))),
SUMIF(INDIRECT(Equipo!$E$4&amp;"!B10:B1000"),$B183,INDIRECT(Equipo!$E$4&amp;"!"&amp;ADDRESS(10,COLUMN(E$9)+10)&amp;":"&amp;ADDRESS(1000,COLUMN(E$9)+10))),
SUMIF(INDIRECT(Equipo!$F$4&amp;"!B10:B1000"),$B183,INDIRECT(Equipo!$F$4&amp;"!"&amp;ADDRESS(10,COLUMN(E$9)+10)&amp;":"&amp;ADDRESS(1000,COLUMN(E$9)+10))),
SUMIF(INDIRECT(Equipo!$G$4&amp;"!B10:B1000"),$B183,INDIRECT(Equipo!$G$4&amp;"!"&amp;ADDRESS(10,COLUMN(E$9)+10)&amp;":"&amp;ADDRESS(1000,COLUMN(E$9)+10)))
))</f>
        <v>-</v>
      </c>
      <c r="F183" s="19" t="str">
        <f t="array" ref="F183">IF(ISBLANK(Tareas!$B179),"-",
SUM(
SUMIF(INDIRECT(Equipo!$C$4&amp;"!B10:B1000"),$B183,INDIRECT(Equipo!$C$4&amp;"!"&amp;ADDRESS(10,COLUMN(F$9)+10)&amp;":"&amp;ADDRESS(1000,COLUMN(F$9)+10))),
SUMIF(INDIRECT(Equipo!$D$4&amp;"!B10:B1000"),$B183,INDIRECT(Equipo!$D$4&amp;"!"&amp;ADDRESS(10,COLUMN(F$9)+10)&amp;":"&amp;ADDRESS(1000,COLUMN(F$9)+10))),
SUMIF(INDIRECT(Equipo!$E$4&amp;"!B10:B1000"),$B183,INDIRECT(Equipo!$E$4&amp;"!"&amp;ADDRESS(10,COLUMN(F$9)+10)&amp;":"&amp;ADDRESS(1000,COLUMN(F$9)+10))),
SUMIF(INDIRECT(Equipo!$F$4&amp;"!B10:B1000"),$B183,INDIRECT(Equipo!$F$4&amp;"!"&amp;ADDRESS(10,COLUMN(F$9)+10)&amp;":"&amp;ADDRESS(1000,COLUMN(F$9)+10))),
SUMIF(INDIRECT(Equipo!$G$4&amp;"!B10:B1000"),$B183,INDIRECT(Equipo!$G$4&amp;"!"&amp;ADDRESS(10,COLUMN(F$9)+10)&amp;":"&amp;ADDRESS(1000,COLUMN(F$9)+10)))
))</f>
        <v>-</v>
      </c>
      <c r="G183" s="19" t="str">
        <f t="array" ref="G183">IF(ISBLANK(Tareas!$B179),"-",
SUM(
SUMIF(INDIRECT(Equipo!$C$4&amp;"!B10:B1000"),$B183,INDIRECT(Equipo!$C$4&amp;"!"&amp;ADDRESS(10,COLUMN(G$9)+10)&amp;":"&amp;ADDRESS(1000,COLUMN(G$9)+10))),
SUMIF(INDIRECT(Equipo!$D$4&amp;"!B10:B1000"),$B183,INDIRECT(Equipo!$D$4&amp;"!"&amp;ADDRESS(10,COLUMN(G$9)+10)&amp;":"&amp;ADDRESS(1000,COLUMN(G$9)+10))),
SUMIF(INDIRECT(Equipo!$E$4&amp;"!B10:B1000"),$B183,INDIRECT(Equipo!$E$4&amp;"!"&amp;ADDRESS(10,COLUMN(G$9)+10)&amp;":"&amp;ADDRESS(1000,COLUMN(G$9)+10))),
SUMIF(INDIRECT(Equipo!$F$4&amp;"!B10:B1000"),$B183,INDIRECT(Equipo!$F$4&amp;"!"&amp;ADDRESS(10,COLUMN(G$9)+10)&amp;":"&amp;ADDRESS(1000,COLUMN(G$9)+10))),
SUMIF(INDIRECT(Equipo!$G$4&amp;"!B10:B1000"),$B183,INDIRECT(Equipo!$G$4&amp;"!"&amp;ADDRESS(10,COLUMN(G$9)+10)&amp;":"&amp;ADDRESS(1000,COLUMN(G$9)+10)))
))</f>
        <v>-</v>
      </c>
      <c r="H183" s="19" t="str">
        <f t="array" ref="H183">IF(ISBLANK(Tareas!$B179),"-",
SUM(
SUMIF(INDIRECT(Equipo!$C$4&amp;"!B10:B1000"),$B183,INDIRECT(Equipo!$C$4&amp;"!"&amp;ADDRESS(10,COLUMN(H$9)+10)&amp;":"&amp;ADDRESS(1000,COLUMN(H$9)+10))),
SUMIF(INDIRECT(Equipo!$D$4&amp;"!B10:B1000"),$B183,INDIRECT(Equipo!$D$4&amp;"!"&amp;ADDRESS(10,COLUMN(H$9)+10)&amp;":"&amp;ADDRESS(1000,COLUMN(H$9)+10))),
SUMIF(INDIRECT(Equipo!$E$4&amp;"!B10:B1000"),$B183,INDIRECT(Equipo!$E$4&amp;"!"&amp;ADDRESS(10,COLUMN(H$9)+10)&amp;":"&amp;ADDRESS(1000,COLUMN(H$9)+10))),
SUMIF(INDIRECT(Equipo!$F$4&amp;"!B10:B1000"),$B183,INDIRECT(Equipo!$F$4&amp;"!"&amp;ADDRESS(10,COLUMN(H$9)+10)&amp;":"&amp;ADDRESS(1000,COLUMN(H$9)+10))),
SUMIF(INDIRECT(Equipo!$G$4&amp;"!B10:B1000"),$B183,INDIRECT(Equipo!$G$4&amp;"!"&amp;ADDRESS(10,COLUMN(H$9)+10)&amp;":"&amp;ADDRESS(1000,COLUMN(H$9)+10)))
))</f>
        <v>-</v>
      </c>
      <c r="I183" s="19" t="str">
        <f t="array" ref="I183">IF(ISBLANK(Tareas!$B179),"-",
SUM(
SUMIF(INDIRECT(Equipo!$C$4&amp;"!B10:B1000"),$B183,INDIRECT(Equipo!$C$4&amp;"!"&amp;ADDRESS(10,COLUMN(I$9)+10)&amp;":"&amp;ADDRESS(1000,COLUMN(I$9)+10))),
SUMIF(INDIRECT(Equipo!$D$4&amp;"!B10:B1000"),$B183,INDIRECT(Equipo!$D$4&amp;"!"&amp;ADDRESS(10,COLUMN(I$9)+10)&amp;":"&amp;ADDRESS(1000,COLUMN(I$9)+10))),
SUMIF(INDIRECT(Equipo!$E$4&amp;"!B10:B1000"),$B183,INDIRECT(Equipo!$E$4&amp;"!"&amp;ADDRESS(10,COLUMN(I$9)+10)&amp;":"&amp;ADDRESS(1000,COLUMN(I$9)+10))),
SUMIF(INDIRECT(Equipo!$F$4&amp;"!B10:B1000"),$B183,INDIRECT(Equipo!$F$4&amp;"!"&amp;ADDRESS(10,COLUMN(I$9)+10)&amp;":"&amp;ADDRESS(1000,COLUMN(I$9)+10))),
SUMIF(INDIRECT(Equipo!$G$4&amp;"!B10:B1000"),$B183,INDIRECT(Equipo!$G$4&amp;"!"&amp;ADDRESS(10,COLUMN(I$9)+10)&amp;":"&amp;ADDRESS(1000,COLUMN(I$9)+10)))
))</f>
        <v>-</v>
      </c>
      <c r="J183" s="19" t="str">
        <f t="array" ref="J183">IF(ISBLANK(Tareas!$B179),"-",
SUM(
SUMIF(INDIRECT(Equipo!$C$4&amp;"!B10:B1000"),$B183,INDIRECT(Equipo!$C$4&amp;"!"&amp;ADDRESS(10,COLUMN(J$9)+10)&amp;":"&amp;ADDRESS(1000,COLUMN(J$9)+10))),
SUMIF(INDIRECT(Equipo!$D$4&amp;"!B10:B1000"),$B183,INDIRECT(Equipo!$D$4&amp;"!"&amp;ADDRESS(10,COLUMN(J$9)+10)&amp;":"&amp;ADDRESS(1000,COLUMN(J$9)+10))),
SUMIF(INDIRECT(Equipo!$E$4&amp;"!B10:B1000"),$B183,INDIRECT(Equipo!$E$4&amp;"!"&amp;ADDRESS(10,COLUMN(J$9)+10)&amp;":"&amp;ADDRESS(1000,COLUMN(J$9)+10))),
SUMIF(INDIRECT(Equipo!$F$4&amp;"!B10:B1000"),$B183,INDIRECT(Equipo!$F$4&amp;"!"&amp;ADDRESS(10,COLUMN(J$9)+10)&amp;":"&amp;ADDRESS(1000,COLUMN(J$9)+10))),
SUMIF(INDIRECT(Equipo!$G$4&amp;"!B10:B1000"),$B183,INDIRECT(Equipo!$G$4&amp;"!"&amp;ADDRESS(10,COLUMN(J$9)+10)&amp;":"&amp;ADDRESS(1000,COLUMN(J$9)+10)))
))</f>
        <v>-</v>
      </c>
      <c r="K183" s="19" t="str">
        <f t="array" ref="K183">IF(ISBLANK(Tareas!$B179),"-",
SUM(
SUMIF(INDIRECT(Equipo!$C$4&amp;"!B10:B1000"),$B183,INDIRECT(Equipo!$C$4&amp;"!"&amp;ADDRESS(10,COLUMN(K$9)+10)&amp;":"&amp;ADDRESS(1000,COLUMN(K$9)+10))),
SUMIF(INDIRECT(Equipo!$D$4&amp;"!B10:B1000"),$B183,INDIRECT(Equipo!$D$4&amp;"!"&amp;ADDRESS(10,COLUMN(K$9)+10)&amp;":"&amp;ADDRESS(1000,COLUMN(K$9)+10))),
SUMIF(INDIRECT(Equipo!$E$4&amp;"!B10:B1000"),$B183,INDIRECT(Equipo!$E$4&amp;"!"&amp;ADDRESS(10,COLUMN(K$9)+10)&amp;":"&amp;ADDRESS(1000,COLUMN(K$9)+10))),
SUMIF(INDIRECT(Equipo!$F$4&amp;"!B10:B1000"),$B183,INDIRECT(Equipo!$F$4&amp;"!"&amp;ADDRESS(10,COLUMN(K$9)+10)&amp;":"&amp;ADDRESS(1000,COLUMN(K$9)+10))),
SUMIF(INDIRECT(Equipo!$G$4&amp;"!B10:B1000"),$B183,INDIRECT(Equipo!$G$4&amp;"!"&amp;ADDRESS(10,COLUMN(K$9)+10)&amp;":"&amp;ADDRESS(1000,COLUMN(K$9)+10)))
))</f>
        <v>-</v>
      </c>
    </row>
    <row r="184" ht="15.75" customHeight="1">
      <c r="C184" s="19" t="str">
        <f>IF(ISBLANK(Tareas!$B180),"-",SUM(D184:K184))</f>
        <v>-</v>
      </c>
      <c r="D184" s="19" t="str">
        <f t="array" ref="D184">IF(ISBLANK(Tareas!$B180),"-",
SUM(
SUMIF(INDIRECT(Equipo!$C$4&amp;"!B10:B1000"),$B184,INDIRECT(Equipo!$C$4&amp;"!"&amp;ADDRESS(10,COLUMN(D$9)+10)&amp;":"&amp;ADDRESS(1000,COLUMN(D$9)+10))),
SUMIF(INDIRECT(Equipo!$D$4&amp;"!B10:B1000"),$B184,INDIRECT(Equipo!$D$4&amp;"!"&amp;ADDRESS(10,COLUMN(D$9)+10)&amp;":"&amp;ADDRESS(1000,COLUMN(D$9)+10))),
SUMIF(INDIRECT(Equipo!$E$4&amp;"!B10:B1000"),$B184,INDIRECT(Equipo!$E$4&amp;"!"&amp;ADDRESS(10,COLUMN(D$9)+10)&amp;":"&amp;ADDRESS(1000,COLUMN(D$9)+10))),
SUMIF(INDIRECT(Equipo!$F$4&amp;"!B10:B1000"),$B184,INDIRECT(Equipo!$F$4&amp;"!"&amp;ADDRESS(10,COLUMN(D$9)+10)&amp;":"&amp;ADDRESS(1000,COLUMN(D$9)+10))),
SUMIF(INDIRECT(Equipo!$G$4&amp;"!B10:B1000"),$B184,INDIRECT(Equipo!$G$4&amp;"!"&amp;ADDRESS(10,COLUMN(D$9)+10)&amp;":"&amp;ADDRESS(1000,COLUMN(D$9)+10)))
))</f>
        <v>-</v>
      </c>
      <c r="E184" s="19" t="str">
        <f t="array" ref="E184">IF(ISBLANK(Tareas!$B180),"-",
SUM(
SUMIF(INDIRECT(Equipo!$C$4&amp;"!B10:B1000"),$B184,INDIRECT(Equipo!$C$4&amp;"!"&amp;ADDRESS(10,COLUMN(E$9)+10)&amp;":"&amp;ADDRESS(1000,COLUMN(E$9)+10))),
SUMIF(INDIRECT(Equipo!$D$4&amp;"!B10:B1000"),$B184,INDIRECT(Equipo!$D$4&amp;"!"&amp;ADDRESS(10,COLUMN(E$9)+10)&amp;":"&amp;ADDRESS(1000,COLUMN(E$9)+10))),
SUMIF(INDIRECT(Equipo!$E$4&amp;"!B10:B1000"),$B184,INDIRECT(Equipo!$E$4&amp;"!"&amp;ADDRESS(10,COLUMN(E$9)+10)&amp;":"&amp;ADDRESS(1000,COLUMN(E$9)+10))),
SUMIF(INDIRECT(Equipo!$F$4&amp;"!B10:B1000"),$B184,INDIRECT(Equipo!$F$4&amp;"!"&amp;ADDRESS(10,COLUMN(E$9)+10)&amp;":"&amp;ADDRESS(1000,COLUMN(E$9)+10))),
SUMIF(INDIRECT(Equipo!$G$4&amp;"!B10:B1000"),$B184,INDIRECT(Equipo!$G$4&amp;"!"&amp;ADDRESS(10,COLUMN(E$9)+10)&amp;":"&amp;ADDRESS(1000,COLUMN(E$9)+10)))
))</f>
        <v>-</v>
      </c>
      <c r="F184" s="19" t="str">
        <f t="array" ref="F184">IF(ISBLANK(Tareas!$B180),"-",
SUM(
SUMIF(INDIRECT(Equipo!$C$4&amp;"!B10:B1000"),$B184,INDIRECT(Equipo!$C$4&amp;"!"&amp;ADDRESS(10,COLUMN(F$9)+10)&amp;":"&amp;ADDRESS(1000,COLUMN(F$9)+10))),
SUMIF(INDIRECT(Equipo!$D$4&amp;"!B10:B1000"),$B184,INDIRECT(Equipo!$D$4&amp;"!"&amp;ADDRESS(10,COLUMN(F$9)+10)&amp;":"&amp;ADDRESS(1000,COLUMN(F$9)+10))),
SUMIF(INDIRECT(Equipo!$E$4&amp;"!B10:B1000"),$B184,INDIRECT(Equipo!$E$4&amp;"!"&amp;ADDRESS(10,COLUMN(F$9)+10)&amp;":"&amp;ADDRESS(1000,COLUMN(F$9)+10))),
SUMIF(INDIRECT(Equipo!$F$4&amp;"!B10:B1000"),$B184,INDIRECT(Equipo!$F$4&amp;"!"&amp;ADDRESS(10,COLUMN(F$9)+10)&amp;":"&amp;ADDRESS(1000,COLUMN(F$9)+10))),
SUMIF(INDIRECT(Equipo!$G$4&amp;"!B10:B1000"),$B184,INDIRECT(Equipo!$G$4&amp;"!"&amp;ADDRESS(10,COLUMN(F$9)+10)&amp;":"&amp;ADDRESS(1000,COLUMN(F$9)+10)))
))</f>
        <v>-</v>
      </c>
      <c r="G184" s="19" t="str">
        <f t="array" ref="G184">IF(ISBLANK(Tareas!$B180),"-",
SUM(
SUMIF(INDIRECT(Equipo!$C$4&amp;"!B10:B1000"),$B184,INDIRECT(Equipo!$C$4&amp;"!"&amp;ADDRESS(10,COLUMN(G$9)+10)&amp;":"&amp;ADDRESS(1000,COLUMN(G$9)+10))),
SUMIF(INDIRECT(Equipo!$D$4&amp;"!B10:B1000"),$B184,INDIRECT(Equipo!$D$4&amp;"!"&amp;ADDRESS(10,COLUMN(G$9)+10)&amp;":"&amp;ADDRESS(1000,COLUMN(G$9)+10))),
SUMIF(INDIRECT(Equipo!$E$4&amp;"!B10:B1000"),$B184,INDIRECT(Equipo!$E$4&amp;"!"&amp;ADDRESS(10,COLUMN(G$9)+10)&amp;":"&amp;ADDRESS(1000,COLUMN(G$9)+10))),
SUMIF(INDIRECT(Equipo!$F$4&amp;"!B10:B1000"),$B184,INDIRECT(Equipo!$F$4&amp;"!"&amp;ADDRESS(10,COLUMN(G$9)+10)&amp;":"&amp;ADDRESS(1000,COLUMN(G$9)+10))),
SUMIF(INDIRECT(Equipo!$G$4&amp;"!B10:B1000"),$B184,INDIRECT(Equipo!$G$4&amp;"!"&amp;ADDRESS(10,COLUMN(G$9)+10)&amp;":"&amp;ADDRESS(1000,COLUMN(G$9)+10)))
))</f>
        <v>-</v>
      </c>
      <c r="H184" s="19" t="str">
        <f t="array" ref="H184">IF(ISBLANK(Tareas!$B180),"-",
SUM(
SUMIF(INDIRECT(Equipo!$C$4&amp;"!B10:B1000"),$B184,INDIRECT(Equipo!$C$4&amp;"!"&amp;ADDRESS(10,COLUMN(H$9)+10)&amp;":"&amp;ADDRESS(1000,COLUMN(H$9)+10))),
SUMIF(INDIRECT(Equipo!$D$4&amp;"!B10:B1000"),$B184,INDIRECT(Equipo!$D$4&amp;"!"&amp;ADDRESS(10,COLUMN(H$9)+10)&amp;":"&amp;ADDRESS(1000,COLUMN(H$9)+10))),
SUMIF(INDIRECT(Equipo!$E$4&amp;"!B10:B1000"),$B184,INDIRECT(Equipo!$E$4&amp;"!"&amp;ADDRESS(10,COLUMN(H$9)+10)&amp;":"&amp;ADDRESS(1000,COLUMN(H$9)+10))),
SUMIF(INDIRECT(Equipo!$F$4&amp;"!B10:B1000"),$B184,INDIRECT(Equipo!$F$4&amp;"!"&amp;ADDRESS(10,COLUMN(H$9)+10)&amp;":"&amp;ADDRESS(1000,COLUMN(H$9)+10))),
SUMIF(INDIRECT(Equipo!$G$4&amp;"!B10:B1000"),$B184,INDIRECT(Equipo!$G$4&amp;"!"&amp;ADDRESS(10,COLUMN(H$9)+10)&amp;":"&amp;ADDRESS(1000,COLUMN(H$9)+10)))
))</f>
        <v>-</v>
      </c>
      <c r="I184" s="19" t="str">
        <f t="array" ref="I184">IF(ISBLANK(Tareas!$B180),"-",
SUM(
SUMIF(INDIRECT(Equipo!$C$4&amp;"!B10:B1000"),$B184,INDIRECT(Equipo!$C$4&amp;"!"&amp;ADDRESS(10,COLUMN(I$9)+10)&amp;":"&amp;ADDRESS(1000,COLUMN(I$9)+10))),
SUMIF(INDIRECT(Equipo!$D$4&amp;"!B10:B1000"),$B184,INDIRECT(Equipo!$D$4&amp;"!"&amp;ADDRESS(10,COLUMN(I$9)+10)&amp;":"&amp;ADDRESS(1000,COLUMN(I$9)+10))),
SUMIF(INDIRECT(Equipo!$E$4&amp;"!B10:B1000"),$B184,INDIRECT(Equipo!$E$4&amp;"!"&amp;ADDRESS(10,COLUMN(I$9)+10)&amp;":"&amp;ADDRESS(1000,COLUMN(I$9)+10))),
SUMIF(INDIRECT(Equipo!$F$4&amp;"!B10:B1000"),$B184,INDIRECT(Equipo!$F$4&amp;"!"&amp;ADDRESS(10,COLUMN(I$9)+10)&amp;":"&amp;ADDRESS(1000,COLUMN(I$9)+10))),
SUMIF(INDIRECT(Equipo!$G$4&amp;"!B10:B1000"),$B184,INDIRECT(Equipo!$G$4&amp;"!"&amp;ADDRESS(10,COLUMN(I$9)+10)&amp;":"&amp;ADDRESS(1000,COLUMN(I$9)+10)))
))</f>
        <v>-</v>
      </c>
      <c r="J184" s="19" t="str">
        <f t="array" ref="J184">IF(ISBLANK(Tareas!$B180),"-",
SUM(
SUMIF(INDIRECT(Equipo!$C$4&amp;"!B10:B1000"),$B184,INDIRECT(Equipo!$C$4&amp;"!"&amp;ADDRESS(10,COLUMN(J$9)+10)&amp;":"&amp;ADDRESS(1000,COLUMN(J$9)+10))),
SUMIF(INDIRECT(Equipo!$D$4&amp;"!B10:B1000"),$B184,INDIRECT(Equipo!$D$4&amp;"!"&amp;ADDRESS(10,COLUMN(J$9)+10)&amp;":"&amp;ADDRESS(1000,COLUMN(J$9)+10))),
SUMIF(INDIRECT(Equipo!$E$4&amp;"!B10:B1000"),$B184,INDIRECT(Equipo!$E$4&amp;"!"&amp;ADDRESS(10,COLUMN(J$9)+10)&amp;":"&amp;ADDRESS(1000,COLUMN(J$9)+10))),
SUMIF(INDIRECT(Equipo!$F$4&amp;"!B10:B1000"),$B184,INDIRECT(Equipo!$F$4&amp;"!"&amp;ADDRESS(10,COLUMN(J$9)+10)&amp;":"&amp;ADDRESS(1000,COLUMN(J$9)+10))),
SUMIF(INDIRECT(Equipo!$G$4&amp;"!B10:B1000"),$B184,INDIRECT(Equipo!$G$4&amp;"!"&amp;ADDRESS(10,COLUMN(J$9)+10)&amp;":"&amp;ADDRESS(1000,COLUMN(J$9)+10)))
))</f>
        <v>-</v>
      </c>
      <c r="K184" s="19" t="str">
        <f t="array" ref="K184">IF(ISBLANK(Tareas!$B180),"-",
SUM(
SUMIF(INDIRECT(Equipo!$C$4&amp;"!B10:B1000"),$B184,INDIRECT(Equipo!$C$4&amp;"!"&amp;ADDRESS(10,COLUMN(K$9)+10)&amp;":"&amp;ADDRESS(1000,COLUMN(K$9)+10))),
SUMIF(INDIRECT(Equipo!$D$4&amp;"!B10:B1000"),$B184,INDIRECT(Equipo!$D$4&amp;"!"&amp;ADDRESS(10,COLUMN(K$9)+10)&amp;":"&amp;ADDRESS(1000,COLUMN(K$9)+10))),
SUMIF(INDIRECT(Equipo!$E$4&amp;"!B10:B1000"),$B184,INDIRECT(Equipo!$E$4&amp;"!"&amp;ADDRESS(10,COLUMN(K$9)+10)&amp;":"&amp;ADDRESS(1000,COLUMN(K$9)+10))),
SUMIF(INDIRECT(Equipo!$F$4&amp;"!B10:B1000"),$B184,INDIRECT(Equipo!$F$4&amp;"!"&amp;ADDRESS(10,COLUMN(K$9)+10)&amp;":"&amp;ADDRESS(1000,COLUMN(K$9)+10))),
SUMIF(INDIRECT(Equipo!$G$4&amp;"!B10:B1000"),$B184,INDIRECT(Equipo!$G$4&amp;"!"&amp;ADDRESS(10,COLUMN(K$9)+10)&amp;":"&amp;ADDRESS(1000,COLUMN(K$9)+10)))
))</f>
        <v>-</v>
      </c>
    </row>
    <row r="185" ht="15.75" customHeight="1">
      <c r="C185" s="19" t="str">
        <f>IF(ISBLANK(Tareas!$B181),"-",SUM(D185:K185))</f>
        <v>-</v>
      </c>
      <c r="D185" s="19" t="str">
        <f t="array" ref="D185">IF(ISBLANK(Tareas!$B181),"-",
SUM(
SUMIF(INDIRECT(Equipo!$C$4&amp;"!B10:B1000"),$B185,INDIRECT(Equipo!$C$4&amp;"!"&amp;ADDRESS(10,COLUMN(D$9)+10)&amp;":"&amp;ADDRESS(1000,COLUMN(D$9)+10))),
SUMIF(INDIRECT(Equipo!$D$4&amp;"!B10:B1000"),$B185,INDIRECT(Equipo!$D$4&amp;"!"&amp;ADDRESS(10,COLUMN(D$9)+10)&amp;":"&amp;ADDRESS(1000,COLUMN(D$9)+10))),
SUMIF(INDIRECT(Equipo!$E$4&amp;"!B10:B1000"),$B185,INDIRECT(Equipo!$E$4&amp;"!"&amp;ADDRESS(10,COLUMN(D$9)+10)&amp;":"&amp;ADDRESS(1000,COLUMN(D$9)+10))),
SUMIF(INDIRECT(Equipo!$F$4&amp;"!B10:B1000"),$B185,INDIRECT(Equipo!$F$4&amp;"!"&amp;ADDRESS(10,COLUMN(D$9)+10)&amp;":"&amp;ADDRESS(1000,COLUMN(D$9)+10))),
SUMIF(INDIRECT(Equipo!$G$4&amp;"!B10:B1000"),$B185,INDIRECT(Equipo!$G$4&amp;"!"&amp;ADDRESS(10,COLUMN(D$9)+10)&amp;":"&amp;ADDRESS(1000,COLUMN(D$9)+10)))
))</f>
        <v>-</v>
      </c>
      <c r="E185" s="19" t="str">
        <f t="array" ref="E185">IF(ISBLANK(Tareas!$B181),"-",
SUM(
SUMIF(INDIRECT(Equipo!$C$4&amp;"!B10:B1000"),$B185,INDIRECT(Equipo!$C$4&amp;"!"&amp;ADDRESS(10,COLUMN(E$9)+10)&amp;":"&amp;ADDRESS(1000,COLUMN(E$9)+10))),
SUMIF(INDIRECT(Equipo!$D$4&amp;"!B10:B1000"),$B185,INDIRECT(Equipo!$D$4&amp;"!"&amp;ADDRESS(10,COLUMN(E$9)+10)&amp;":"&amp;ADDRESS(1000,COLUMN(E$9)+10))),
SUMIF(INDIRECT(Equipo!$E$4&amp;"!B10:B1000"),$B185,INDIRECT(Equipo!$E$4&amp;"!"&amp;ADDRESS(10,COLUMN(E$9)+10)&amp;":"&amp;ADDRESS(1000,COLUMN(E$9)+10))),
SUMIF(INDIRECT(Equipo!$F$4&amp;"!B10:B1000"),$B185,INDIRECT(Equipo!$F$4&amp;"!"&amp;ADDRESS(10,COLUMN(E$9)+10)&amp;":"&amp;ADDRESS(1000,COLUMN(E$9)+10))),
SUMIF(INDIRECT(Equipo!$G$4&amp;"!B10:B1000"),$B185,INDIRECT(Equipo!$G$4&amp;"!"&amp;ADDRESS(10,COLUMN(E$9)+10)&amp;":"&amp;ADDRESS(1000,COLUMN(E$9)+10)))
))</f>
        <v>-</v>
      </c>
      <c r="F185" s="19" t="str">
        <f t="array" ref="F185">IF(ISBLANK(Tareas!$B181),"-",
SUM(
SUMIF(INDIRECT(Equipo!$C$4&amp;"!B10:B1000"),$B185,INDIRECT(Equipo!$C$4&amp;"!"&amp;ADDRESS(10,COLUMN(F$9)+10)&amp;":"&amp;ADDRESS(1000,COLUMN(F$9)+10))),
SUMIF(INDIRECT(Equipo!$D$4&amp;"!B10:B1000"),$B185,INDIRECT(Equipo!$D$4&amp;"!"&amp;ADDRESS(10,COLUMN(F$9)+10)&amp;":"&amp;ADDRESS(1000,COLUMN(F$9)+10))),
SUMIF(INDIRECT(Equipo!$E$4&amp;"!B10:B1000"),$B185,INDIRECT(Equipo!$E$4&amp;"!"&amp;ADDRESS(10,COLUMN(F$9)+10)&amp;":"&amp;ADDRESS(1000,COLUMN(F$9)+10))),
SUMIF(INDIRECT(Equipo!$F$4&amp;"!B10:B1000"),$B185,INDIRECT(Equipo!$F$4&amp;"!"&amp;ADDRESS(10,COLUMN(F$9)+10)&amp;":"&amp;ADDRESS(1000,COLUMN(F$9)+10))),
SUMIF(INDIRECT(Equipo!$G$4&amp;"!B10:B1000"),$B185,INDIRECT(Equipo!$G$4&amp;"!"&amp;ADDRESS(10,COLUMN(F$9)+10)&amp;":"&amp;ADDRESS(1000,COLUMN(F$9)+10)))
))</f>
        <v>-</v>
      </c>
      <c r="G185" s="19" t="str">
        <f t="array" ref="G185">IF(ISBLANK(Tareas!$B181),"-",
SUM(
SUMIF(INDIRECT(Equipo!$C$4&amp;"!B10:B1000"),$B185,INDIRECT(Equipo!$C$4&amp;"!"&amp;ADDRESS(10,COLUMN(G$9)+10)&amp;":"&amp;ADDRESS(1000,COLUMN(G$9)+10))),
SUMIF(INDIRECT(Equipo!$D$4&amp;"!B10:B1000"),$B185,INDIRECT(Equipo!$D$4&amp;"!"&amp;ADDRESS(10,COLUMN(G$9)+10)&amp;":"&amp;ADDRESS(1000,COLUMN(G$9)+10))),
SUMIF(INDIRECT(Equipo!$E$4&amp;"!B10:B1000"),$B185,INDIRECT(Equipo!$E$4&amp;"!"&amp;ADDRESS(10,COLUMN(G$9)+10)&amp;":"&amp;ADDRESS(1000,COLUMN(G$9)+10))),
SUMIF(INDIRECT(Equipo!$F$4&amp;"!B10:B1000"),$B185,INDIRECT(Equipo!$F$4&amp;"!"&amp;ADDRESS(10,COLUMN(G$9)+10)&amp;":"&amp;ADDRESS(1000,COLUMN(G$9)+10))),
SUMIF(INDIRECT(Equipo!$G$4&amp;"!B10:B1000"),$B185,INDIRECT(Equipo!$G$4&amp;"!"&amp;ADDRESS(10,COLUMN(G$9)+10)&amp;":"&amp;ADDRESS(1000,COLUMN(G$9)+10)))
))</f>
        <v>-</v>
      </c>
      <c r="H185" s="19" t="str">
        <f t="array" ref="H185">IF(ISBLANK(Tareas!$B181),"-",
SUM(
SUMIF(INDIRECT(Equipo!$C$4&amp;"!B10:B1000"),$B185,INDIRECT(Equipo!$C$4&amp;"!"&amp;ADDRESS(10,COLUMN(H$9)+10)&amp;":"&amp;ADDRESS(1000,COLUMN(H$9)+10))),
SUMIF(INDIRECT(Equipo!$D$4&amp;"!B10:B1000"),$B185,INDIRECT(Equipo!$D$4&amp;"!"&amp;ADDRESS(10,COLUMN(H$9)+10)&amp;":"&amp;ADDRESS(1000,COLUMN(H$9)+10))),
SUMIF(INDIRECT(Equipo!$E$4&amp;"!B10:B1000"),$B185,INDIRECT(Equipo!$E$4&amp;"!"&amp;ADDRESS(10,COLUMN(H$9)+10)&amp;":"&amp;ADDRESS(1000,COLUMN(H$9)+10))),
SUMIF(INDIRECT(Equipo!$F$4&amp;"!B10:B1000"),$B185,INDIRECT(Equipo!$F$4&amp;"!"&amp;ADDRESS(10,COLUMN(H$9)+10)&amp;":"&amp;ADDRESS(1000,COLUMN(H$9)+10))),
SUMIF(INDIRECT(Equipo!$G$4&amp;"!B10:B1000"),$B185,INDIRECT(Equipo!$G$4&amp;"!"&amp;ADDRESS(10,COLUMN(H$9)+10)&amp;":"&amp;ADDRESS(1000,COLUMN(H$9)+10)))
))</f>
        <v>-</v>
      </c>
      <c r="I185" s="19" t="str">
        <f t="array" ref="I185">IF(ISBLANK(Tareas!$B181),"-",
SUM(
SUMIF(INDIRECT(Equipo!$C$4&amp;"!B10:B1000"),$B185,INDIRECT(Equipo!$C$4&amp;"!"&amp;ADDRESS(10,COLUMN(I$9)+10)&amp;":"&amp;ADDRESS(1000,COLUMN(I$9)+10))),
SUMIF(INDIRECT(Equipo!$D$4&amp;"!B10:B1000"),$B185,INDIRECT(Equipo!$D$4&amp;"!"&amp;ADDRESS(10,COLUMN(I$9)+10)&amp;":"&amp;ADDRESS(1000,COLUMN(I$9)+10))),
SUMIF(INDIRECT(Equipo!$E$4&amp;"!B10:B1000"),$B185,INDIRECT(Equipo!$E$4&amp;"!"&amp;ADDRESS(10,COLUMN(I$9)+10)&amp;":"&amp;ADDRESS(1000,COLUMN(I$9)+10))),
SUMIF(INDIRECT(Equipo!$F$4&amp;"!B10:B1000"),$B185,INDIRECT(Equipo!$F$4&amp;"!"&amp;ADDRESS(10,COLUMN(I$9)+10)&amp;":"&amp;ADDRESS(1000,COLUMN(I$9)+10))),
SUMIF(INDIRECT(Equipo!$G$4&amp;"!B10:B1000"),$B185,INDIRECT(Equipo!$G$4&amp;"!"&amp;ADDRESS(10,COLUMN(I$9)+10)&amp;":"&amp;ADDRESS(1000,COLUMN(I$9)+10)))
))</f>
        <v>-</v>
      </c>
      <c r="J185" s="19" t="str">
        <f t="array" ref="J185">IF(ISBLANK(Tareas!$B181),"-",
SUM(
SUMIF(INDIRECT(Equipo!$C$4&amp;"!B10:B1000"),$B185,INDIRECT(Equipo!$C$4&amp;"!"&amp;ADDRESS(10,COLUMN(J$9)+10)&amp;":"&amp;ADDRESS(1000,COLUMN(J$9)+10))),
SUMIF(INDIRECT(Equipo!$D$4&amp;"!B10:B1000"),$B185,INDIRECT(Equipo!$D$4&amp;"!"&amp;ADDRESS(10,COLUMN(J$9)+10)&amp;":"&amp;ADDRESS(1000,COLUMN(J$9)+10))),
SUMIF(INDIRECT(Equipo!$E$4&amp;"!B10:B1000"),$B185,INDIRECT(Equipo!$E$4&amp;"!"&amp;ADDRESS(10,COLUMN(J$9)+10)&amp;":"&amp;ADDRESS(1000,COLUMN(J$9)+10))),
SUMIF(INDIRECT(Equipo!$F$4&amp;"!B10:B1000"),$B185,INDIRECT(Equipo!$F$4&amp;"!"&amp;ADDRESS(10,COLUMN(J$9)+10)&amp;":"&amp;ADDRESS(1000,COLUMN(J$9)+10))),
SUMIF(INDIRECT(Equipo!$G$4&amp;"!B10:B1000"),$B185,INDIRECT(Equipo!$G$4&amp;"!"&amp;ADDRESS(10,COLUMN(J$9)+10)&amp;":"&amp;ADDRESS(1000,COLUMN(J$9)+10)))
))</f>
        <v>-</v>
      </c>
      <c r="K185" s="19" t="str">
        <f t="array" ref="K185">IF(ISBLANK(Tareas!$B181),"-",
SUM(
SUMIF(INDIRECT(Equipo!$C$4&amp;"!B10:B1000"),$B185,INDIRECT(Equipo!$C$4&amp;"!"&amp;ADDRESS(10,COLUMN(K$9)+10)&amp;":"&amp;ADDRESS(1000,COLUMN(K$9)+10))),
SUMIF(INDIRECT(Equipo!$D$4&amp;"!B10:B1000"),$B185,INDIRECT(Equipo!$D$4&amp;"!"&amp;ADDRESS(10,COLUMN(K$9)+10)&amp;":"&amp;ADDRESS(1000,COLUMN(K$9)+10))),
SUMIF(INDIRECT(Equipo!$E$4&amp;"!B10:B1000"),$B185,INDIRECT(Equipo!$E$4&amp;"!"&amp;ADDRESS(10,COLUMN(K$9)+10)&amp;":"&amp;ADDRESS(1000,COLUMN(K$9)+10))),
SUMIF(INDIRECT(Equipo!$F$4&amp;"!B10:B1000"),$B185,INDIRECT(Equipo!$F$4&amp;"!"&amp;ADDRESS(10,COLUMN(K$9)+10)&amp;":"&amp;ADDRESS(1000,COLUMN(K$9)+10))),
SUMIF(INDIRECT(Equipo!$G$4&amp;"!B10:B1000"),$B185,INDIRECT(Equipo!$G$4&amp;"!"&amp;ADDRESS(10,COLUMN(K$9)+10)&amp;":"&amp;ADDRESS(1000,COLUMN(K$9)+10)))
))</f>
        <v>-</v>
      </c>
    </row>
    <row r="186" ht="15.75" customHeight="1">
      <c r="C186" s="19" t="str">
        <f>IF(ISBLANK(Tareas!$B182),"-",SUM(D186:K186))</f>
        <v>-</v>
      </c>
      <c r="D186" s="19" t="str">
        <f t="array" ref="D186">IF(ISBLANK(Tareas!$B182),"-",
SUM(
SUMIF(INDIRECT(Equipo!$C$4&amp;"!B10:B1000"),$B186,INDIRECT(Equipo!$C$4&amp;"!"&amp;ADDRESS(10,COLUMN(D$9)+10)&amp;":"&amp;ADDRESS(1000,COLUMN(D$9)+10))),
SUMIF(INDIRECT(Equipo!$D$4&amp;"!B10:B1000"),$B186,INDIRECT(Equipo!$D$4&amp;"!"&amp;ADDRESS(10,COLUMN(D$9)+10)&amp;":"&amp;ADDRESS(1000,COLUMN(D$9)+10))),
SUMIF(INDIRECT(Equipo!$E$4&amp;"!B10:B1000"),$B186,INDIRECT(Equipo!$E$4&amp;"!"&amp;ADDRESS(10,COLUMN(D$9)+10)&amp;":"&amp;ADDRESS(1000,COLUMN(D$9)+10))),
SUMIF(INDIRECT(Equipo!$F$4&amp;"!B10:B1000"),$B186,INDIRECT(Equipo!$F$4&amp;"!"&amp;ADDRESS(10,COLUMN(D$9)+10)&amp;":"&amp;ADDRESS(1000,COLUMN(D$9)+10))),
SUMIF(INDIRECT(Equipo!$G$4&amp;"!B10:B1000"),$B186,INDIRECT(Equipo!$G$4&amp;"!"&amp;ADDRESS(10,COLUMN(D$9)+10)&amp;":"&amp;ADDRESS(1000,COLUMN(D$9)+10)))
))</f>
        <v>-</v>
      </c>
      <c r="E186" s="19" t="str">
        <f t="array" ref="E186">IF(ISBLANK(Tareas!$B182),"-",
SUM(
SUMIF(INDIRECT(Equipo!$C$4&amp;"!B10:B1000"),$B186,INDIRECT(Equipo!$C$4&amp;"!"&amp;ADDRESS(10,COLUMN(E$9)+10)&amp;":"&amp;ADDRESS(1000,COLUMN(E$9)+10))),
SUMIF(INDIRECT(Equipo!$D$4&amp;"!B10:B1000"),$B186,INDIRECT(Equipo!$D$4&amp;"!"&amp;ADDRESS(10,COLUMN(E$9)+10)&amp;":"&amp;ADDRESS(1000,COLUMN(E$9)+10))),
SUMIF(INDIRECT(Equipo!$E$4&amp;"!B10:B1000"),$B186,INDIRECT(Equipo!$E$4&amp;"!"&amp;ADDRESS(10,COLUMN(E$9)+10)&amp;":"&amp;ADDRESS(1000,COLUMN(E$9)+10))),
SUMIF(INDIRECT(Equipo!$F$4&amp;"!B10:B1000"),$B186,INDIRECT(Equipo!$F$4&amp;"!"&amp;ADDRESS(10,COLUMN(E$9)+10)&amp;":"&amp;ADDRESS(1000,COLUMN(E$9)+10))),
SUMIF(INDIRECT(Equipo!$G$4&amp;"!B10:B1000"),$B186,INDIRECT(Equipo!$G$4&amp;"!"&amp;ADDRESS(10,COLUMN(E$9)+10)&amp;":"&amp;ADDRESS(1000,COLUMN(E$9)+10)))
))</f>
        <v>-</v>
      </c>
      <c r="F186" s="19" t="str">
        <f t="array" ref="F186">IF(ISBLANK(Tareas!$B182),"-",
SUM(
SUMIF(INDIRECT(Equipo!$C$4&amp;"!B10:B1000"),$B186,INDIRECT(Equipo!$C$4&amp;"!"&amp;ADDRESS(10,COLUMN(F$9)+10)&amp;":"&amp;ADDRESS(1000,COLUMN(F$9)+10))),
SUMIF(INDIRECT(Equipo!$D$4&amp;"!B10:B1000"),$B186,INDIRECT(Equipo!$D$4&amp;"!"&amp;ADDRESS(10,COLUMN(F$9)+10)&amp;":"&amp;ADDRESS(1000,COLUMN(F$9)+10))),
SUMIF(INDIRECT(Equipo!$E$4&amp;"!B10:B1000"),$B186,INDIRECT(Equipo!$E$4&amp;"!"&amp;ADDRESS(10,COLUMN(F$9)+10)&amp;":"&amp;ADDRESS(1000,COLUMN(F$9)+10))),
SUMIF(INDIRECT(Equipo!$F$4&amp;"!B10:B1000"),$B186,INDIRECT(Equipo!$F$4&amp;"!"&amp;ADDRESS(10,COLUMN(F$9)+10)&amp;":"&amp;ADDRESS(1000,COLUMN(F$9)+10))),
SUMIF(INDIRECT(Equipo!$G$4&amp;"!B10:B1000"),$B186,INDIRECT(Equipo!$G$4&amp;"!"&amp;ADDRESS(10,COLUMN(F$9)+10)&amp;":"&amp;ADDRESS(1000,COLUMN(F$9)+10)))
))</f>
        <v>-</v>
      </c>
      <c r="G186" s="19" t="str">
        <f t="array" ref="G186">IF(ISBLANK(Tareas!$B182),"-",
SUM(
SUMIF(INDIRECT(Equipo!$C$4&amp;"!B10:B1000"),$B186,INDIRECT(Equipo!$C$4&amp;"!"&amp;ADDRESS(10,COLUMN(G$9)+10)&amp;":"&amp;ADDRESS(1000,COLUMN(G$9)+10))),
SUMIF(INDIRECT(Equipo!$D$4&amp;"!B10:B1000"),$B186,INDIRECT(Equipo!$D$4&amp;"!"&amp;ADDRESS(10,COLUMN(G$9)+10)&amp;":"&amp;ADDRESS(1000,COLUMN(G$9)+10))),
SUMIF(INDIRECT(Equipo!$E$4&amp;"!B10:B1000"),$B186,INDIRECT(Equipo!$E$4&amp;"!"&amp;ADDRESS(10,COLUMN(G$9)+10)&amp;":"&amp;ADDRESS(1000,COLUMN(G$9)+10))),
SUMIF(INDIRECT(Equipo!$F$4&amp;"!B10:B1000"),$B186,INDIRECT(Equipo!$F$4&amp;"!"&amp;ADDRESS(10,COLUMN(G$9)+10)&amp;":"&amp;ADDRESS(1000,COLUMN(G$9)+10))),
SUMIF(INDIRECT(Equipo!$G$4&amp;"!B10:B1000"),$B186,INDIRECT(Equipo!$G$4&amp;"!"&amp;ADDRESS(10,COLUMN(G$9)+10)&amp;":"&amp;ADDRESS(1000,COLUMN(G$9)+10)))
))</f>
        <v>-</v>
      </c>
      <c r="H186" s="19" t="str">
        <f t="array" ref="H186">IF(ISBLANK(Tareas!$B182),"-",
SUM(
SUMIF(INDIRECT(Equipo!$C$4&amp;"!B10:B1000"),$B186,INDIRECT(Equipo!$C$4&amp;"!"&amp;ADDRESS(10,COLUMN(H$9)+10)&amp;":"&amp;ADDRESS(1000,COLUMN(H$9)+10))),
SUMIF(INDIRECT(Equipo!$D$4&amp;"!B10:B1000"),$B186,INDIRECT(Equipo!$D$4&amp;"!"&amp;ADDRESS(10,COLUMN(H$9)+10)&amp;":"&amp;ADDRESS(1000,COLUMN(H$9)+10))),
SUMIF(INDIRECT(Equipo!$E$4&amp;"!B10:B1000"),$B186,INDIRECT(Equipo!$E$4&amp;"!"&amp;ADDRESS(10,COLUMN(H$9)+10)&amp;":"&amp;ADDRESS(1000,COLUMN(H$9)+10))),
SUMIF(INDIRECT(Equipo!$F$4&amp;"!B10:B1000"),$B186,INDIRECT(Equipo!$F$4&amp;"!"&amp;ADDRESS(10,COLUMN(H$9)+10)&amp;":"&amp;ADDRESS(1000,COLUMN(H$9)+10))),
SUMIF(INDIRECT(Equipo!$G$4&amp;"!B10:B1000"),$B186,INDIRECT(Equipo!$G$4&amp;"!"&amp;ADDRESS(10,COLUMN(H$9)+10)&amp;":"&amp;ADDRESS(1000,COLUMN(H$9)+10)))
))</f>
        <v>-</v>
      </c>
      <c r="I186" s="19" t="str">
        <f t="array" ref="I186">IF(ISBLANK(Tareas!$B182),"-",
SUM(
SUMIF(INDIRECT(Equipo!$C$4&amp;"!B10:B1000"),$B186,INDIRECT(Equipo!$C$4&amp;"!"&amp;ADDRESS(10,COLUMN(I$9)+10)&amp;":"&amp;ADDRESS(1000,COLUMN(I$9)+10))),
SUMIF(INDIRECT(Equipo!$D$4&amp;"!B10:B1000"),$B186,INDIRECT(Equipo!$D$4&amp;"!"&amp;ADDRESS(10,COLUMN(I$9)+10)&amp;":"&amp;ADDRESS(1000,COLUMN(I$9)+10))),
SUMIF(INDIRECT(Equipo!$E$4&amp;"!B10:B1000"),$B186,INDIRECT(Equipo!$E$4&amp;"!"&amp;ADDRESS(10,COLUMN(I$9)+10)&amp;":"&amp;ADDRESS(1000,COLUMN(I$9)+10))),
SUMIF(INDIRECT(Equipo!$F$4&amp;"!B10:B1000"),$B186,INDIRECT(Equipo!$F$4&amp;"!"&amp;ADDRESS(10,COLUMN(I$9)+10)&amp;":"&amp;ADDRESS(1000,COLUMN(I$9)+10))),
SUMIF(INDIRECT(Equipo!$G$4&amp;"!B10:B1000"),$B186,INDIRECT(Equipo!$G$4&amp;"!"&amp;ADDRESS(10,COLUMN(I$9)+10)&amp;":"&amp;ADDRESS(1000,COLUMN(I$9)+10)))
))</f>
        <v>-</v>
      </c>
      <c r="J186" s="19" t="str">
        <f t="array" ref="J186">IF(ISBLANK(Tareas!$B182),"-",
SUM(
SUMIF(INDIRECT(Equipo!$C$4&amp;"!B10:B1000"),$B186,INDIRECT(Equipo!$C$4&amp;"!"&amp;ADDRESS(10,COLUMN(J$9)+10)&amp;":"&amp;ADDRESS(1000,COLUMN(J$9)+10))),
SUMIF(INDIRECT(Equipo!$D$4&amp;"!B10:B1000"),$B186,INDIRECT(Equipo!$D$4&amp;"!"&amp;ADDRESS(10,COLUMN(J$9)+10)&amp;":"&amp;ADDRESS(1000,COLUMN(J$9)+10))),
SUMIF(INDIRECT(Equipo!$E$4&amp;"!B10:B1000"),$B186,INDIRECT(Equipo!$E$4&amp;"!"&amp;ADDRESS(10,COLUMN(J$9)+10)&amp;":"&amp;ADDRESS(1000,COLUMN(J$9)+10))),
SUMIF(INDIRECT(Equipo!$F$4&amp;"!B10:B1000"),$B186,INDIRECT(Equipo!$F$4&amp;"!"&amp;ADDRESS(10,COLUMN(J$9)+10)&amp;":"&amp;ADDRESS(1000,COLUMN(J$9)+10))),
SUMIF(INDIRECT(Equipo!$G$4&amp;"!B10:B1000"),$B186,INDIRECT(Equipo!$G$4&amp;"!"&amp;ADDRESS(10,COLUMN(J$9)+10)&amp;":"&amp;ADDRESS(1000,COLUMN(J$9)+10)))
))</f>
        <v>-</v>
      </c>
      <c r="K186" s="19" t="str">
        <f t="array" ref="K186">IF(ISBLANK(Tareas!$B182),"-",
SUM(
SUMIF(INDIRECT(Equipo!$C$4&amp;"!B10:B1000"),$B186,INDIRECT(Equipo!$C$4&amp;"!"&amp;ADDRESS(10,COLUMN(K$9)+10)&amp;":"&amp;ADDRESS(1000,COLUMN(K$9)+10))),
SUMIF(INDIRECT(Equipo!$D$4&amp;"!B10:B1000"),$B186,INDIRECT(Equipo!$D$4&amp;"!"&amp;ADDRESS(10,COLUMN(K$9)+10)&amp;":"&amp;ADDRESS(1000,COLUMN(K$9)+10))),
SUMIF(INDIRECT(Equipo!$E$4&amp;"!B10:B1000"),$B186,INDIRECT(Equipo!$E$4&amp;"!"&amp;ADDRESS(10,COLUMN(K$9)+10)&amp;":"&amp;ADDRESS(1000,COLUMN(K$9)+10))),
SUMIF(INDIRECT(Equipo!$F$4&amp;"!B10:B1000"),$B186,INDIRECT(Equipo!$F$4&amp;"!"&amp;ADDRESS(10,COLUMN(K$9)+10)&amp;":"&amp;ADDRESS(1000,COLUMN(K$9)+10))),
SUMIF(INDIRECT(Equipo!$G$4&amp;"!B10:B1000"),$B186,INDIRECT(Equipo!$G$4&amp;"!"&amp;ADDRESS(10,COLUMN(K$9)+10)&amp;":"&amp;ADDRESS(1000,COLUMN(K$9)+10)))
))</f>
        <v>-</v>
      </c>
    </row>
    <row r="187" ht="15.75" customHeight="1">
      <c r="C187" s="19" t="str">
        <f>IF(ISBLANK(Tareas!$B183),"-",SUM(D187:K187))</f>
        <v>-</v>
      </c>
      <c r="D187" s="19" t="str">
        <f t="array" ref="D187">IF(ISBLANK(Tareas!$B183),"-",
SUM(
SUMIF(INDIRECT(Equipo!$C$4&amp;"!B10:B1000"),$B187,INDIRECT(Equipo!$C$4&amp;"!"&amp;ADDRESS(10,COLUMN(D$9)+10)&amp;":"&amp;ADDRESS(1000,COLUMN(D$9)+10))),
SUMIF(INDIRECT(Equipo!$D$4&amp;"!B10:B1000"),$B187,INDIRECT(Equipo!$D$4&amp;"!"&amp;ADDRESS(10,COLUMN(D$9)+10)&amp;":"&amp;ADDRESS(1000,COLUMN(D$9)+10))),
SUMIF(INDIRECT(Equipo!$E$4&amp;"!B10:B1000"),$B187,INDIRECT(Equipo!$E$4&amp;"!"&amp;ADDRESS(10,COLUMN(D$9)+10)&amp;":"&amp;ADDRESS(1000,COLUMN(D$9)+10))),
SUMIF(INDIRECT(Equipo!$F$4&amp;"!B10:B1000"),$B187,INDIRECT(Equipo!$F$4&amp;"!"&amp;ADDRESS(10,COLUMN(D$9)+10)&amp;":"&amp;ADDRESS(1000,COLUMN(D$9)+10))),
SUMIF(INDIRECT(Equipo!$G$4&amp;"!B10:B1000"),$B187,INDIRECT(Equipo!$G$4&amp;"!"&amp;ADDRESS(10,COLUMN(D$9)+10)&amp;":"&amp;ADDRESS(1000,COLUMN(D$9)+10)))
))</f>
        <v>-</v>
      </c>
      <c r="E187" s="19" t="str">
        <f t="array" ref="E187">IF(ISBLANK(Tareas!$B183),"-",
SUM(
SUMIF(INDIRECT(Equipo!$C$4&amp;"!B10:B1000"),$B187,INDIRECT(Equipo!$C$4&amp;"!"&amp;ADDRESS(10,COLUMN(E$9)+10)&amp;":"&amp;ADDRESS(1000,COLUMN(E$9)+10))),
SUMIF(INDIRECT(Equipo!$D$4&amp;"!B10:B1000"),$B187,INDIRECT(Equipo!$D$4&amp;"!"&amp;ADDRESS(10,COLUMN(E$9)+10)&amp;":"&amp;ADDRESS(1000,COLUMN(E$9)+10))),
SUMIF(INDIRECT(Equipo!$E$4&amp;"!B10:B1000"),$B187,INDIRECT(Equipo!$E$4&amp;"!"&amp;ADDRESS(10,COLUMN(E$9)+10)&amp;":"&amp;ADDRESS(1000,COLUMN(E$9)+10))),
SUMIF(INDIRECT(Equipo!$F$4&amp;"!B10:B1000"),$B187,INDIRECT(Equipo!$F$4&amp;"!"&amp;ADDRESS(10,COLUMN(E$9)+10)&amp;":"&amp;ADDRESS(1000,COLUMN(E$9)+10))),
SUMIF(INDIRECT(Equipo!$G$4&amp;"!B10:B1000"),$B187,INDIRECT(Equipo!$G$4&amp;"!"&amp;ADDRESS(10,COLUMN(E$9)+10)&amp;":"&amp;ADDRESS(1000,COLUMN(E$9)+10)))
))</f>
        <v>-</v>
      </c>
      <c r="F187" s="19" t="str">
        <f t="array" ref="F187">IF(ISBLANK(Tareas!$B183),"-",
SUM(
SUMIF(INDIRECT(Equipo!$C$4&amp;"!B10:B1000"),$B187,INDIRECT(Equipo!$C$4&amp;"!"&amp;ADDRESS(10,COLUMN(F$9)+10)&amp;":"&amp;ADDRESS(1000,COLUMN(F$9)+10))),
SUMIF(INDIRECT(Equipo!$D$4&amp;"!B10:B1000"),$B187,INDIRECT(Equipo!$D$4&amp;"!"&amp;ADDRESS(10,COLUMN(F$9)+10)&amp;":"&amp;ADDRESS(1000,COLUMN(F$9)+10))),
SUMIF(INDIRECT(Equipo!$E$4&amp;"!B10:B1000"),$B187,INDIRECT(Equipo!$E$4&amp;"!"&amp;ADDRESS(10,COLUMN(F$9)+10)&amp;":"&amp;ADDRESS(1000,COLUMN(F$9)+10))),
SUMIF(INDIRECT(Equipo!$F$4&amp;"!B10:B1000"),$B187,INDIRECT(Equipo!$F$4&amp;"!"&amp;ADDRESS(10,COLUMN(F$9)+10)&amp;":"&amp;ADDRESS(1000,COLUMN(F$9)+10))),
SUMIF(INDIRECT(Equipo!$G$4&amp;"!B10:B1000"),$B187,INDIRECT(Equipo!$G$4&amp;"!"&amp;ADDRESS(10,COLUMN(F$9)+10)&amp;":"&amp;ADDRESS(1000,COLUMN(F$9)+10)))
))</f>
        <v>-</v>
      </c>
      <c r="G187" s="19" t="str">
        <f t="array" ref="G187">IF(ISBLANK(Tareas!$B183),"-",
SUM(
SUMIF(INDIRECT(Equipo!$C$4&amp;"!B10:B1000"),$B187,INDIRECT(Equipo!$C$4&amp;"!"&amp;ADDRESS(10,COLUMN(G$9)+10)&amp;":"&amp;ADDRESS(1000,COLUMN(G$9)+10))),
SUMIF(INDIRECT(Equipo!$D$4&amp;"!B10:B1000"),$B187,INDIRECT(Equipo!$D$4&amp;"!"&amp;ADDRESS(10,COLUMN(G$9)+10)&amp;":"&amp;ADDRESS(1000,COLUMN(G$9)+10))),
SUMIF(INDIRECT(Equipo!$E$4&amp;"!B10:B1000"),$B187,INDIRECT(Equipo!$E$4&amp;"!"&amp;ADDRESS(10,COLUMN(G$9)+10)&amp;":"&amp;ADDRESS(1000,COLUMN(G$9)+10))),
SUMIF(INDIRECT(Equipo!$F$4&amp;"!B10:B1000"),$B187,INDIRECT(Equipo!$F$4&amp;"!"&amp;ADDRESS(10,COLUMN(G$9)+10)&amp;":"&amp;ADDRESS(1000,COLUMN(G$9)+10))),
SUMIF(INDIRECT(Equipo!$G$4&amp;"!B10:B1000"),$B187,INDIRECT(Equipo!$G$4&amp;"!"&amp;ADDRESS(10,COLUMN(G$9)+10)&amp;":"&amp;ADDRESS(1000,COLUMN(G$9)+10)))
))</f>
        <v>-</v>
      </c>
      <c r="H187" s="19" t="str">
        <f t="array" ref="H187">IF(ISBLANK(Tareas!$B183),"-",
SUM(
SUMIF(INDIRECT(Equipo!$C$4&amp;"!B10:B1000"),$B187,INDIRECT(Equipo!$C$4&amp;"!"&amp;ADDRESS(10,COLUMN(H$9)+10)&amp;":"&amp;ADDRESS(1000,COLUMN(H$9)+10))),
SUMIF(INDIRECT(Equipo!$D$4&amp;"!B10:B1000"),$B187,INDIRECT(Equipo!$D$4&amp;"!"&amp;ADDRESS(10,COLUMN(H$9)+10)&amp;":"&amp;ADDRESS(1000,COLUMN(H$9)+10))),
SUMIF(INDIRECT(Equipo!$E$4&amp;"!B10:B1000"),$B187,INDIRECT(Equipo!$E$4&amp;"!"&amp;ADDRESS(10,COLUMN(H$9)+10)&amp;":"&amp;ADDRESS(1000,COLUMN(H$9)+10))),
SUMIF(INDIRECT(Equipo!$F$4&amp;"!B10:B1000"),$B187,INDIRECT(Equipo!$F$4&amp;"!"&amp;ADDRESS(10,COLUMN(H$9)+10)&amp;":"&amp;ADDRESS(1000,COLUMN(H$9)+10))),
SUMIF(INDIRECT(Equipo!$G$4&amp;"!B10:B1000"),$B187,INDIRECT(Equipo!$G$4&amp;"!"&amp;ADDRESS(10,COLUMN(H$9)+10)&amp;":"&amp;ADDRESS(1000,COLUMN(H$9)+10)))
))</f>
        <v>-</v>
      </c>
      <c r="I187" s="19" t="str">
        <f t="array" ref="I187">IF(ISBLANK(Tareas!$B183),"-",
SUM(
SUMIF(INDIRECT(Equipo!$C$4&amp;"!B10:B1000"),$B187,INDIRECT(Equipo!$C$4&amp;"!"&amp;ADDRESS(10,COLUMN(I$9)+10)&amp;":"&amp;ADDRESS(1000,COLUMN(I$9)+10))),
SUMIF(INDIRECT(Equipo!$D$4&amp;"!B10:B1000"),$B187,INDIRECT(Equipo!$D$4&amp;"!"&amp;ADDRESS(10,COLUMN(I$9)+10)&amp;":"&amp;ADDRESS(1000,COLUMN(I$9)+10))),
SUMIF(INDIRECT(Equipo!$E$4&amp;"!B10:B1000"),$B187,INDIRECT(Equipo!$E$4&amp;"!"&amp;ADDRESS(10,COLUMN(I$9)+10)&amp;":"&amp;ADDRESS(1000,COLUMN(I$9)+10))),
SUMIF(INDIRECT(Equipo!$F$4&amp;"!B10:B1000"),$B187,INDIRECT(Equipo!$F$4&amp;"!"&amp;ADDRESS(10,COLUMN(I$9)+10)&amp;":"&amp;ADDRESS(1000,COLUMN(I$9)+10))),
SUMIF(INDIRECT(Equipo!$G$4&amp;"!B10:B1000"),$B187,INDIRECT(Equipo!$G$4&amp;"!"&amp;ADDRESS(10,COLUMN(I$9)+10)&amp;":"&amp;ADDRESS(1000,COLUMN(I$9)+10)))
))</f>
        <v>-</v>
      </c>
      <c r="J187" s="19" t="str">
        <f t="array" ref="J187">IF(ISBLANK(Tareas!$B183),"-",
SUM(
SUMIF(INDIRECT(Equipo!$C$4&amp;"!B10:B1000"),$B187,INDIRECT(Equipo!$C$4&amp;"!"&amp;ADDRESS(10,COLUMN(J$9)+10)&amp;":"&amp;ADDRESS(1000,COLUMN(J$9)+10))),
SUMIF(INDIRECT(Equipo!$D$4&amp;"!B10:B1000"),$B187,INDIRECT(Equipo!$D$4&amp;"!"&amp;ADDRESS(10,COLUMN(J$9)+10)&amp;":"&amp;ADDRESS(1000,COLUMN(J$9)+10))),
SUMIF(INDIRECT(Equipo!$E$4&amp;"!B10:B1000"),$B187,INDIRECT(Equipo!$E$4&amp;"!"&amp;ADDRESS(10,COLUMN(J$9)+10)&amp;":"&amp;ADDRESS(1000,COLUMN(J$9)+10))),
SUMIF(INDIRECT(Equipo!$F$4&amp;"!B10:B1000"),$B187,INDIRECT(Equipo!$F$4&amp;"!"&amp;ADDRESS(10,COLUMN(J$9)+10)&amp;":"&amp;ADDRESS(1000,COLUMN(J$9)+10))),
SUMIF(INDIRECT(Equipo!$G$4&amp;"!B10:B1000"),$B187,INDIRECT(Equipo!$G$4&amp;"!"&amp;ADDRESS(10,COLUMN(J$9)+10)&amp;":"&amp;ADDRESS(1000,COLUMN(J$9)+10)))
))</f>
        <v>-</v>
      </c>
      <c r="K187" s="19" t="str">
        <f t="array" ref="K187">IF(ISBLANK(Tareas!$B183),"-",
SUM(
SUMIF(INDIRECT(Equipo!$C$4&amp;"!B10:B1000"),$B187,INDIRECT(Equipo!$C$4&amp;"!"&amp;ADDRESS(10,COLUMN(K$9)+10)&amp;":"&amp;ADDRESS(1000,COLUMN(K$9)+10))),
SUMIF(INDIRECT(Equipo!$D$4&amp;"!B10:B1000"),$B187,INDIRECT(Equipo!$D$4&amp;"!"&amp;ADDRESS(10,COLUMN(K$9)+10)&amp;":"&amp;ADDRESS(1000,COLUMN(K$9)+10))),
SUMIF(INDIRECT(Equipo!$E$4&amp;"!B10:B1000"),$B187,INDIRECT(Equipo!$E$4&amp;"!"&amp;ADDRESS(10,COLUMN(K$9)+10)&amp;":"&amp;ADDRESS(1000,COLUMN(K$9)+10))),
SUMIF(INDIRECT(Equipo!$F$4&amp;"!B10:B1000"),$B187,INDIRECT(Equipo!$F$4&amp;"!"&amp;ADDRESS(10,COLUMN(K$9)+10)&amp;":"&amp;ADDRESS(1000,COLUMN(K$9)+10))),
SUMIF(INDIRECT(Equipo!$G$4&amp;"!B10:B1000"),$B187,INDIRECT(Equipo!$G$4&amp;"!"&amp;ADDRESS(10,COLUMN(K$9)+10)&amp;":"&amp;ADDRESS(1000,COLUMN(K$9)+10)))
))</f>
        <v>-</v>
      </c>
    </row>
    <row r="188" ht="15.75" customHeight="1">
      <c r="C188" s="19" t="str">
        <f>IF(ISBLANK(Tareas!$B184),"-",SUM(D188:K188))</f>
        <v>-</v>
      </c>
      <c r="D188" s="19" t="str">
        <f t="array" ref="D188">IF(ISBLANK(Tareas!$B184),"-",
SUM(
SUMIF(INDIRECT(Equipo!$C$4&amp;"!B10:B1000"),$B188,INDIRECT(Equipo!$C$4&amp;"!"&amp;ADDRESS(10,COLUMN(D$9)+10)&amp;":"&amp;ADDRESS(1000,COLUMN(D$9)+10))),
SUMIF(INDIRECT(Equipo!$D$4&amp;"!B10:B1000"),$B188,INDIRECT(Equipo!$D$4&amp;"!"&amp;ADDRESS(10,COLUMN(D$9)+10)&amp;":"&amp;ADDRESS(1000,COLUMN(D$9)+10))),
SUMIF(INDIRECT(Equipo!$E$4&amp;"!B10:B1000"),$B188,INDIRECT(Equipo!$E$4&amp;"!"&amp;ADDRESS(10,COLUMN(D$9)+10)&amp;":"&amp;ADDRESS(1000,COLUMN(D$9)+10))),
SUMIF(INDIRECT(Equipo!$F$4&amp;"!B10:B1000"),$B188,INDIRECT(Equipo!$F$4&amp;"!"&amp;ADDRESS(10,COLUMN(D$9)+10)&amp;":"&amp;ADDRESS(1000,COLUMN(D$9)+10))),
SUMIF(INDIRECT(Equipo!$G$4&amp;"!B10:B1000"),$B188,INDIRECT(Equipo!$G$4&amp;"!"&amp;ADDRESS(10,COLUMN(D$9)+10)&amp;":"&amp;ADDRESS(1000,COLUMN(D$9)+10)))
))</f>
        <v>-</v>
      </c>
      <c r="E188" s="19" t="str">
        <f t="array" ref="E188">IF(ISBLANK(Tareas!$B184),"-",
SUM(
SUMIF(INDIRECT(Equipo!$C$4&amp;"!B10:B1000"),$B188,INDIRECT(Equipo!$C$4&amp;"!"&amp;ADDRESS(10,COLUMN(E$9)+10)&amp;":"&amp;ADDRESS(1000,COLUMN(E$9)+10))),
SUMIF(INDIRECT(Equipo!$D$4&amp;"!B10:B1000"),$B188,INDIRECT(Equipo!$D$4&amp;"!"&amp;ADDRESS(10,COLUMN(E$9)+10)&amp;":"&amp;ADDRESS(1000,COLUMN(E$9)+10))),
SUMIF(INDIRECT(Equipo!$E$4&amp;"!B10:B1000"),$B188,INDIRECT(Equipo!$E$4&amp;"!"&amp;ADDRESS(10,COLUMN(E$9)+10)&amp;":"&amp;ADDRESS(1000,COLUMN(E$9)+10))),
SUMIF(INDIRECT(Equipo!$F$4&amp;"!B10:B1000"),$B188,INDIRECT(Equipo!$F$4&amp;"!"&amp;ADDRESS(10,COLUMN(E$9)+10)&amp;":"&amp;ADDRESS(1000,COLUMN(E$9)+10))),
SUMIF(INDIRECT(Equipo!$G$4&amp;"!B10:B1000"),$B188,INDIRECT(Equipo!$G$4&amp;"!"&amp;ADDRESS(10,COLUMN(E$9)+10)&amp;":"&amp;ADDRESS(1000,COLUMN(E$9)+10)))
))</f>
        <v>-</v>
      </c>
      <c r="F188" s="19" t="str">
        <f t="array" ref="F188">IF(ISBLANK(Tareas!$B184),"-",
SUM(
SUMIF(INDIRECT(Equipo!$C$4&amp;"!B10:B1000"),$B188,INDIRECT(Equipo!$C$4&amp;"!"&amp;ADDRESS(10,COLUMN(F$9)+10)&amp;":"&amp;ADDRESS(1000,COLUMN(F$9)+10))),
SUMIF(INDIRECT(Equipo!$D$4&amp;"!B10:B1000"),$B188,INDIRECT(Equipo!$D$4&amp;"!"&amp;ADDRESS(10,COLUMN(F$9)+10)&amp;":"&amp;ADDRESS(1000,COLUMN(F$9)+10))),
SUMIF(INDIRECT(Equipo!$E$4&amp;"!B10:B1000"),$B188,INDIRECT(Equipo!$E$4&amp;"!"&amp;ADDRESS(10,COLUMN(F$9)+10)&amp;":"&amp;ADDRESS(1000,COLUMN(F$9)+10))),
SUMIF(INDIRECT(Equipo!$F$4&amp;"!B10:B1000"),$B188,INDIRECT(Equipo!$F$4&amp;"!"&amp;ADDRESS(10,COLUMN(F$9)+10)&amp;":"&amp;ADDRESS(1000,COLUMN(F$9)+10))),
SUMIF(INDIRECT(Equipo!$G$4&amp;"!B10:B1000"),$B188,INDIRECT(Equipo!$G$4&amp;"!"&amp;ADDRESS(10,COLUMN(F$9)+10)&amp;":"&amp;ADDRESS(1000,COLUMN(F$9)+10)))
))</f>
        <v>-</v>
      </c>
      <c r="G188" s="19" t="str">
        <f t="array" ref="G188">IF(ISBLANK(Tareas!$B184),"-",
SUM(
SUMIF(INDIRECT(Equipo!$C$4&amp;"!B10:B1000"),$B188,INDIRECT(Equipo!$C$4&amp;"!"&amp;ADDRESS(10,COLUMN(G$9)+10)&amp;":"&amp;ADDRESS(1000,COLUMN(G$9)+10))),
SUMIF(INDIRECT(Equipo!$D$4&amp;"!B10:B1000"),$B188,INDIRECT(Equipo!$D$4&amp;"!"&amp;ADDRESS(10,COLUMN(G$9)+10)&amp;":"&amp;ADDRESS(1000,COLUMN(G$9)+10))),
SUMIF(INDIRECT(Equipo!$E$4&amp;"!B10:B1000"),$B188,INDIRECT(Equipo!$E$4&amp;"!"&amp;ADDRESS(10,COLUMN(G$9)+10)&amp;":"&amp;ADDRESS(1000,COLUMN(G$9)+10))),
SUMIF(INDIRECT(Equipo!$F$4&amp;"!B10:B1000"),$B188,INDIRECT(Equipo!$F$4&amp;"!"&amp;ADDRESS(10,COLUMN(G$9)+10)&amp;":"&amp;ADDRESS(1000,COLUMN(G$9)+10))),
SUMIF(INDIRECT(Equipo!$G$4&amp;"!B10:B1000"),$B188,INDIRECT(Equipo!$G$4&amp;"!"&amp;ADDRESS(10,COLUMN(G$9)+10)&amp;":"&amp;ADDRESS(1000,COLUMN(G$9)+10)))
))</f>
        <v>-</v>
      </c>
      <c r="H188" s="19" t="str">
        <f t="array" ref="H188">IF(ISBLANK(Tareas!$B184),"-",
SUM(
SUMIF(INDIRECT(Equipo!$C$4&amp;"!B10:B1000"),$B188,INDIRECT(Equipo!$C$4&amp;"!"&amp;ADDRESS(10,COLUMN(H$9)+10)&amp;":"&amp;ADDRESS(1000,COLUMN(H$9)+10))),
SUMIF(INDIRECT(Equipo!$D$4&amp;"!B10:B1000"),$B188,INDIRECT(Equipo!$D$4&amp;"!"&amp;ADDRESS(10,COLUMN(H$9)+10)&amp;":"&amp;ADDRESS(1000,COLUMN(H$9)+10))),
SUMIF(INDIRECT(Equipo!$E$4&amp;"!B10:B1000"),$B188,INDIRECT(Equipo!$E$4&amp;"!"&amp;ADDRESS(10,COLUMN(H$9)+10)&amp;":"&amp;ADDRESS(1000,COLUMN(H$9)+10))),
SUMIF(INDIRECT(Equipo!$F$4&amp;"!B10:B1000"),$B188,INDIRECT(Equipo!$F$4&amp;"!"&amp;ADDRESS(10,COLUMN(H$9)+10)&amp;":"&amp;ADDRESS(1000,COLUMN(H$9)+10))),
SUMIF(INDIRECT(Equipo!$G$4&amp;"!B10:B1000"),$B188,INDIRECT(Equipo!$G$4&amp;"!"&amp;ADDRESS(10,COLUMN(H$9)+10)&amp;":"&amp;ADDRESS(1000,COLUMN(H$9)+10)))
))</f>
        <v>-</v>
      </c>
      <c r="I188" s="19" t="str">
        <f t="array" ref="I188">IF(ISBLANK(Tareas!$B184),"-",
SUM(
SUMIF(INDIRECT(Equipo!$C$4&amp;"!B10:B1000"),$B188,INDIRECT(Equipo!$C$4&amp;"!"&amp;ADDRESS(10,COLUMN(I$9)+10)&amp;":"&amp;ADDRESS(1000,COLUMN(I$9)+10))),
SUMIF(INDIRECT(Equipo!$D$4&amp;"!B10:B1000"),$B188,INDIRECT(Equipo!$D$4&amp;"!"&amp;ADDRESS(10,COLUMN(I$9)+10)&amp;":"&amp;ADDRESS(1000,COLUMN(I$9)+10))),
SUMIF(INDIRECT(Equipo!$E$4&amp;"!B10:B1000"),$B188,INDIRECT(Equipo!$E$4&amp;"!"&amp;ADDRESS(10,COLUMN(I$9)+10)&amp;":"&amp;ADDRESS(1000,COLUMN(I$9)+10))),
SUMIF(INDIRECT(Equipo!$F$4&amp;"!B10:B1000"),$B188,INDIRECT(Equipo!$F$4&amp;"!"&amp;ADDRESS(10,COLUMN(I$9)+10)&amp;":"&amp;ADDRESS(1000,COLUMN(I$9)+10))),
SUMIF(INDIRECT(Equipo!$G$4&amp;"!B10:B1000"),$B188,INDIRECT(Equipo!$G$4&amp;"!"&amp;ADDRESS(10,COLUMN(I$9)+10)&amp;":"&amp;ADDRESS(1000,COLUMN(I$9)+10)))
))</f>
        <v>-</v>
      </c>
      <c r="J188" s="19" t="str">
        <f t="array" ref="J188">IF(ISBLANK(Tareas!$B184),"-",
SUM(
SUMIF(INDIRECT(Equipo!$C$4&amp;"!B10:B1000"),$B188,INDIRECT(Equipo!$C$4&amp;"!"&amp;ADDRESS(10,COLUMN(J$9)+10)&amp;":"&amp;ADDRESS(1000,COLUMN(J$9)+10))),
SUMIF(INDIRECT(Equipo!$D$4&amp;"!B10:B1000"),$B188,INDIRECT(Equipo!$D$4&amp;"!"&amp;ADDRESS(10,COLUMN(J$9)+10)&amp;":"&amp;ADDRESS(1000,COLUMN(J$9)+10))),
SUMIF(INDIRECT(Equipo!$E$4&amp;"!B10:B1000"),$B188,INDIRECT(Equipo!$E$4&amp;"!"&amp;ADDRESS(10,COLUMN(J$9)+10)&amp;":"&amp;ADDRESS(1000,COLUMN(J$9)+10))),
SUMIF(INDIRECT(Equipo!$F$4&amp;"!B10:B1000"),$B188,INDIRECT(Equipo!$F$4&amp;"!"&amp;ADDRESS(10,COLUMN(J$9)+10)&amp;":"&amp;ADDRESS(1000,COLUMN(J$9)+10))),
SUMIF(INDIRECT(Equipo!$G$4&amp;"!B10:B1000"),$B188,INDIRECT(Equipo!$G$4&amp;"!"&amp;ADDRESS(10,COLUMN(J$9)+10)&amp;":"&amp;ADDRESS(1000,COLUMN(J$9)+10)))
))</f>
        <v>-</v>
      </c>
      <c r="K188" s="19" t="str">
        <f t="array" ref="K188">IF(ISBLANK(Tareas!$B184),"-",
SUM(
SUMIF(INDIRECT(Equipo!$C$4&amp;"!B10:B1000"),$B188,INDIRECT(Equipo!$C$4&amp;"!"&amp;ADDRESS(10,COLUMN(K$9)+10)&amp;":"&amp;ADDRESS(1000,COLUMN(K$9)+10))),
SUMIF(INDIRECT(Equipo!$D$4&amp;"!B10:B1000"),$B188,INDIRECT(Equipo!$D$4&amp;"!"&amp;ADDRESS(10,COLUMN(K$9)+10)&amp;":"&amp;ADDRESS(1000,COLUMN(K$9)+10))),
SUMIF(INDIRECT(Equipo!$E$4&amp;"!B10:B1000"),$B188,INDIRECT(Equipo!$E$4&amp;"!"&amp;ADDRESS(10,COLUMN(K$9)+10)&amp;":"&amp;ADDRESS(1000,COLUMN(K$9)+10))),
SUMIF(INDIRECT(Equipo!$F$4&amp;"!B10:B1000"),$B188,INDIRECT(Equipo!$F$4&amp;"!"&amp;ADDRESS(10,COLUMN(K$9)+10)&amp;":"&amp;ADDRESS(1000,COLUMN(K$9)+10))),
SUMIF(INDIRECT(Equipo!$G$4&amp;"!B10:B1000"),$B188,INDIRECT(Equipo!$G$4&amp;"!"&amp;ADDRESS(10,COLUMN(K$9)+10)&amp;":"&amp;ADDRESS(1000,COLUMN(K$9)+10)))
))</f>
        <v>-</v>
      </c>
    </row>
    <row r="189" ht="15.75" customHeight="1">
      <c r="C189" s="19" t="str">
        <f>IF(ISBLANK(Tareas!$B185),"-",SUM(D189:K189))</f>
        <v>-</v>
      </c>
      <c r="D189" s="19" t="str">
        <f t="array" ref="D189">IF(ISBLANK(Tareas!$B185),"-",
SUM(
SUMIF(INDIRECT(Equipo!$C$4&amp;"!B10:B1000"),$B189,INDIRECT(Equipo!$C$4&amp;"!"&amp;ADDRESS(10,COLUMN(D$9)+10)&amp;":"&amp;ADDRESS(1000,COLUMN(D$9)+10))),
SUMIF(INDIRECT(Equipo!$D$4&amp;"!B10:B1000"),$B189,INDIRECT(Equipo!$D$4&amp;"!"&amp;ADDRESS(10,COLUMN(D$9)+10)&amp;":"&amp;ADDRESS(1000,COLUMN(D$9)+10))),
SUMIF(INDIRECT(Equipo!$E$4&amp;"!B10:B1000"),$B189,INDIRECT(Equipo!$E$4&amp;"!"&amp;ADDRESS(10,COLUMN(D$9)+10)&amp;":"&amp;ADDRESS(1000,COLUMN(D$9)+10))),
SUMIF(INDIRECT(Equipo!$F$4&amp;"!B10:B1000"),$B189,INDIRECT(Equipo!$F$4&amp;"!"&amp;ADDRESS(10,COLUMN(D$9)+10)&amp;":"&amp;ADDRESS(1000,COLUMN(D$9)+10))),
SUMIF(INDIRECT(Equipo!$G$4&amp;"!B10:B1000"),$B189,INDIRECT(Equipo!$G$4&amp;"!"&amp;ADDRESS(10,COLUMN(D$9)+10)&amp;":"&amp;ADDRESS(1000,COLUMN(D$9)+10)))
))</f>
        <v>-</v>
      </c>
      <c r="E189" s="19" t="str">
        <f t="array" ref="E189">IF(ISBLANK(Tareas!$B185),"-",
SUM(
SUMIF(INDIRECT(Equipo!$C$4&amp;"!B10:B1000"),$B189,INDIRECT(Equipo!$C$4&amp;"!"&amp;ADDRESS(10,COLUMN(E$9)+10)&amp;":"&amp;ADDRESS(1000,COLUMN(E$9)+10))),
SUMIF(INDIRECT(Equipo!$D$4&amp;"!B10:B1000"),$B189,INDIRECT(Equipo!$D$4&amp;"!"&amp;ADDRESS(10,COLUMN(E$9)+10)&amp;":"&amp;ADDRESS(1000,COLUMN(E$9)+10))),
SUMIF(INDIRECT(Equipo!$E$4&amp;"!B10:B1000"),$B189,INDIRECT(Equipo!$E$4&amp;"!"&amp;ADDRESS(10,COLUMN(E$9)+10)&amp;":"&amp;ADDRESS(1000,COLUMN(E$9)+10))),
SUMIF(INDIRECT(Equipo!$F$4&amp;"!B10:B1000"),$B189,INDIRECT(Equipo!$F$4&amp;"!"&amp;ADDRESS(10,COLUMN(E$9)+10)&amp;":"&amp;ADDRESS(1000,COLUMN(E$9)+10))),
SUMIF(INDIRECT(Equipo!$G$4&amp;"!B10:B1000"),$B189,INDIRECT(Equipo!$G$4&amp;"!"&amp;ADDRESS(10,COLUMN(E$9)+10)&amp;":"&amp;ADDRESS(1000,COLUMN(E$9)+10)))
))</f>
        <v>-</v>
      </c>
      <c r="F189" s="19" t="str">
        <f t="array" ref="F189">IF(ISBLANK(Tareas!$B185),"-",
SUM(
SUMIF(INDIRECT(Equipo!$C$4&amp;"!B10:B1000"),$B189,INDIRECT(Equipo!$C$4&amp;"!"&amp;ADDRESS(10,COLUMN(F$9)+10)&amp;":"&amp;ADDRESS(1000,COLUMN(F$9)+10))),
SUMIF(INDIRECT(Equipo!$D$4&amp;"!B10:B1000"),$B189,INDIRECT(Equipo!$D$4&amp;"!"&amp;ADDRESS(10,COLUMN(F$9)+10)&amp;":"&amp;ADDRESS(1000,COLUMN(F$9)+10))),
SUMIF(INDIRECT(Equipo!$E$4&amp;"!B10:B1000"),$B189,INDIRECT(Equipo!$E$4&amp;"!"&amp;ADDRESS(10,COLUMN(F$9)+10)&amp;":"&amp;ADDRESS(1000,COLUMN(F$9)+10))),
SUMIF(INDIRECT(Equipo!$F$4&amp;"!B10:B1000"),$B189,INDIRECT(Equipo!$F$4&amp;"!"&amp;ADDRESS(10,COLUMN(F$9)+10)&amp;":"&amp;ADDRESS(1000,COLUMN(F$9)+10))),
SUMIF(INDIRECT(Equipo!$G$4&amp;"!B10:B1000"),$B189,INDIRECT(Equipo!$G$4&amp;"!"&amp;ADDRESS(10,COLUMN(F$9)+10)&amp;":"&amp;ADDRESS(1000,COLUMN(F$9)+10)))
))</f>
        <v>-</v>
      </c>
      <c r="G189" s="19" t="str">
        <f t="array" ref="G189">IF(ISBLANK(Tareas!$B185),"-",
SUM(
SUMIF(INDIRECT(Equipo!$C$4&amp;"!B10:B1000"),$B189,INDIRECT(Equipo!$C$4&amp;"!"&amp;ADDRESS(10,COLUMN(G$9)+10)&amp;":"&amp;ADDRESS(1000,COLUMN(G$9)+10))),
SUMIF(INDIRECT(Equipo!$D$4&amp;"!B10:B1000"),$B189,INDIRECT(Equipo!$D$4&amp;"!"&amp;ADDRESS(10,COLUMN(G$9)+10)&amp;":"&amp;ADDRESS(1000,COLUMN(G$9)+10))),
SUMIF(INDIRECT(Equipo!$E$4&amp;"!B10:B1000"),$B189,INDIRECT(Equipo!$E$4&amp;"!"&amp;ADDRESS(10,COLUMN(G$9)+10)&amp;":"&amp;ADDRESS(1000,COLUMN(G$9)+10))),
SUMIF(INDIRECT(Equipo!$F$4&amp;"!B10:B1000"),$B189,INDIRECT(Equipo!$F$4&amp;"!"&amp;ADDRESS(10,COLUMN(G$9)+10)&amp;":"&amp;ADDRESS(1000,COLUMN(G$9)+10))),
SUMIF(INDIRECT(Equipo!$G$4&amp;"!B10:B1000"),$B189,INDIRECT(Equipo!$G$4&amp;"!"&amp;ADDRESS(10,COLUMN(G$9)+10)&amp;":"&amp;ADDRESS(1000,COLUMN(G$9)+10)))
))</f>
        <v>-</v>
      </c>
      <c r="H189" s="19" t="str">
        <f t="array" ref="H189">IF(ISBLANK(Tareas!$B185),"-",
SUM(
SUMIF(INDIRECT(Equipo!$C$4&amp;"!B10:B1000"),$B189,INDIRECT(Equipo!$C$4&amp;"!"&amp;ADDRESS(10,COLUMN(H$9)+10)&amp;":"&amp;ADDRESS(1000,COLUMN(H$9)+10))),
SUMIF(INDIRECT(Equipo!$D$4&amp;"!B10:B1000"),$B189,INDIRECT(Equipo!$D$4&amp;"!"&amp;ADDRESS(10,COLUMN(H$9)+10)&amp;":"&amp;ADDRESS(1000,COLUMN(H$9)+10))),
SUMIF(INDIRECT(Equipo!$E$4&amp;"!B10:B1000"),$B189,INDIRECT(Equipo!$E$4&amp;"!"&amp;ADDRESS(10,COLUMN(H$9)+10)&amp;":"&amp;ADDRESS(1000,COLUMN(H$9)+10))),
SUMIF(INDIRECT(Equipo!$F$4&amp;"!B10:B1000"),$B189,INDIRECT(Equipo!$F$4&amp;"!"&amp;ADDRESS(10,COLUMN(H$9)+10)&amp;":"&amp;ADDRESS(1000,COLUMN(H$9)+10))),
SUMIF(INDIRECT(Equipo!$G$4&amp;"!B10:B1000"),$B189,INDIRECT(Equipo!$G$4&amp;"!"&amp;ADDRESS(10,COLUMN(H$9)+10)&amp;":"&amp;ADDRESS(1000,COLUMN(H$9)+10)))
))</f>
        <v>-</v>
      </c>
      <c r="I189" s="19" t="str">
        <f t="array" ref="I189">IF(ISBLANK(Tareas!$B185),"-",
SUM(
SUMIF(INDIRECT(Equipo!$C$4&amp;"!B10:B1000"),$B189,INDIRECT(Equipo!$C$4&amp;"!"&amp;ADDRESS(10,COLUMN(I$9)+10)&amp;":"&amp;ADDRESS(1000,COLUMN(I$9)+10))),
SUMIF(INDIRECT(Equipo!$D$4&amp;"!B10:B1000"),$B189,INDIRECT(Equipo!$D$4&amp;"!"&amp;ADDRESS(10,COLUMN(I$9)+10)&amp;":"&amp;ADDRESS(1000,COLUMN(I$9)+10))),
SUMIF(INDIRECT(Equipo!$E$4&amp;"!B10:B1000"),$B189,INDIRECT(Equipo!$E$4&amp;"!"&amp;ADDRESS(10,COLUMN(I$9)+10)&amp;":"&amp;ADDRESS(1000,COLUMN(I$9)+10))),
SUMIF(INDIRECT(Equipo!$F$4&amp;"!B10:B1000"),$B189,INDIRECT(Equipo!$F$4&amp;"!"&amp;ADDRESS(10,COLUMN(I$9)+10)&amp;":"&amp;ADDRESS(1000,COLUMN(I$9)+10))),
SUMIF(INDIRECT(Equipo!$G$4&amp;"!B10:B1000"),$B189,INDIRECT(Equipo!$G$4&amp;"!"&amp;ADDRESS(10,COLUMN(I$9)+10)&amp;":"&amp;ADDRESS(1000,COLUMN(I$9)+10)))
))</f>
        <v>-</v>
      </c>
      <c r="J189" s="19" t="str">
        <f t="array" ref="J189">IF(ISBLANK(Tareas!$B185),"-",
SUM(
SUMIF(INDIRECT(Equipo!$C$4&amp;"!B10:B1000"),$B189,INDIRECT(Equipo!$C$4&amp;"!"&amp;ADDRESS(10,COLUMN(J$9)+10)&amp;":"&amp;ADDRESS(1000,COLUMN(J$9)+10))),
SUMIF(INDIRECT(Equipo!$D$4&amp;"!B10:B1000"),$B189,INDIRECT(Equipo!$D$4&amp;"!"&amp;ADDRESS(10,COLUMN(J$9)+10)&amp;":"&amp;ADDRESS(1000,COLUMN(J$9)+10))),
SUMIF(INDIRECT(Equipo!$E$4&amp;"!B10:B1000"),$B189,INDIRECT(Equipo!$E$4&amp;"!"&amp;ADDRESS(10,COLUMN(J$9)+10)&amp;":"&amp;ADDRESS(1000,COLUMN(J$9)+10))),
SUMIF(INDIRECT(Equipo!$F$4&amp;"!B10:B1000"),$B189,INDIRECT(Equipo!$F$4&amp;"!"&amp;ADDRESS(10,COLUMN(J$9)+10)&amp;":"&amp;ADDRESS(1000,COLUMN(J$9)+10))),
SUMIF(INDIRECT(Equipo!$G$4&amp;"!B10:B1000"),$B189,INDIRECT(Equipo!$G$4&amp;"!"&amp;ADDRESS(10,COLUMN(J$9)+10)&amp;":"&amp;ADDRESS(1000,COLUMN(J$9)+10)))
))</f>
        <v>-</v>
      </c>
      <c r="K189" s="19" t="str">
        <f t="array" ref="K189">IF(ISBLANK(Tareas!$B185),"-",
SUM(
SUMIF(INDIRECT(Equipo!$C$4&amp;"!B10:B1000"),$B189,INDIRECT(Equipo!$C$4&amp;"!"&amp;ADDRESS(10,COLUMN(K$9)+10)&amp;":"&amp;ADDRESS(1000,COLUMN(K$9)+10))),
SUMIF(INDIRECT(Equipo!$D$4&amp;"!B10:B1000"),$B189,INDIRECT(Equipo!$D$4&amp;"!"&amp;ADDRESS(10,COLUMN(K$9)+10)&amp;":"&amp;ADDRESS(1000,COLUMN(K$9)+10))),
SUMIF(INDIRECT(Equipo!$E$4&amp;"!B10:B1000"),$B189,INDIRECT(Equipo!$E$4&amp;"!"&amp;ADDRESS(10,COLUMN(K$9)+10)&amp;":"&amp;ADDRESS(1000,COLUMN(K$9)+10))),
SUMIF(INDIRECT(Equipo!$F$4&amp;"!B10:B1000"),$B189,INDIRECT(Equipo!$F$4&amp;"!"&amp;ADDRESS(10,COLUMN(K$9)+10)&amp;":"&amp;ADDRESS(1000,COLUMN(K$9)+10))),
SUMIF(INDIRECT(Equipo!$G$4&amp;"!B10:B1000"),$B189,INDIRECT(Equipo!$G$4&amp;"!"&amp;ADDRESS(10,COLUMN(K$9)+10)&amp;":"&amp;ADDRESS(1000,COLUMN(K$9)+10)))
))</f>
        <v>-</v>
      </c>
    </row>
    <row r="190" ht="15.75" customHeight="1">
      <c r="C190" s="19" t="str">
        <f>IF(ISBLANK(Tareas!$B186),"-",SUM(D190:K190))</f>
        <v>-</v>
      </c>
      <c r="D190" s="19" t="str">
        <f t="array" ref="D190">IF(ISBLANK(Tareas!$B186),"-",
SUM(
SUMIF(INDIRECT(Equipo!$C$4&amp;"!B10:B1000"),$B190,INDIRECT(Equipo!$C$4&amp;"!"&amp;ADDRESS(10,COLUMN(D$9)+10)&amp;":"&amp;ADDRESS(1000,COLUMN(D$9)+10))),
SUMIF(INDIRECT(Equipo!$D$4&amp;"!B10:B1000"),$B190,INDIRECT(Equipo!$D$4&amp;"!"&amp;ADDRESS(10,COLUMN(D$9)+10)&amp;":"&amp;ADDRESS(1000,COLUMN(D$9)+10))),
SUMIF(INDIRECT(Equipo!$E$4&amp;"!B10:B1000"),$B190,INDIRECT(Equipo!$E$4&amp;"!"&amp;ADDRESS(10,COLUMN(D$9)+10)&amp;":"&amp;ADDRESS(1000,COLUMN(D$9)+10))),
SUMIF(INDIRECT(Equipo!$F$4&amp;"!B10:B1000"),$B190,INDIRECT(Equipo!$F$4&amp;"!"&amp;ADDRESS(10,COLUMN(D$9)+10)&amp;":"&amp;ADDRESS(1000,COLUMN(D$9)+10))),
SUMIF(INDIRECT(Equipo!$G$4&amp;"!B10:B1000"),$B190,INDIRECT(Equipo!$G$4&amp;"!"&amp;ADDRESS(10,COLUMN(D$9)+10)&amp;":"&amp;ADDRESS(1000,COLUMN(D$9)+10)))
))</f>
        <v>-</v>
      </c>
      <c r="E190" s="19" t="str">
        <f t="array" ref="E190">IF(ISBLANK(Tareas!$B186),"-",
SUM(
SUMIF(INDIRECT(Equipo!$C$4&amp;"!B10:B1000"),$B190,INDIRECT(Equipo!$C$4&amp;"!"&amp;ADDRESS(10,COLUMN(E$9)+10)&amp;":"&amp;ADDRESS(1000,COLUMN(E$9)+10))),
SUMIF(INDIRECT(Equipo!$D$4&amp;"!B10:B1000"),$B190,INDIRECT(Equipo!$D$4&amp;"!"&amp;ADDRESS(10,COLUMN(E$9)+10)&amp;":"&amp;ADDRESS(1000,COLUMN(E$9)+10))),
SUMIF(INDIRECT(Equipo!$E$4&amp;"!B10:B1000"),$B190,INDIRECT(Equipo!$E$4&amp;"!"&amp;ADDRESS(10,COLUMN(E$9)+10)&amp;":"&amp;ADDRESS(1000,COLUMN(E$9)+10))),
SUMIF(INDIRECT(Equipo!$F$4&amp;"!B10:B1000"),$B190,INDIRECT(Equipo!$F$4&amp;"!"&amp;ADDRESS(10,COLUMN(E$9)+10)&amp;":"&amp;ADDRESS(1000,COLUMN(E$9)+10))),
SUMIF(INDIRECT(Equipo!$G$4&amp;"!B10:B1000"),$B190,INDIRECT(Equipo!$G$4&amp;"!"&amp;ADDRESS(10,COLUMN(E$9)+10)&amp;":"&amp;ADDRESS(1000,COLUMN(E$9)+10)))
))</f>
        <v>-</v>
      </c>
      <c r="F190" s="19" t="str">
        <f t="array" ref="F190">IF(ISBLANK(Tareas!$B186),"-",
SUM(
SUMIF(INDIRECT(Equipo!$C$4&amp;"!B10:B1000"),$B190,INDIRECT(Equipo!$C$4&amp;"!"&amp;ADDRESS(10,COLUMN(F$9)+10)&amp;":"&amp;ADDRESS(1000,COLUMN(F$9)+10))),
SUMIF(INDIRECT(Equipo!$D$4&amp;"!B10:B1000"),$B190,INDIRECT(Equipo!$D$4&amp;"!"&amp;ADDRESS(10,COLUMN(F$9)+10)&amp;":"&amp;ADDRESS(1000,COLUMN(F$9)+10))),
SUMIF(INDIRECT(Equipo!$E$4&amp;"!B10:B1000"),$B190,INDIRECT(Equipo!$E$4&amp;"!"&amp;ADDRESS(10,COLUMN(F$9)+10)&amp;":"&amp;ADDRESS(1000,COLUMN(F$9)+10))),
SUMIF(INDIRECT(Equipo!$F$4&amp;"!B10:B1000"),$B190,INDIRECT(Equipo!$F$4&amp;"!"&amp;ADDRESS(10,COLUMN(F$9)+10)&amp;":"&amp;ADDRESS(1000,COLUMN(F$9)+10))),
SUMIF(INDIRECT(Equipo!$G$4&amp;"!B10:B1000"),$B190,INDIRECT(Equipo!$G$4&amp;"!"&amp;ADDRESS(10,COLUMN(F$9)+10)&amp;":"&amp;ADDRESS(1000,COLUMN(F$9)+10)))
))</f>
        <v>-</v>
      </c>
      <c r="G190" s="19" t="str">
        <f t="array" ref="G190">IF(ISBLANK(Tareas!$B186),"-",
SUM(
SUMIF(INDIRECT(Equipo!$C$4&amp;"!B10:B1000"),$B190,INDIRECT(Equipo!$C$4&amp;"!"&amp;ADDRESS(10,COLUMN(G$9)+10)&amp;":"&amp;ADDRESS(1000,COLUMN(G$9)+10))),
SUMIF(INDIRECT(Equipo!$D$4&amp;"!B10:B1000"),$B190,INDIRECT(Equipo!$D$4&amp;"!"&amp;ADDRESS(10,COLUMN(G$9)+10)&amp;":"&amp;ADDRESS(1000,COLUMN(G$9)+10))),
SUMIF(INDIRECT(Equipo!$E$4&amp;"!B10:B1000"),$B190,INDIRECT(Equipo!$E$4&amp;"!"&amp;ADDRESS(10,COLUMN(G$9)+10)&amp;":"&amp;ADDRESS(1000,COLUMN(G$9)+10))),
SUMIF(INDIRECT(Equipo!$F$4&amp;"!B10:B1000"),$B190,INDIRECT(Equipo!$F$4&amp;"!"&amp;ADDRESS(10,COLUMN(G$9)+10)&amp;":"&amp;ADDRESS(1000,COLUMN(G$9)+10))),
SUMIF(INDIRECT(Equipo!$G$4&amp;"!B10:B1000"),$B190,INDIRECT(Equipo!$G$4&amp;"!"&amp;ADDRESS(10,COLUMN(G$9)+10)&amp;":"&amp;ADDRESS(1000,COLUMN(G$9)+10)))
))</f>
        <v>-</v>
      </c>
      <c r="H190" s="19" t="str">
        <f t="array" ref="H190">IF(ISBLANK(Tareas!$B186),"-",
SUM(
SUMIF(INDIRECT(Equipo!$C$4&amp;"!B10:B1000"),$B190,INDIRECT(Equipo!$C$4&amp;"!"&amp;ADDRESS(10,COLUMN(H$9)+10)&amp;":"&amp;ADDRESS(1000,COLUMN(H$9)+10))),
SUMIF(INDIRECT(Equipo!$D$4&amp;"!B10:B1000"),$B190,INDIRECT(Equipo!$D$4&amp;"!"&amp;ADDRESS(10,COLUMN(H$9)+10)&amp;":"&amp;ADDRESS(1000,COLUMN(H$9)+10))),
SUMIF(INDIRECT(Equipo!$E$4&amp;"!B10:B1000"),$B190,INDIRECT(Equipo!$E$4&amp;"!"&amp;ADDRESS(10,COLUMN(H$9)+10)&amp;":"&amp;ADDRESS(1000,COLUMN(H$9)+10))),
SUMIF(INDIRECT(Equipo!$F$4&amp;"!B10:B1000"),$B190,INDIRECT(Equipo!$F$4&amp;"!"&amp;ADDRESS(10,COLUMN(H$9)+10)&amp;":"&amp;ADDRESS(1000,COLUMN(H$9)+10))),
SUMIF(INDIRECT(Equipo!$G$4&amp;"!B10:B1000"),$B190,INDIRECT(Equipo!$G$4&amp;"!"&amp;ADDRESS(10,COLUMN(H$9)+10)&amp;":"&amp;ADDRESS(1000,COLUMN(H$9)+10)))
))</f>
        <v>-</v>
      </c>
      <c r="I190" s="19" t="str">
        <f t="array" ref="I190">IF(ISBLANK(Tareas!$B186),"-",
SUM(
SUMIF(INDIRECT(Equipo!$C$4&amp;"!B10:B1000"),$B190,INDIRECT(Equipo!$C$4&amp;"!"&amp;ADDRESS(10,COLUMN(I$9)+10)&amp;":"&amp;ADDRESS(1000,COLUMN(I$9)+10))),
SUMIF(INDIRECT(Equipo!$D$4&amp;"!B10:B1000"),$B190,INDIRECT(Equipo!$D$4&amp;"!"&amp;ADDRESS(10,COLUMN(I$9)+10)&amp;":"&amp;ADDRESS(1000,COLUMN(I$9)+10))),
SUMIF(INDIRECT(Equipo!$E$4&amp;"!B10:B1000"),$B190,INDIRECT(Equipo!$E$4&amp;"!"&amp;ADDRESS(10,COLUMN(I$9)+10)&amp;":"&amp;ADDRESS(1000,COLUMN(I$9)+10))),
SUMIF(INDIRECT(Equipo!$F$4&amp;"!B10:B1000"),$B190,INDIRECT(Equipo!$F$4&amp;"!"&amp;ADDRESS(10,COLUMN(I$9)+10)&amp;":"&amp;ADDRESS(1000,COLUMN(I$9)+10))),
SUMIF(INDIRECT(Equipo!$G$4&amp;"!B10:B1000"),$B190,INDIRECT(Equipo!$G$4&amp;"!"&amp;ADDRESS(10,COLUMN(I$9)+10)&amp;":"&amp;ADDRESS(1000,COLUMN(I$9)+10)))
))</f>
        <v>-</v>
      </c>
      <c r="J190" s="19" t="str">
        <f t="array" ref="J190">IF(ISBLANK(Tareas!$B186),"-",
SUM(
SUMIF(INDIRECT(Equipo!$C$4&amp;"!B10:B1000"),$B190,INDIRECT(Equipo!$C$4&amp;"!"&amp;ADDRESS(10,COLUMN(J$9)+10)&amp;":"&amp;ADDRESS(1000,COLUMN(J$9)+10))),
SUMIF(INDIRECT(Equipo!$D$4&amp;"!B10:B1000"),$B190,INDIRECT(Equipo!$D$4&amp;"!"&amp;ADDRESS(10,COLUMN(J$9)+10)&amp;":"&amp;ADDRESS(1000,COLUMN(J$9)+10))),
SUMIF(INDIRECT(Equipo!$E$4&amp;"!B10:B1000"),$B190,INDIRECT(Equipo!$E$4&amp;"!"&amp;ADDRESS(10,COLUMN(J$9)+10)&amp;":"&amp;ADDRESS(1000,COLUMN(J$9)+10))),
SUMIF(INDIRECT(Equipo!$F$4&amp;"!B10:B1000"),$B190,INDIRECT(Equipo!$F$4&amp;"!"&amp;ADDRESS(10,COLUMN(J$9)+10)&amp;":"&amp;ADDRESS(1000,COLUMN(J$9)+10))),
SUMIF(INDIRECT(Equipo!$G$4&amp;"!B10:B1000"),$B190,INDIRECT(Equipo!$G$4&amp;"!"&amp;ADDRESS(10,COLUMN(J$9)+10)&amp;":"&amp;ADDRESS(1000,COLUMN(J$9)+10)))
))</f>
        <v>-</v>
      </c>
      <c r="K190" s="19" t="str">
        <f t="array" ref="K190">IF(ISBLANK(Tareas!$B186),"-",
SUM(
SUMIF(INDIRECT(Equipo!$C$4&amp;"!B10:B1000"),$B190,INDIRECT(Equipo!$C$4&amp;"!"&amp;ADDRESS(10,COLUMN(K$9)+10)&amp;":"&amp;ADDRESS(1000,COLUMN(K$9)+10))),
SUMIF(INDIRECT(Equipo!$D$4&amp;"!B10:B1000"),$B190,INDIRECT(Equipo!$D$4&amp;"!"&amp;ADDRESS(10,COLUMN(K$9)+10)&amp;":"&amp;ADDRESS(1000,COLUMN(K$9)+10))),
SUMIF(INDIRECT(Equipo!$E$4&amp;"!B10:B1000"),$B190,INDIRECT(Equipo!$E$4&amp;"!"&amp;ADDRESS(10,COLUMN(K$9)+10)&amp;":"&amp;ADDRESS(1000,COLUMN(K$9)+10))),
SUMIF(INDIRECT(Equipo!$F$4&amp;"!B10:B1000"),$B190,INDIRECT(Equipo!$F$4&amp;"!"&amp;ADDRESS(10,COLUMN(K$9)+10)&amp;":"&amp;ADDRESS(1000,COLUMN(K$9)+10))),
SUMIF(INDIRECT(Equipo!$G$4&amp;"!B10:B1000"),$B190,INDIRECT(Equipo!$G$4&amp;"!"&amp;ADDRESS(10,COLUMN(K$9)+10)&amp;":"&amp;ADDRESS(1000,COLUMN(K$9)+10)))
))</f>
        <v>-</v>
      </c>
    </row>
    <row r="191" ht="15.75" customHeight="1">
      <c r="C191" s="19" t="str">
        <f>IF(ISBLANK(Tareas!$B187),"-",SUM(D191:K191))</f>
        <v>-</v>
      </c>
      <c r="D191" s="19" t="str">
        <f t="array" ref="D191">IF(ISBLANK(Tareas!$B187),"-",
SUM(
SUMIF(INDIRECT(Equipo!$C$4&amp;"!B10:B1000"),$B191,INDIRECT(Equipo!$C$4&amp;"!"&amp;ADDRESS(10,COLUMN(D$9)+10)&amp;":"&amp;ADDRESS(1000,COLUMN(D$9)+10))),
SUMIF(INDIRECT(Equipo!$D$4&amp;"!B10:B1000"),$B191,INDIRECT(Equipo!$D$4&amp;"!"&amp;ADDRESS(10,COLUMN(D$9)+10)&amp;":"&amp;ADDRESS(1000,COLUMN(D$9)+10))),
SUMIF(INDIRECT(Equipo!$E$4&amp;"!B10:B1000"),$B191,INDIRECT(Equipo!$E$4&amp;"!"&amp;ADDRESS(10,COLUMN(D$9)+10)&amp;":"&amp;ADDRESS(1000,COLUMN(D$9)+10))),
SUMIF(INDIRECT(Equipo!$F$4&amp;"!B10:B1000"),$B191,INDIRECT(Equipo!$F$4&amp;"!"&amp;ADDRESS(10,COLUMN(D$9)+10)&amp;":"&amp;ADDRESS(1000,COLUMN(D$9)+10))),
SUMIF(INDIRECT(Equipo!$G$4&amp;"!B10:B1000"),$B191,INDIRECT(Equipo!$G$4&amp;"!"&amp;ADDRESS(10,COLUMN(D$9)+10)&amp;":"&amp;ADDRESS(1000,COLUMN(D$9)+10)))
))</f>
        <v>-</v>
      </c>
      <c r="E191" s="19" t="str">
        <f t="array" ref="E191">IF(ISBLANK(Tareas!$B187),"-",
SUM(
SUMIF(INDIRECT(Equipo!$C$4&amp;"!B10:B1000"),$B191,INDIRECT(Equipo!$C$4&amp;"!"&amp;ADDRESS(10,COLUMN(E$9)+10)&amp;":"&amp;ADDRESS(1000,COLUMN(E$9)+10))),
SUMIF(INDIRECT(Equipo!$D$4&amp;"!B10:B1000"),$B191,INDIRECT(Equipo!$D$4&amp;"!"&amp;ADDRESS(10,COLUMN(E$9)+10)&amp;":"&amp;ADDRESS(1000,COLUMN(E$9)+10))),
SUMIF(INDIRECT(Equipo!$E$4&amp;"!B10:B1000"),$B191,INDIRECT(Equipo!$E$4&amp;"!"&amp;ADDRESS(10,COLUMN(E$9)+10)&amp;":"&amp;ADDRESS(1000,COLUMN(E$9)+10))),
SUMIF(INDIRECT(Equipo!$F$4&amp;"!B10:B1000"),$B191,INDIRECT(Equipo!$F$4&amp;"!"&amp;ADDRESS(10,COLUMN(E$9)+10)&amp;":"&amp;ADDRESS(1000,COLUMN(E$9)+10))),
SUMIF(INDIRECT(Equipo!$G$4&amp;"!B10:B1000"),$B191,INDIRECT(Equipo!$G$4&amp;"!"&amp;ADDRESS(10,COLUMN(E$9)+10)&amp;":"&amp;ADDRESS(1000,COLUMN(E$9)+10)))
))</f>
        <v>-</v>
      </c>
      <c r="F191" s="19" t="str">
        <f t="array" ref="F191">IF(ISBLANK(Tareas!$B187),"-",
SUM(
SUMIF(INDIRECT(Equipo!$C$4&amp;"!B10:B1000"),$B191,INDIRECT(Equipo!$C$4&amp;"!"&amp;ADDRESS(10,COLUMN(F$9)+10)&amp;":"&amp;ADDRESS(1000,COLUMN(F$9)+10))),
SUMIF(INDIRECT(Equipo!$D$4&amp;"!B10:B1000"),$B191,INDIRECT(Equipo!$D$4&amp;"!"&amp;ADDRESS(10,COLUMN(F$9)+10)&amp;":"&amp;ADDRESS(1000,COLUMN(F$9)+10))),
SUMIF(INDIRECT(Equipo!$E$4&amp;"!B10:B1000"),$B191,INDIRECT(Equipo!$E$4&amp;"!"&amp;ADDRESS(10,COLUMN(F$9)+10)&amp;":"&amp;ADDRESS(1000,COLUMN(F$9)+10))),
SUMIF(INDIRECT(Equipo!$F$4&amp;"!B10:B1000"),$B191,INDIRECT(Equipo!$F$4&amp;"!"&amp;ADDRESS(10,COLUMN(F$9)+10)&amp;":"&amp;ADDRESS(1000,COLUMN(F$9)+10))),
SUMIF(INDIRECT(Equipo!$G$4&amp;"!B10:B1000"),$B191,INDIRECT(Equipo!$G$4&amp;"!"&amp;ADDRESS(10,COLUMN(F$9)+10)&amp;":"&amp;ADDRESS(1000,COLUMN(F$9)+10)))
))</f>
        <v>-</v>
      </c>
      <c r="G191" s="19" t="str">
        <f t="array" ref="G191">IF(ISBLANK(Tareas!$B187),"-",
SUM(
SUMIF(INDIRECT(Equipo!$C$4&amp;"!B10:B1000"),$B191,INDIRECT(Equipo!$C$4&amp;"!"&amp;ADDRESS(10,COLUMN(G$9)+10)&amp;":"&amp;ADDRESS(1000,COLUMN(G$9)+10))),
SUMIF(INDIRECT(Equipo!$D$4&amp;"!B10:B1000"),$B191,INDIRECT(Equipo!$D$4&amp;"!"&amp;ADDRESS(10,COLUMN(G$9)+10)&amp;":"&amp;ADDRESS(1000,COLUMN(G$9)+10))),
SUMIF(INDIRECT(Equipo!$E$4&amp;"!B10:B1000"),$B191,INDIRECT(Equipo!$E$4&amp;"!"&amp;ADDRESS(10,COLUMN(G$9)+10)&amp;":"&amp;ADDRESS(1000,COLUMN(G$9)+10))),
SUMIF(INDIRECT(Equipo!$F$4&amp;"!B10:B1000"),$B191,INDIRECT(Equipo!$F$4&amp;"!"&amp;ADDRESS(10,COLUMN(G$9)+10)&amp;":"&amp;ADDRESS(1000,COLUMN(G$9)+10))),
SUMIF(INDIRECT(Equipo!$G$4&amp;"!B10:B1000"),$B191,INDIRECT(Equipo!$G$4&amp;"!"&amp;ADDRESS(10,COLUMN(G$9)+10)&amp;":"&amp;ADDRESS(1000,COLUMN(G$9)+10)))
))</f>
        <v>-</v>
      </c>
      <c r="H191" s="19" t="str">
        <f t="array" ref="H191">IF(ISBLANK(Tareas!$B187),"-",
SUM(
SUMIF(INDIRECT(Equipo!$C$4&amp;"!B10:B1000"),$B191,INDIRECT(Equipo!$C$4&amp;"!"&amp;ADDRESS(10,COLUMN(H$9)+10)&amp;":"&amp;ADDRESS(1000,COLUMN(H$9)+10))),
SUMIF(INDIRECT(Equipo!$D$4&amp;"!B10:B1000"),$B191,INDIRECT(Equipo!$D$4&amp;"!"&amp;ADDRESS(10,COLUMN(H$9)+10)&amp;":"&amp;ADDRESS(1000,COLUMN(H$9)+10))),
SUMIF(INDIRECT(Equipo!$E$4&amp;"!B10:B1000"),$B191,INDIRECT(Equipo!$E$4&amp;"!"&amp;ADDRESS(10,COLUMN(H$9)+10)&amp;":"&amp;ADDRESS(1000,COLUMN(H$9)+10))),
SUMIF(INDIRECT(Equipo!$F$4&amp;"!B10:B1000"),$B191,INDIRECT(Equipo!$F$4&amp;"!"&amp;ADDRESS(10,COLUMN(H$9)+10)&amp;":"&amp;ADDRESS(1000,COLUMN(H$9)+10))),
SUMIF(INDIRECT(Equipo!$G$4&amp;"!B10:B1000"),$B191,INDIRECT(Equipo!$G$4&amp;"!"&amp;ADDRESS(10,COLUMN(H$9)+10)&amp;":"&amp;ADDRESS(1000,COLUMN(H$9)+10)))
))</f>
        <v>-</v>
      </c>
      <c r="I191" s="19" t="str">
        <f t="array" ref="I191">IF(ISBLANK(Tareas!$B187),"-",
SUM(
SUMIF(INDIRECT(Equipo!$C$4&amp;"!B10:B1000"),$B191,INDIRECT(Equipo!$C$4&amp;"!"&amp;ADDRESS(10,COLUMN(I$9)+10)&amp;":"&amp;ADDRESS(1000,COLUMN(I$9)+10))),
SUMIF(INDIRECT(Equipo!$D$4&amp;"!B10:B1000"),$B191,INDIRECT(Equipo!$D$4&amp;"!"&amp;ADDRESS(10,COLUMN(I$9)+10)&amp;":"&amp;ADDRESS(1000,COLUMN(I$9)+10))),
SUMIF(INDIRECT(Equipo!$E$4&amp;"!B10:B1000"),$B191,INDIRECT(Equipo!$E$4&amp;"!"&amp;ADDRESS(10,COLUMN(I$9)+10)&amp;":"&amp;ADDRESS(1000,COLUMN(I$9)+10))),
SUMIF(INDIRECT(Equipo!$F$4&amp;"!B10:B1000"),$B191,INDIRECT(Equipo!$F$4&amp;"!"&amp;ADDRESS(10,COLUMN(I$9)+10)&amp;":"&amp;ADDRESS(1000,COLUMN(I$9)+10))),
SUMIF(INDIRECT(Equipo!$G$4&amp;"!B10:B1000"),$B191,INDIRECT(Equipo!$G$4&amp;"!"&amp;ADDRESS(10,COLUMN(I$9)+10)&amp;":"&amp;ADDRESS(1000,COLUMN(I$9)+10)))
))</f>
        <v>-</v>
      </c>
      <c r="J191" s="19" t="str">
        <f t="array" ref="J191">IF(ISBLANK(Tareas!$B187),"-",
SUM(
SUMIF(INDIRECT(Equipo!$C$4&amp;"!B10:B1000"),$B191,INDIRECT(Equipo!$C$4&amp;"!"&amp;ADDRESS(10,COLUMN(J$9)+10)&amp;":"&amp;ADDRESS(1000,COLUMN(J$9)+10))),
SUMIF(INDIRECT(Equipo!$D$4&amp;"!B10:B1000"),$B191,INDIRECT(Equipo!$D$4&amp;"!"&amp;ADDRESS(10,COLUMN(J$9)+10)&amp;":"&amp;ADDRESS(1000,COLUMN(J$9)+10))),
SUMIF(INDIRECT(Equipo!$E$4&amp;"!B10:B1000"),$B191,INDIRECT(Equipo!$E$4&amp;"!"&amp;ADDRESS(10,COLUMN(J$9)+10)&amp;":"&amp;ADDRESS(1000,COLUMN(J$9)+10))),
SUMIF(INDIRECT(Equipo!$F$4&amp;"!B10:B1000"),$B191,INDIRECT(Equipo!$F$4&amp;"!"&amp;ADDRESS(10,COLUMN(J$9)+10)&amp;":"&amp;ADDRESS(1000,COLUMN(J$9)+10))),
SUMIF(INDIRECT(Equipo!$G$4&amp;"!B10:B1000"),$B191,INDIRECT(Equipo!$G$4&amp;"!"&amp;ADDRESS(10,COLUMN(J$9)+10)&amp;":"&amp;ADDRESS(1000,COLUMN(J$9)+10)))
))</f>
        <v>-</v>
      </c>
      <c r="K191" s="19" t="str">
        <f t="array" ref="K191">IF(ISBLANK(Tareas!$B187),"-",
SUM(
SUMIF(INDIRECT(Equipo!$C$4&amp;"!B10:B1000"),$B191,INDIRECT(Equipo!$C$4&amp;"!"&amp;ADDRESS(10,COLUMN(K$9)+10)&amp;":"&amp;ADDRESS(1000,COLUMN(K$9)+10))),
SUMIF(INDIRECT(Equipo!$D$4&amp;"!B10:B1000"),$B191,INDIRECT(Equipo!$D$4&amp;"!"&amp;ADDRESS(10,COLUMN(K$9)+10)&amp;":"&amp;ADDRESS(1000,COLUMN(K$9)+10))),
SUMIF(INDIRECT(Equipo!$E$4&amp;"!B10:B1000"),$B191,INDIRECT(Equipo!$E$4&amp;"!"&amp;ADDRESS(10,COLUMN(K$9)+10)&amp;":"&amp;ADDRESS(1000,COLUMN(K$9)+10))),
SUMIF(INDIRECT(Equipo!$F$4&amp;"!B10:B1000"),$B191,INDIRECT(Equipo!$F$4&amp;"!"&amp;ADDRESS(10,COLUMN(K$9)+10)&amp;":"&amp;ADDRESS(1000,COLUMN(K$9)+10))),
SUMIF(INDIRECT(Equipo!$G$4&amp;"!B10:B1000"),$B191,INDIRECT(Equipo!$G$4&amp;"!"&amp;ADDRESS(10,COLUMN(K$9)+10)&amp;":"&amp;ADDRESS(1000,COLUMN(K$9)+10)))
))</f>
        <v>-</v>
      </c>
    </row>
    <row r="192" ht="15.75" customHeight="1">
      <c r="C192" s="19" t="str">
        <f>IF(ISBLANK(Tareas!$B188),"-",SUM(D192:K192))</f>
        <v>-</v>
      </c>
      <c r="D192" s="19" t="str">
        <f t="array" ref="D192">IF(ISBLANK(Tareas!$B188),"-",
SUM(
SUMIF(INDIRECT(Equipo!$C$4&amp;"!B10:B1000"),$B192,INDIRECT(Equipo!$C$4&amp;"!"&amp;ADDRESS(10,COLUMN(D$9)+10)&amp;":"&amp;ADDRESS(1000,COLUMN(D$9)+10))),
SUMIF(INDIRECT(Equipo!$D$4&amp;"!B10:B1000"),$B192,INDIRECT(Equipo!$D$4&amp;"!"&amp;ADDRESS(10,COLUMN(D$9)+10)&amp;":"&amp;ADDRESS(1000,COLUMN(D$9)+10))),
SUMIF(INDIRECT(Equipo!$E$4&amp;"!B10:B1000"),$B192,INDIRECT(Equipo!$E$4&amp;"!"&amp;ADDRESS(10,COLUMN(D$9)+10)&amp;":"&amp;ADDRESS(1000,COLUMN(D$9)+10))),
SUMIF(INDIRECT(Equipo!$F$4&amp;"!B10:B1000"),$B192,INDIRECT(Equipo!$F$4&amp;"!"&amp;ADDRESS(10,COLUMN(D$9)+10)&amp;":"&amp;ADDRESS(1000,COLUMN(D$9)+10))),
SUMIF(INDIRECT(Equipo!$G$4&amp;"!B10:B1000"),$B192,INDIRECT(Equipo!$G$4&amp;"!"&amp;ADDRESS(10,COLUMN(D$9)+10)&amp;":"&amp;ADDRESS(1000,COLUMN(D$9)+10)))
))</f>
        <v>-</v>
      </c>
      <c r="E192" s="19" t="str">
        <f t="array" ref="E192">IF(ISBLANK(Tareas!$B188),"-",
SUM(
SUMIF(INDIRECT(Equipo!$C$4&amp;"!B10:B1000"),$B192,INDIRECT(Equipo!$C$4&amp;"!"&amp;ADDRESS(10,COLUMN(E$9)+10)&amp;":"&amp;ADDRESS(1000,COLUMN(E$9)+10))),
SUMIF(INDIRECT(Equipo!$D$4&amp;"!B10:B1000"),$B192,INDIRECT(Equipo!$D$4&amp;"!"&amp;ADDRESS(10,COLUMN(E$9)+10)&amp;":"&amp;ADDRESS(1000,COLUMN(E$9)+10))),
SUMIF(INDIRECT(Equipo!$E$4&amp;"!B10:B1000"),$B192,INDIRECT(Equipo!$E$4&amp;"!"&amp;ADDRESS(10,COLUMN(E$9)+10)&amp;":"&amp;ADDRESS(1000,COLUMN(E$9)+10))),
SUMIF(INDIRECT(Equipo!$F$4&amp;"!B10:B1000"),$B192,INDIRECT(Equipo!$F$4&amp;"!"&amp;ADDRESS(10,COLUMN(E$9)+10)&amp;":"&amp;ADDRESS(1000,COLUMN(E$9)+10))),
SUMIF(INDIRECT(Equipo!$G$4&amp;"!B10:B1000"),$B192,INDIRECT(Equipo!$G$4&amp;"!"&amp;ADDRESS(10,COLUMN(E$9)+10)&amp;":"&amp;ADDRESS(1000,COLUMN(E$9)+10)))
))</f>
        <v>-</v>
      </c>
      <c r="F192" s="19" t="str">
        <f t="array" ref="F192">IF(ISBLANK(Tareas!$B188),"-",
SUM(
SUMIF(INDIRECT(Equipo!$C$4&amp;"!B10:B1000"),$B192,INDIRECT(Equipo!$C$4&amp;"!"&amp;ADDRESS(10,COLUMN(F$9)+10)&amp;":"&amp;ADDRESS(1000,COLUMN(F$9)+10))),
SUMIF(INDIRECT(Equipo!$D$4&amp;"!B10:B1000"),$B192,INDIRECT(Equipo!$D$4&amp;"!"&amp;ADDRESS(10,COLUMN(F$9)+10)&amp;":"&amp;ADDRESS(1000,COLUMN(F$9)+10))),
SUMIF(INDIRECT(Equipo!$E$4&amp;"!B10:B1000"),$B192,INDIRECT(Equipo!$E$4&amp;"!"&amp;ADDRESS(10,COLUMN(F$9)+10)&amp;":"&amp;ADDRESS(1000,COLUMN(F$9)+10))),
SUMIF(INDIRECT(Equipo!$F$4&amp;"!B10:B1000"),$B192,INDIRECT(Equipo!$F$4&amp;"!"&amp;ADDRESS(10,COLUMN(F$9)+10)&amp;":"&amp;ADDRESS(1000,COLUMN(F$9)+10))),
SUMIF(INDIRECT(Equipo!$G$4&amp;"!B10:B1000"),$B192,INDIRECT(Equipo!$G$4&amp;"!"&amp;ADDRESS(10,COLUMN(F$9)+10)&amp;":"&amp;ADDRESS(1000,COLUMN(F$9)+10)))
))</f>
        <v>-</v>
      </c>
      <c r="G192" s="19" t="str">
        <f t="array" ref="G192">IF(ISBLANK(Tareas!$B188),"-",
SUM(
SUMIF(INDIRECT(Equipo!$C$4&amp;"!B10:B1000"),$B192,INDIRECT(Equipo!$C$4&amp;"!"&amp;ADDRESS(10,COLUMN(G$9)+10)&amp;":"&amp;ADDRESS(1000,COLUMN(G$9)+10))),
SUMIF(INDIRECT(Equipo!$D$4&amp;"!B10:B1000"),$B192,INDIRECT(Equipo!$D$4&amp;"!"&amp;ADDRESS(10,COLUMN(G$9)+10)&amp;":"&amp;ADDRESS(1000,COLUMN(G$9)+10))),
SUMIF(INDIRECT(Equipo!$E$4&amp;"!B10:B1000"),$B192,INDIRECT(Equipo!$E$4&amp;"!"&amp;ADDRESS(10,COLUMN(G$9)+10)&amp;":"&amp;ADDRESS(1000,COLUMN(G$9)+10))),
SUMIF(INDIRECT(Equipo!$F$4&amp;"!B10:B1000"),$B192,INDIRECT(Equipo!$F$4&amp;"!"&amp;ADDRESS(10,COLUMN(G$9)+10)&amp;":"&amp;ADDRESS(1000,COLUMN(G$9)+10))),
SUMIF(INDIRECT(Equipo!$G$4&amp;"!B10:B1000"),$B192,INDIRECT(Equipo!$G$4&amp;"!"&amp;ADDRESS(10,COLUMN(G$9)+10)&amp;":"&amp;ADDRESS(1000,COLUMN(G$9)+10)))
))</f>
        <v>-</v>
      </c>
      <c r="H192" s="19" t="str">
        <f t="array" ref="H192">IF(ISBLANK(Tareas!$B188),"-",
SUM(
SUMIF(INDIRECT(Equipo!$C$4&amp;"!B10:B1000"),$B192,INDIRECT(Equipo!$C$4&amp;"!"&amp;ADDRESS(10,COLUMN(H$9)+10)&amp;":"&amp;ADDRESS(1000,COLUMN(H$9)+10))),
SUMIF(INDIRECT(Equipo!$D$4&amp;"!B10:B1000"),$B192,INDIRECT(Equipo!$D$4&amp;"!"&amp;ADDRESS(10,COLUMN(H$9)+10)&amp;":"&amp;ADDRESS(1000,COLUMN(H$9)+10))),
SUMIF(INDIRECT(Equipo!$E$4&amp;"!B10:B1000"),$B192,INDIRECT(Equipo!$E$4&amp;"!"&amp;ADDRESS(10,COLUMN(H$9)+10)&amp;":"&amp;ADDRESS(1000,COLUMN(H$9)+10))),
SUMIF(INDIRECT(Equipo!$F$4&amp;"!B10:B1000"),$B192,INDIRECT(Equipo!$F$4&amp;"!"&amp;ADDRESS(10,COLUMN(H$9)+10)&amp;":"&amp;ADDRESS(1000,COLUMN(H$9)+10))),
SUMIF(INDIRECT(Equipo!$G$4&amp;"!B10:B1000"),$B192,INDIRECT(Equipo!$G$4&amp;"!"&amp;ADDRESS(10,COLUMN(H$9)+10)&amp;":"&amp;ADDRESS(1000,COLUMN(H$9)+10)))
))</f>
        <v>-</v>
      </c>
      <c r="I192" s="19" t="str">
        <f t="array" ref="I192">IF(ISBLANK(Tareas!$B188),"-",
SUM(
SUMIF(INDIRECT(Equipo!$C$4&amp;"!B10:B1000"),$B192,INDIRECT(Equipo!$C$4&amp;"!"&amp;ADDRESS(10,COLUMN(I$9)+10)&amp;":"&amp;ADDRESS(1000,COLUMN(I$9)+10))),
SUMIF(INDIRECT(Equipo!$D$4&amp;"!B10:B1000"),$B192,INDIRECT(Equipo!$D$4&amp;"!"&amp;ADDRESS(10,COLUMN(I$9)+10)&amp;":"&amp;ADDRESS(1000,COLUMN(I$9)+10))),
SUMIF(INDIRECT(Equipo!$E$4&amp;"!B10:B1000"),$B192,INDIRECT(Equipo!$E$4&amp;"!"&amp;ADDRESS(10,COLUMN(I$9)+10)&amp;":"&amp;ADDRESS(1000,COLUMN(I$9)+10))),
SUMIF(INDIRECT(Equipo!$F$4&amp;"!B10:B1000"),$B192,INDIRECT(Equipo!$F$4&amp;"!"&amp;ADDRESS(10,COLUMN(I$9)+10)&amp;":"&amp;ADDRESS(1000,COLUMN(I$9)+10))),
SUMIF(INDIRECT(Equipo!$G$4&amp;"!B10:B1000"),$B192,INDIRECT(Equipo!$G$4&amp;"!"&amp;ADDRESS(10,COLUMN(I$9)+10)&amp;":"&amp;ADDRESS(1000,COLUMN(I$9)+10)))
))</f>
        <v>-</v>
      </c>
      <c r="J192" s="19" t="str">
        <f t="array" ref="J192">IF(ISBLANK(Tareas!$B188),"-",
SUM(
SUMIF(INDIRECT(Equipo!$C$4&amp;"!B10:B1000"),$B192,INDIRECT(Equipo!$C$4&amp;"!"&amp;ADDRESS(10,COLUMN(J$9)+10)&amp;":"&amp;ADDRESS(1000,COLUMN(J$9)+10))),
SUMIF(INDIRECT(Equipo!$D$4&amp;"!B10:B1000"),$B192,INDIRECT(Equipo!$D$4&amp;"!"&amp;ADDRESS(10,COLUMN(J$9)+10)&amp;":"&amp;ADDRESS(1000,COLUMN(J$9)+10))),
SUMIF(INDIRECT(Equipo!$E$4&amp;"!B10:B1000"),$B192,INDIRECT(Equipo!$E$4&amp;"!"&amp;ADDRESS(10,COLUMN(J$9)+10)&amp;":"&amp;ADDRESS(1000,COLUMN(J$9)+10))),
SUMIF(INDIRECT(Equipo!$F$4&amp;"!B10:B1000"),$B192,INDIRECT(Equipo!$F$4&amp;"!"&amp;ADDRESS(10,COLUMN(J$9)+10)&amp;":"&amp;ADDRESS(1000,COLUMN(J$9)+10))),
SUMIF(INDIRECT(Equipo!$G$4&amp;"!B10:B1000"),$B192,INDIRECT(Equipo!$G$4&amp;"!"&amp;ADDRESS(10,COLUMN(J$9)+10)&amp;":"&amp;ADDRESS(1000,COLUMN(J$9)+10)))
))</f>
        <v>-</v>
      </c>
      <c r="K192" s="19" t="str">
        <f t="array" ref="K192">IF(ISBLANK(Tareas!$B188),"-",
SUM(
SUMIF(INDIRECT(Equipo!$C$4&amp;"!B10:B1000"),$B192,INDIRECT(Equipo!$C$4&amp;"!"&amp;ADDRESS(10,COLUMN(K$9)+10)&amp;":"&amp;ADDRESS(1000,COLUMN(K$9)+10))),
SUMIF(INDIRECT(Equipo!$D$4&amp;"!B10:B1000"),$B192,INDIRECT(Equipo!$D$4&amp;"!"&amp;ADDRESS(10,COLUMN(K$9)+10)&amp;":"&amp;ADDRESS(1000,COLUMN(K$9)+10))),
SUMIF(INDIRECT(Equipo!$E$4&amp;"!B10:B1000"),$B192,INDIRECT(Equipo!$E$4&amp;"!"&amp;ADDRESS(10,COLUMN(K$9)+10)&amp;":"&amp;ADDRESS(1000,COLUMN(K$9)+10))),
SUMIF(INDIRECT(Equipo!$F$4&amp;"!B10:B1000"),$B192,INDIRECT(Equipo!$F$4&amp;"!"&amp;ADDRESS(10,COLUMN(K$9)+10)&amp;":"&amp;ADDRESS(1000,COLUMN(K$9)+10))),
SUMIF(INDIRECT(Equipo!$G$4&amp;"!B10:B1000"),$B192,INDIRECT(Equipo!$G$4&amp;"!"&amp;ADDRESS(10,COLUMN(K$9)+10)&amp;":"&amp;ADDRESS(1000,COLUMN(K$9)+10)))
))</f>
        <v>-</v>
      </c>
    </row>
    <row r="193" ht="15.75" customHeight="1">
      <c r="C193" s="19" t="str">
        <f>IF(ISBLANK(Tareas!$B189),"-",SUM(D193:K193))</f>
        <v>-</v>
      </c>
      <c r="D193" s="19" t="str">
        <f t="array" ref="D193">IF(ISBLANK(Tareas!$B189),"-",
SUM(
SUMIF(INDIRECT(Equipo!$C$4&amp;"!B10:B1000"),$B193,INDIRECT(Equipo!$C$4&amp;"!"&amp;ADDRESS(10,COLUMN(D$9)+10)&amp;":"&amp;ADDRESS(1000,COLUMN(D$9)+10))),
SUMIF(INDIRECT(Equipo!$D$4&amp;"!B10:B1000"),$B193,INDIRECT(Equipo!$D$4&amp;"!"&amp;ADDRESS(10,COLUMN(D$9)+10)&amp;":"&amp;ADDRESS(1000,COLUMN(D$9)+10))),
SUMIF(INDIRECT(Equipo!$E$4&amp;"!B10:B1000"),$B193,INDIRECT(Equipo!$E$4&amp;"!"&amp;ADDRESS(10,COLUMN(D$9)+10)&amp;":"&amp;ADDRESS(1000,COLUMN(D$9)+10))),
SUMIF(INDIRECT(Equipo!$F$4&amp;"!B10:B1000"),$B193,INDIRECT(Equipo!$F$4&amp;"!"&amp;ADDRESS(10,COLUMN(D$9)+10)&amp;":"&amp;ADDRESS(1000,COLUMN(D$9)+10))),
SUMIF(INDIRECT(Equipo!$G$4&amp;"!B10:B1000"),$B193,INDIRECT(Equipo!$G$4&amp;"!"&amp;ADDRESS(10,COLUMN(D$9)+10)&amp;":"&amp;ADDRESS(1000,COLUMN(D$9)+10)))
))</f>
        <v>-</v>
      </c>
      <c r="E193" s="19" t="str">
        <f t="array" ref="E193">IF(ISBLANK(Tareas!$B189),"-",
SUM(
SUMIF(INDIRECT(Equipo!$C$4&amp;"!B10:B1000"),$B193,INDIRECT(Equipo!$C$4&amp;"!"&amp;ADDRESS(10,COLUMN(E$9)+10)&amp;":"&amp;ADDRESS(1000,COLUMN(E$9)+10))),
SUMIF(INDIRECT(Equipo!$D$4&amp;"!B10:B1000"),$B193,INDIRECT(Equipo!$D$4&amp;"!"&amp;ADDRESS(10,COLUMN(E$9)+10)&amp;":"&amp;ADDRESS(1000,COLUMN(E$9)+10))),
SUMIF(INDIRECT(Equipo!$E$4&amp;"!B10:B1000"),$B193,INDIRECT(Equipo!$E$4&amp;"!"&amp;ADDRESS(10,COLUMN(E$9)+10)&amp;":"&amp;ADDRESS(1000,COLUMN(E$9)+10))),
SUMIF(INDIRECT(Equipo!$F$4&amp;"!B10:B1000"),$B193,INDIRECT(Equipo!$F$4&amp;"!"&amp;ADDRESS(10,COLUMN(E$9)+10)&amp;":"&amp;ADDRESS(1000,COLUMN(E$9)+10))),
SUMIF(INDIRECT(Equipo!$G$4&amp;"!B10:B1000"),$B193,INDIRECT(Equipo!$G$4&amp;"!"&amp;ADDRESS(10,COLUMN(E$9)+10)&amp;":"&amp;ADDRESS(1000,COLUMN(E$9)+10)))
))</f>
        <v>-</v>
      </c>
      <c r="F193" s="19" t="str">
        <f t="array" ref="F193">IF(ISBLANK(Tareas!$B189),"-",
SUM(
SUMIF(INDIRECT(Equipo!$C$4&amp;"!B10:B1000"),$B193,INDIRECT(Equipo!$C$4&amp;"!"&amp;ADDRESS(10,COLUMN(F$9)+10)&amp;":"&amp;ADDRESS(1000,COLUMN(F$9)+10))),
SUMIF(INDIRECT(Equipo!$D$4&amp;"!B10:B1000"),$B193,INDIRECT(Equipo!$D$4&amp;"!"&amp;ADDRESS(10,COLUMN(F$9)+10)&amp;":"&amp;ADDRESS(1000,COLUMN(F$9)+10))),
SUMIF(INDIRECT(Equipo!$E$4&amp;"!B10:B1000"),$B193,INDIRECT(Equipo!$E$4&amp;"!"&amp;ADDRESS(10,COLUMN(F$9)+10)&amp;":"&amp;ADDRESS(1000,COLUMN(F$9)+10))),
SUMIF(INDIRECT(Equipo!$F$4&amp;"!B10:B1000"),$B193,INDIRECT(Equipo!$F$4&amp;"!"&amp;ADDRESS(10,COLUMN(F$9)+10)&amp;":"&amp;ADDRESS(1000,COLUMN(F$9)+10))),
SUMIF(INDIRECT(Equipo!$G$4&amp;"!B10:B1000"),$B193,INDIRECT(Equipo!$G$4&amp;"!"&amp;ADDRESS(10,COLUMN(F$9)+10)&amp;":"&amp;ADDRESS(1000,COLUMN(F$9)+10)))
))</f>
        <v>-</v>
      </c>
      <c r="G193" s="19" t="str">
        <f t="array" ref="G193">IF(ISBLANK(Tareas!$B189),"-",
SUM(
SUMIF(INDIRECT(Equipo!$C$4&amp;"!B10:B1000"),$B193,INDIRECT(Equipo!$C$4&amp;"!"&amp;ADDRESS(10,COLUMN(G$9)+10)&amp;":"&amp;ADDRESS(1000,COLUMN(G$9)+10))),
SUMIF(INDIRECT(Equipo!$D$4&amp;"!B10:B1000"),$B193,INDIRECT(Equipo!$D$4&amp;"!"&amp;ADDRESS(10,COLUMN(G$9)+10)&amp;":"&amp;ADDRESS(1000,COLUMN(G$9)+10))),
SUMIF(INDIRECT(Equipo!$E$4&amp;"!B10:B1000"),$B193,INDIRECT(Equipo!$E$4&amp;"!"&amp;ADDRESS(10,COLUMN(G$9)+10)&amp;":"&amp;ADDRESS(1000,COLUMN(G$9)+10))),
SUMIF(INDIRECT(Equipo!$F$4&amp;"!B10:B1000"),$B193,INDIRECT(Equipo!$F$4&amp;"!"&amp;ADDRESS(10,COLUMN(G$9)+10)&amp;":"&amp;ADDRESS(1000,COLUMN(G$9)+10))),
SUMIF(INDIRECT(Equipo!$G$4&amp;"!B10:B1000"),$B193,INDIRECT(Equipo!$G$4&amp;"!"&amp;ADDRESS(10,COLUMN(G$9)+10)&amp;":"&amp;ADDRESS(1000,COLUMN(G$9)+10)))
))</f>
        <v>-</v>
      </c>
      <c r="H193" s="19" t="str">
        <f t="array" ref="H193">IF(ISBLANK(Tareas!$B189),"-",
SUM(
SUMIF(INDIRECT(Equipo!$C$4&amp;"!B10:B1000"),$B193,INDIRECT(Equipo!$C$4&amp;"!"&amp;ADDRESS(10,COLUMN(H$9)+10)&amp;":"&amp;ADDRESS(1000,COLUMN(H$9)+10))),
SUMIF(INDIRECT(Equipo!$D$4&amp;"!B10:B1000"),$B193,INDIRECT(Equipo!$D$4&amp;"!"&amp;ADDRESS(10,COLUMN(H$9)+10)&amp;":"&amp;ADDRESS(1000,COLUMN(H$9)+10))),
SUMIF(INDIRECT(Equipo!$E$4&amp;"!B10:B1000"),$B193,INDIRECT(Equipo!$E$4&amp;"!"&amp;ADDRESS(10,COLUMN(H$9)+10)&amp;":"&amp;ADDRESS(1000,COLUMN(H$9)+10))),
SUMIF(INDIRECT(Equipo!$F$4&amp;"!B10:B1000"),$B193,INDIRECT(Equipo!$F$4&amp;"!"&amp;ADDRESS(10,COLUMN(H$9)+10)&amp;":"&amp;ADDRESS(1000,COLUMN(H$9)+10))),
SUMIF(INDIRECT(Equipo!$G$4&amp;"!B10:B1000"),$B193,INDIRECT(Equipo!$G$4&amp;"!"&amp;ADDRESS(10,COLUMN(H$9)+10)&amp;":"&amp;ADDRESS(1000,COLUMN(H$9)+10)))
))</f>
        <v>-</v>
      </c>
      <c r="I193" s="19" t="str">
        <f t="array" ref="I193">IF(ISBLANK(Tareas!$B189),"-",
SUM(
SUMIF(INDIRECT(Equipo!$C$4&amp;"!B10:B1000"),$B193,INDIRECT(Equipo!$C$4&amp;"!"&amp;ADDRESS(10,COLUMN(I$9)+10)&amp;":"&amp;ADDRESS(1000,COLUMN(I$9)+10))),
SUMIF(INDIRECT(Equipo!$D$4&amp;"!B10:B1000"),$B193,INDIRECT(Equipo!$D$4&amp;"!"&amp;ADDRESS(10,COLUMN(I$9)+10)&amp;":"&amp;ADDRESS(1000,COLUMN(I$9)+10))),
SUMIF(INDIRECT(Equipo!$E$4&amp;"!B10:B1000"),$B193,INDIRECT(Equipo!$E$4&amp;"!"&amp;ADDRESS(10,COLUMN(I$9)+10)&amp;":"&amp;ADDRESS(1000,COLUMN(I$9)+10))),
SUMIF(INDIRECT(Equipo!$F$4&amp;"!B10:B1000"),$B193,INDIRECT(Equipo!$F$4&amp;"!"&amp;ADDRESS(10,COLUMN(I$9)+10)&amp;":"&amp;ADDRESS(1000,COLUMN(I$9)+10))),
SUMIF(INDIRECT(Equipo!$G$4&amp;"!B10:B1000"),$B193,INDIRECT(Equipo!$G$4&amp;"!"&amp;ADDRESS(10,COLUMN(I$9)+10)&amp;":"&amp;ADDRESS(1000,COLUMN(I$9)+10)))
))</f>
        <v>-</v>
      </c>
      <c r="J193" s="19" t="str">
        <f t="array" ref="J193">IF(ISBLANK(Tareas!$B189),"-",
SUM(
SUMIF(INDIRECT(Equipo!$C$4&amp;"!B10:B1000"),$B193,INDIRECT(Equipo!$C$4&amp;"!"&amp;ADDRESS(10,COLUMN(J$9)+10)&amp;":"&amp;ADDRESS(1000,COLUMN(J$9)+10))),
SUMIF(INDIRECT(Equipo!$D$4&amp;"!B10:B1000"),$B193,INDIRECT(Equipo!$D$4&amp;"!"&amp;ADDRESS(10,COLUMN(J$9)+10)&amp;":"&amp;ADDRESS(1000,COLUMN(J$9)+10))),
SUMIF(INDIRECT(Equipo!$E$4&amp;"!B10:B1000"),$B193,INDIRECT(Equipo!$E$4&amp;"!"&amp;ADDRESS(10,COLUMN(J$9)+10)&amp;":"&amp;ADDRESS(1000,COLUMN(J$9)+10))),
SUMIF(INDIRECT(Equipo!$F$4&amp;"!B10:B1000"),$B193,INDIRECT(Equipo!$F$4&amp;"!"&amp;ADDRESS(10,COLUMN(J$9)+10)&amp;":"&amp;ADDRESS(1000,COLUMN(J$9)+10))),
SUMIF(INDIRECT(Equipo!$G$4&amp;"!B10:B1000"),$B193,INDIRECT(Equipo!$G$4&amp;"!"&amp;ADDRESS(10,COLUMN(J$9)+10)&amp;":"&amp;ADDRESS(1000,COLUMN(J$9)+10)))
))</f>
        <v>-</v>
      </c>
      <c r="K193" s="19" t="str">
        <f t="array" ref="K193">IF(ISBLANK(Tareas!$B189),"-",
SUM(
SUMIF(INDIRECT(Equipo!$C$4&amp;"!B10:B1000"),$B193,INDIRECT(Equipo!$C$4&amp;"!"&amp;ADDRESS(10,COLUMN(K$9)+10)&amp;":"&amp;ADDRESS(1000,COLUMN(K$9)+10))),
SUMIF(INDIRECT(Equipo!$D$4&amp;"!B10:B1000"),$B193,INDIRECT(Equipo!$D$4&amp;"!"&amp;ADDRESS(10,COLUMN(K$9)+10)&amp;":"&amp;ADDRESS(1000,COLUMN(K$9)+10))),
SUMIF(INDIRECT(Equipo!$E$4&amp;"!B10:B1000"),$B193,INDIRECT(Equipo!$E$4&amp;"!"&amp;ADDRESS(10,COLUMN(K$9)+10)&amp;":"&amp;ADDRESS(1000,COLUMN(K$9)+10))),
SUMIF(INDIRECT(Equipo!$F$4&amp;"!B10:B1000"),$B193,INDIRECT(Equipo!$F$4&amp;"!"&amp;ADDRESS(10,COLUMN(K$9)+10)&amp;":"&amp;ADDRESS(1000,COLUMN(K$9)+10))),
SUMIF(INDIRECT(Equipo!$G$4&amp;"!B10:B1000"),$B193,INDIRECT(Equipo!$G$4&amp;"!"&amp;ADDRESS(10,COLUMN(K$9)+10)&amp;":"&amp;ADDRESS(1000,COLUMN(K$9)+10)))
))</f>
        <v>-</v>
      </c>
    </row>
    <row r="194" ht="15.75" customHeight="1">
      <c r="C194" s="19" t="str">
        <f>IF(ISBLANK(Tareas!$B190),"-",SUM(D194:K194))</f>
        <v>-</v>
      </c>
      <c r="D194" s="19" t="str">
        <f t="array" ref="D194">IF(ISBLANK(Tareas!$B190),"-",
SUM(
SUMIF(INDIRECT(Equipo!$C$4&amp;"!B10:B1000"),$B194,INDIRECT(Equipo!$C$4&amp;"!"&amp;ADDRESS(10,COLUMN(D$9)+10)&amp;":"&amp;ADDRESS(1000,COLUMN(D$9)+10))),
SUMIF(INDIRECT(Equipo!$D$4&amp;"!B10:B1000"),$B194,INDIRECT(Equipo!$D$4&amp;"!"&amp;ADDRESS(10,COLUMN(D$9)+10)&amp;":"&amp;ADDRESS(1000,COLUMN(D$9)+10))),
SUMIF(INDIRECT(Equipo!$E$4&amp;"!B10:B1000"),$B194,INDIRECT(Equipo!$E$4&amp;"!"&amp;ADDRESS(10,COLUMN(D$9)+10)&amp;":"&amp;ADDRESS(1000,COLUMN(D$9)+10))),
SUMIF(INDIRECT(Equipo!$F$4&amp;"!B10:B1000"),$B194,INDIRECT(Equipo!$F$4&amp;"!"&amp;ADDRESS(10,COLUMN(D$9)+10)&amp;":"&amp;ADDRESS(1000,COLUMN(D$9)+10))),
SUMIF(INDIRECT(Equipo!$G$4&amp;"!B10:B1000"),$B194,INDIRECT(Equipo!$G$4&amp;"!"&amp;ADDRESS(10,COLUMN(D$9)+10)&amp;":"&amp;ADDRESS(1000,COLUMN(D$9)+10)))
))</f>
        <v>-</v>
      </c>
      <c r="E194" s="19" t="str">
        <f t="array" ref="E194">IF(ISBLANK(Tareas!$B190),"-",
SUM(
SUMIF(INDIRECT(Equipo!$C$4&amp;"!B10:B1000"),$B194,INDIRECT(Equipo!$C$4&amp;"!"&amp;ADDRESS(10,COLUMN(E$9)+10)&amp;":"&amp;ADDRESS(1000,COLUMN(E$9)+10))),
SUMIF(INDIRECT(Equipo!$D$4&amp;"!B10:B1000"),$B194,INDIRECT(Equipo!$D$4&amp;"!"&amp;ADDRESS(10,COLUMN(E$9)+10)&amp;":"&amp;ADDRESS(1000,COLUMN(E$9)+10))),
SUMIF(INDIRECT(Equipo!$E$4&amp;"!B10:B1000"),$B194,INDIRECT(Equipo!$E$4&amp;"!"&amp;ADDRESS(10,COLUMN(E$9)+10)&amp;":"&amp;ADDRESS(1000,COLUMN(E$9)+10))),
SUMIF(INDIRECT(Equipo!$F$4&amp;"!B10:B1000"),$B194,INDIRECT(Equipo!$F$4&amp;"!"&amp;ADDRESS(10,COLUMN(E$9)+10)&amp;":"&amp;ADDRESS(1000,COLUMN(E$9)+10))),
SUMIF(INDIRECT(Equipo!$G$4&amp;"!B10:B1000"),$B194,INDIRECT(Equipo!$G$4&amp;"!"&amp;ADDRESS(10,COLUMN(E$9)+10)&amp;":"&amp;ADDRESS(1000,COLUMN(E$9)+10)))
))</f>
        <v>-</v>
      </c>
      <c r="F194" s="19" t="str">
        <f t="array" ref="F194">IF(ISBLANK(Tareas!$B190),"-",
SUM(
SUMIF(INDIRECT(Equipo!$C$4&amp;"!B10:B1000"),$B194,INDIRECT(Equipo!$C$4&amp;"!"&amp;ADDRESS(10,COLUMN(F$9)+10)&amp;":"&amp;ADDRESS(1000,COLUMN(F$9)+10))),
SUMIF(INDIRECT(Equipo!$D$4&amp;"!B10:B1000"),$B194,INDIRECT(Equipo!$D$4&amp;"!"&amp;ADDRESS(10,COLUMN(F$9)+10)&amp;":"&amp;ADDRESS(1000,COLUMN(F$9)+10))),
SUMIF(INDIRECT(Equipo!$E$4&amp;"!B10:B1000"),$B194,INDIRECT(Equipo!$E$4&amp;"!"&amp;ADDRESS(10,COLUMN(F$9)+10)&amp;":"&amp;ADDRESS(1000,COLUMN(F$9)+10))),
SUMIF(INDIRECT(Equipo!$F$4&amp;"!B10:B1000"),$B194,INDIRECT(Equipo!$F$4&amp;"!"&amp;ADDRESS(10,COLUMN(F$9)+10)&amp;":"&amp;ADDRESS(1000,COLUMN(F$9)+10))),
SUMIF(INDIRECT(Equipo!$G$4&amp;"!B10:B1000"),$B194,INDIRECT(Equipo!$G$4&amp;"!"&amp;ADDRESS(10,COLUMN(F$9)+10)&amp;":"&amp;ADDRESS(1000,COLUMN(F$9)+10)))
))</f>
        <v>-</v>
      </c>
      <c r="G194" s="19" t="str">
        <f t="array" ref="G194">IF(ISBLANK(Tareas!$B190),"-",
SUM(
SUMIF(INDIRECT(Equipo!$C$4&amp;"!B10:B1000"),$B194,INDIRECT(Equipo!$C$4&amp;"!"&amp;ADDRESS(10,COLUMN(G$9)+10)&amp;":"&amp;ADDRESS(1000,COLUMN(G$9)+10))),
SUMIF(INDIRECT(Equipo!$D$4&amp;"!B10:B1000"),$B194,INDIRECT(Equipo!$D$4&amp;"!"&amp;ADDRESS(10,COLUMN(G$9)+10)&amp;":"&amp;ADDRESS(1000,COLUMN(G$9)+10))),
SUMIF(INDIRECT(Equipo!$E$4&amp;"!B10:B1000"),$B194,INDIRECT(Equipo!$E$4&amp;"!"&amp;ADDRESS(10,COLUMN(G$9)+10)&amp;":"&amp;ADDRESS(1000,COLUMN(G$9)+10))),
SUMIF(INDIRECT(Equipo!$F$4&amp;"!B10:B1000"),$B194,INDIRECT(Equipo!$F$4&amp;"!"&amp;ADDRESS(10,COLUMN(G$9)+10)&amp;":"&amp;ADDRESS(1000,COLUMN(G$9)+10))),
SUMIF(INDIRECT(Equipo!$G$4&amp;"!B10:B1000"),$B194,INDIRECT(Equipo!$G$4&amp;"!"&amp;ADDRESS(10,COLUMN(G$9)+10)&amp;":"&amp;ADDRESS(1000,COLUMN(G$9)+10)))
))</f>
        <v>-</v>
      </c>
      <c r="H194" s="19" t="str">
        <f t="array" ref="H194">IF(ISBLANK(Tareas!$B190),"-",
SUM(
SUMIF(INDIRECT(Equipo!$C$4&amp;"!B10:B1000"),$B194,INDIRECT(Equipo!$C$4&amp;"!"&amp;ADDRESS(10,COLUMN(H$9)+10)&amp;":"&amp;ADDRESS(1000,COLUMN(H$9)+10))),
SUMIF(INDIRECT(Equipo!$D$4&amp;"!B10:B1000"),$B194,INDIRECT(Equipo!$D$4&amp;"!"&amp;ADDRESS(10,COLUMN(H$9)+10)&amp;":"&amp;ADDRESS(1000,COLUMN(H$9)+10))),
SUMIF(INDIRECT(Equipo!$E$4&amp;"!B10:B1000"),$B194,INDIRECT(Equipo!$E$4&amp;"!"&amp;ADDRESS(10,COLUMN(H$9)+10)&amp;":"&amp;ADDRESS(1000,COLUMN(H$9)+10))),
SUMIF(INDIRECT(Equipo!$F$4&amp;"!B10:B1000"),$B194,INDIRECT(Equipo!$F$4&amp;"!"&amp;ADDRESS(10,COLUMN(H$9)+10)&amp;":"&amp;ADDRESS(1000,COLUMN(H$9)+10))),
SUMIF(INDIRECT(Equipo!$G$4&amp;"!B10:B1000"),$B194,INDIRECT(Equipo!$G$4&amp;"!"&amp;ADDRESS(10,COLUMN(H$9)+10)&amp;":"&amp;ADDRESS(1000,COLUMN(H$9)+10)))
))</f>
        <v>-</v>
      </c>
      <c r="I194" s="19" t="str">
        <f t="array" ref="I194">IF(ISBLANK(Tareas!$B190),"-",
SUM(
SUMIF(INDIRECT(Equipo!$C$4&amp;"!B10:B1000"),$B194,INDIRECT(Equipo!$C$4&amp;"!"&amp;ADDRESS(10,COLUMN(I$9)+10)&amp;":"&amp;ADDRESS(1000,COLUMN(I$9)+10))),
SUMIF(INDIRECT(Equipo!$D$4&amp;"!B10:B1000"),$B194,INDIRECT(Equipo!$D$4&amp;"!"&amp;ADDRESS(10,COLUMN(I$9)+10)&amp;":"&amp;ADDRESS(1000,COLUMN(I$9)+10))),
SUMIF(INDIRECT(Equipo!$E$4&amp;"!B10:B1000"),$B194,INDIRECT(Equipo!$E$4&amp;"!"&amp;ADDRESS(10,COLUMN(I$9)+10)&amp;":"&amp;ADDRESS(1000,COLUMN(I$9)+10))),
SUMIF(INDIRECT(Equipo!$F$4&amp;"!B10:B1000"),$B194,INDIRECT(Equipo!$F$4&amp;"!"&amp;ADDRESS(10,COLUMN(I$9)+10)&amp;":"&amp;ADDRESS(1000,COLUMN(I$9)+10))),
SUMIF(INDIRECT(Equipo!$G$4&amp;"!B10:B1000"),$B194,INDIRECT(Equipo!$G$4&amp;"!"&amp;ADDRESS(10,COLUMN(I$9)+10)&amp;":"&amp;ADDRESS(1000,COLUMN(I$9)+10)))
))</f>
        <v>-</v>
      </c>
      <c r="J194" s="19" t="str">
        <f t="array" ref="J194">IF(ISBLANK(Tareas!$B190),"-",
SUM(
SUMIF(INDIRECT(Equipo!$C$4&amp;"!B10:B1000"),$B194,INDIRECT(Equipo!$C$4&amp;"!"&amp;ADDRESS(10,COLUMN(J$9)+10)&amp;":"&amp;ADDRESS(1000,COLUMN(J$9)+10))),
SUMIF(INDIRECT(Equipo!$D$4&amp;"!B10:B1000"),$B194,INDIRECT(Equipo!$D$4&amp;"!"&amp;ADDRESS(10,COLUMN(J$9)+10)&amp;":"&amp;ADDRESS(1000,COLUMN(J$9)+10))),
SUMIF(INDIRECT(Equipo!$E$4&amp;"!B10:B1000"),$B194,INDIRECT(Equipo!$E$4&amp;"!"&amp;ADDRESS(10,COLUMN(J$9)+10)&amp;":"&amp;ADDRESS(1000,COLUMN(J$9)+10))),
SUMIF(INDIRECT(Equipo!$F$4&amp;"!B10:B1000"),$B194,INDIRECT(Equipo!$F$4&amp;"!"&amp;ADDRESS(10,COLUMN(J$9)+10)&amp;":"&amp;ADDRESS(1000,COLUMN(J$9)+10))),
SUMIF(INDIRECT(Equipo!$G$4&amp;"!B10:B1000"),$B194,INDIRECT(Equipo!$G$4&amp;"!"&amp;ADDRESS(10,COLUMN(J$9)+10)&amp;":"&amp;ADDRESS(1000,COLUMN(J$9)+10)))
))</f>
        <v>-</v>
      </c>
      <c r="K194" s="19" t="str">
        <f t="array" ref="K194">IF(ISBLANK(Tareas!$B190),"-",
SUM(
SUMIF(INDIRECT(Equipo!$C$4&amp;"!B10:B1000"),$B194,INDIRECT(Equipo!$C$4&amp;"!"&amp;ADDRESS(10,COLUMN(K$9)+10)&amp;":"&amp;ADDRESS(1000,COLUMN(K$9)+10))),
SUMIF(INDIRECT(Equipo!$D$4&amp;"!B10:B1000"),$B194,INDIRECT(Equipo!$D$4&amp;"!"&amp;ADDRESS(10,COLUMN(K$9)+10)&amp;":"&amp;ADDRESS(1000,COLUMN(K$9)+10))),
SUMIF(INDIRECT(Equipo!$E$4&amp;"!B10:B1000"),$B194,INDIRECT(Equipo!$E$4&amp;"!"&amp;ADDRESS(10,COLUMN(K$9)+10)&amp;":"&amp;ADDRESS(1000,COLUMN(K$9)+10))),
SUMIF(INDIRECT(Equipo!$F$4&amp;"!B10:B1000"),$B194,INDIRECT(Equipo!$F$4&amp;"!"&amp;ADDRESS(10,COLUMN(K$9)+10)&amp;":"&amp;ADDRESS(1000,COLUMN(K$9)+10))),
SUMIF(INDIRECT(Equipo!$G$4&amp;"!B10:B1000"),$B194,INDIRECT(Equipo!$G$4&amp;"!"&amp;ADDRESS(10,COLUMN(K$9)+10)&amp;":"&amp;ADDRESS(1000,COLUMN(K$9)+10)))
))</f>
        <v>-</v>
      </c>
    </row>
    <row r="195" ht="15.75" customHeight="1">
      <c r="C195" s="19" t="str">
        <f>IF(ISBLANK(Tareas!$B191),"-",SUM(D195:K195))</f>
        <v>-</v>
      </c>
      <c r="D195" s="19" t="str">
        <f t="array" ref="D195">IF(ISBLANK(Tareas!$B191),"-",
SUM(
SUMIF(INDIRECT(Equipo!$C$4&amp;"!B10:B1000"),$B195,INDIRECT(Equipo!$C$4&amp;"!"&amp;ADDRESS(10,COLUMN(D$9)+10)&amp;":"&amp;ADDRESS(1000,COLUMN(D$9)+10))),
SUMIF(INDIRECT(Equipo!$D$4&amp;"!B10:B1000"),$B195,INDIRECT(Equipo!$D$4&amp;"!"&amp;ADDRESS(10,COLUMN(D$9)+10)&amp;":"&amp;ADDRESS(1000,COLUMN(D$9)+10))),
SUMIF(INDIRECT(Equipo!$E$4&amp;"!B10:B1000"),$B195,INDIRECT(Equipo!$E$4&amp;"!"&amp;ADDRESS(10,COLUMN(D$9)+10)&amp;":"&amp;ADDRESS(1000,COLUMN(D$9)+10))),
SUMIF(INDIRECT(Equipo!$F$4&amp;"!B10:B1000"),$B195,INDIRECT(Equipo!$F$4&amp;"!"&amp;ADDRESS(10,COLUMN(D$9)+10)&amp;":"&amp;ADDRESS(1000,COLUMN(D$9)+10))),
SUMIF(INDIRECT(Equipo!$G$4&amp;"!B10:B1000"),$B195,INDIRECT(Equipo!$G$4&amp;"!"&amp;ADDRESS(10,COLUMN(D$9)+10)&amp;":"&amp;ADDRESS(1000,COLUMN(D$9)+10)))
))</f>
        <v>-</v>
      </c>
      <c r="E195" s="19" t="str">
        <f t="array" ref="E195">IF(ISBLANK(Tareas!$B191),"-",
SUM(
SUMIF(INDIRECT(Equipo!$C$4&amp;"!B10:B1000"),$B195,INDIRECT(Equipo!$C$4&amp;"!"&amp;ADDRESS(10,COLUMN(E$9)+10)&amp;":"&amp;ADDRESS(1000,COLUMN(E$9)+10))),
SUMIF(INDIRECT(Equipo!$D$4&amp;"!B10:B1000"),$B195,INDIRECT(Equipo!$D$4&amp;"!"&amp;ADDRESS(10,COLUMN(E$9)+10)&amp;":"&amp;ADDRESS(1000,COLUMN(E$9)+10))),
SUMIF(INDIRECT(Equipo!$E$4&amp;"!B10:B1000"),$B195,INDIRECT(Equipo!$E$4&amp;"!"&amp;ADDRESS(10,COLUMN(E$9)+10)&amp;":"&amp;ADDRESS(1000,COLUMN(E$9)+10))),
SUMIF(INDIRECT(Equipo!$F$4&amp;"!B10:B1000"),$B195,INDIRECT(Equipo!$F$4&amp;"!"&amp;ADDRESS(10,COLUMN(E$9)+10)&amp;":"&amp;ADDRESS(1000,COLUMN(E$9)+10))),
SUMIF(INDIRECT(Equipo!$G$4&amp;"!B10:B1000"),$B195,INDIRECT(Equipo!$G$4&amp;"!"&amp;ADDRESS(10,COLUMN(E$9)+10)&amp;":"&amp;ADDRESS(1000,COLUMN(E$9)+10)))
))</f>
        <v>-</v>
      </c>
      <c r="F195" s="19" t="str">
        <f t="array" ref="F195">IF(ISBLANK(Tareas!$B191),"-",
SUM(
SUMIF(INDIRECT(Equipo!$C$4&amp;"!B10:B1000"),$B195,INDIRECT(Equipo!$C$4&amp;"!"&amp;ADDRESS(10,COLUMN(F$9)+10)&amp;":"&amp;ADDRESS(1000,COLUMN(F$9)+10))),
SUMIF(INDIRECT(Equipo!$D$4&amp;"!B10:B1000"),$B195,INDIRECT(Equipo!$D$4&amp;"!"&amp;ADDRESS(10,COLUMN(F$9)+10)&amp;":"&amp;ADDRESS(1000,COLUMN(F$9)+10))),
SUMIF(INDIRECT(Equipo!$E$4&amp;"!B10:B1000"),$B195,INDIRECT(Equipo!$E$4&amp;"!"&amp;ADDRESS(10,COLUMN(F$9)+10)&amp;":"&amp;ADDRESS(1000,COLUMN(F$9)+10))),
SUMIF(INDIRECT(Equipo!$F$4&amp;"!B10:B1000"),$B195,INDIRECT(Equipo!$F$4&amp;"!"&amp;ADDRESS(10,COLUMN(F$9)+10)&amp;":"&amp;ADDRESS(1000,COLUMN(F$9)+10))),
SUMIF(INDIRECT(Equipo!$G$4&amp;"!B10:B1000"),$B195,INDIRECT(Equipo!$G$4&amp;"!"&amp;ADDRESS(10,COLUMN(F$9)+10)&amp;":"&amp;ADDRESS(1000,COLUMN(F$9)+10)))
))</f>
        <v>-</v>
      </c>
      <c r="G195" s="19" t="str">
        <f t="array" ref="G195">IF(ISBLANK(Tareas!$B191),"-",
SUM(
SUMIF(INDIRECT(Equipo!$C$4&amp;"!B10:B1000"),$B195,INDIRECT(Equipo!$C$4&amp;"!"&amp;ADDRESS(10,COLUMN(G$9)+10)&amp;":"&amp;ADDRESS(1000,COLUMN(G$9)+10))),
SUMIF(INDIRECT(Equipo!$D$4&amp;"!B10:B1000"),$B195,INDIRECT(Equipo!$D$4&amp;"!"&amp;ADDRESS(10,COLUMN(G$9)+10)&amp;":"&amp;ADDRESS(1000,COLUMN(G$9)+10))),
SUMIF(INDIRECT(Equipo!$E$4&amp;"!B10:B1000"),$B195,INDIRECT(Equipo!$E$4&amp;"!"&amp;ADDRESS(10,COLUMN(G$9)+10)&amp;":"&amp;ADDRESS(1000,COLUMN(G$9)+10))),
SUMIF(INDIRECT(Equipo!$F$4&amp;"!B10:B1000"),$B195,INDIRECT(Equipo!$F$4&amp;"!"&amp;ADDRESS(10,COLUMN(G$9)+10)&amp;":"&amp;ADDRESS(1000,COLUMN(G$9)+10))),
SUMIF(INDIRECT(Equipo!$G$4&amp;"!B10:B1000"),$B195,INDIRECT(Equipo!$G$4&amp;"!"&amp;ADDRESS(10,COLUMN(G$9)+10)&amp;":"&amp;ADDRESS(1000,COLUMN(G$9)+10)))
))</f>
        <v>-</v>
      </c>
      <c r="H195" s="19" t="str">
        <f t="array" ref="H195">IF(ISBLANK(Tareas!$B191),"-",
SUM(
SUMIF(INDIRECT(Equipo!$C$4&amp;"!B10:B1000"),$B195,INDIRECT(Equipo!$C$4&amp;"!"&amp;ADDRESS(10,COLUMN(H$9)+10)&amp;":"&amp;ADDRESS(1000,COLUMN(H$9)+10))),
SUMIF(INDIRECT(Equipo!$D$4&amp;"!B10:B1000"),$B195,INDIRECT(Equipo!$D$4&amp;"!"&amp;ADDRESS(10,COLUMN(H$9)+10)&amp;":"&amp;ADDRESS(1000,COLUMN(H$9)+10))),
SUMIF(INDIRECT(Equipo!$E$4&amp;"!B10:B1000"),$B195,INDIRECT(Equipo!$E$4&amp;"!"&amp;ADDRESS(10,COLUMN(H$9)+10)&amp;":"&amp;ADDRESS(1000,COLUMN(H$9)+10))),
SUMIF(INDIRECT(Equipo!$F$4&amp;"!B10:B1000"),$B195,INDIRECT(Equipo!$F$4&amp;"!"&amp;ADDRESS(10,COLUMN(H$9)+10)&amp;":"&amp;ADDRESS(1000,COLUMN(H$9)+10))),
SUMIF(INDIRECT(Equipo!$G$4&amp;"!B10:B1000"),$B195,INDIRECT(Equipo!$G$4&amp;"!"&amp;ADDRESS(10,COLUMN(H$9)+10)&amp;":"&amp;ADDRESS(1000,COLUMN(H$9)+10)))
))</f>
        <v>-</v>
      </c>
      <c r="I195" s="19" t="str">
        <f t="array" ref="I195">IF(ISBLANK(Tareas!$B191),"-",
SUM(
SUMIF(INDIRECT(Equipo!$C$4&amp;"!B10:B1000"),$B195,INDIRECT(Equipo!$C$4&amp;"!"&amp;ADDRESS(10,COLUMN(I$9)+10)&amp;":"&amp;ADDRESS(1000,COLUMN(I$9)+10))),
SUMIF(INDIRECT(Equipo!$D$4&amp;"!B10:B1000"),$B195,INDIRECT(Equipo!$D$4&amp;"!"&amp;ADDRESS(10,COLUMN(I$9)+10)&amp;":"&amp;ADDRESS(1000,COLUMN(I$9)+10))),
SUMIF(INDIRECT(Equipo!$E$4&amp;"!B10:B1000"),$B195,INDIRECT(Equipo!$E$4&amp;"!"&amp;ADDRESS(10,COLUMN(I$9)+10)&amp;":"&amp;ADDRESS(1000,COLUMN(I$9)+10))),
SUMIF(INDIRECT(Equipo!$F$4&amp;"!B10:B1000"),$B195,INDIRECT(Equipo!$F$4&amp;"!"&amp;ADDRESS(10,COLUMN(I$9)+10)&amp;":"&amp;ADDRESS(1000,COLUMN(I$9)+10))),
SUMIF(INDIRECT(Equipo!$G$4&amp;"!B10:B1000"),$B195,INDIRECT(Equipo!$G$4&amp;"!"&amp;ADDRESS(10,COLUMN(I$9)+10)&amp;":"&amp;ADDRESS(1000,COLUMN(I$9)+10)))
))</f>
        <v>-</v>
      </c>
      <c r="J195" s="19" t="str">
        <f t="array" ref="J195">IF(ISBLANK(Tareas!$B191),"-",
SUM(
SUMIF(INDIRECT(Equipo!$C$4&amp;"!B10:B1000"),$B195,INDIRECT(Equipo!$C$4&amp;"!"&amp;ADDRESS(10,COLUMN(J$9)+10)&amp;":"&amp;ADDRESS(1000,COLUMN(J$9)+10))),
SUMIF(INDIRECT(Equipo!$D$4&amp;"!B10:B1000"),$B195,INDIRECT(Equipo!$D$4&amp;"!"&amp;ADDRESS(10,COLUMN(J$9)+10)&amp;":"&amp;ADDRESS(1000,COLUMN(J$9)+10))),
SUMIF(INDIRECT(Equipo!$E$4&amp;"!B10:B1000"),$B195,INDIRECT(Equipo!$E$4&amp;"!"&amp;ADDRESS(10,COLUMN(J$9)+10)&amp;":"&amp;ADDRESS(1000,COLUMN(J$9)+10))),
SUMIF(INDIRECT(Equipo!$F$4&amp;"!B10:B1000"),$B195,INDIRECT(Equipo!$F$4&amp;"!"&amp;ADDRESS(10,COLUMN(J$9)+10)&amp;":"&amp;ADDRESS(1000,COLUMN(J$9)+10))),
SUMIF(INDIRECT(Equipo!$G$4&amp;"!B10:B1000"),$B195,INDIRECT(Equipo!$G$4&amp;"!"&amp;ADDRESS(10,COLUMN(J$9)+10)&amp;":"&amp;ADDRESS(1000,COLUMN(J$9)+10)))
))</f>
        <v>-</v>
      </c>
      <c r="K195" s="19" t="str">
        <f t="array" ref="K195">IF(ISBLANK(Tareas!$B191),"-",
SUM(
SUMIF(INDIRECT(Equipo!$C$4&amp;"!B10:B1000"),$B195,INDIRECT(Equipo!$C$4&amp;"!"&amp;ADDRESS(10,COLUMN(K$9)+10)&amp;":"&amp;ADDRESS(1000,COLUMN(K$9)+10))),
SUMIF(INDIRECT(Equipo!$D$4&amp;"!B10:B1000"),$B195,INDIRECT(Equipo!$D$4&amp;"!"&amp;ADDRESS(10,COLUMN(K$9)+10)&amp;":"&amp;ADDRESS(1000,COLUMN(K$9)+10))),
SUMIF(INDIRECT(Equipo!$E$4&amp;"!B10:B1000"),$B195,INDIRECT(Equipo!$E$4&amp;"!"&amp;ADDRESS(10,COLUMN(K$9)+10)&amp;":"&amp;ADDRESS(1000,COLUMN(K$9)+10))),
SUMIF(INDIRECT(Equipo!$F$4&amp;"!B10:B1000"),$B195,INDIRECT(Equipo!$F$4&amp;"!"&amp;ADDRESS(10,COLUMN(K$9)+10)&amp;":"&amp;ADDRESS(1000,COLUMN(K$9)+10))),
SUMIF(INDIRECT(Equipo!$G$4&amp;"!B10:B1000"),$B195,INDIRECT(Equipo!$G$4&amp;"!"&amp;ADDRESS(10,COLUMN(K$9)+10)&amp;":"&amp;ADDRESS(1000,COLUMN(K$9)+10)))
))</f>
        <v>-</v>
      </c>
    </row>
    <row r="196" ht="15.75" customHeight="1">
      <c r="C196" s="19" t="str">
        <f>IF(ISBLANK(Tareas!$B192),"-",SUM(D196:K196))</f>
        <v>-</v>
      </c>
      <c r="D196" s="19" t="str">
        <f t="array" ref="D196">IF(ISBLANK(Tareas!$B192),"-",
SUM(
SUMIF(INDIRECT(Equipo!$C$4&amp;"!B10:B1000"),$B196,INDIRECT(Equipo!$C$4&amp;"!"&amp;ADDRESS(10,COLUMN(D$9)+10)&amp;":"&amp;ADDRESS(1000,COLUMN(D$9)+10))),
SUMIF(INDIRECT(Equipo!$D$4&amp;"!B10:B1000"),$B196,INDIRECT(Equipo!$D$4&amp;"!"&amp;ADDRESS(10,COLUMN(D$9)+10)&amp;":"&amp;ADDRESS(1000,COLUMN(D$9)+10))),
SUMIF(INDIRECT(Equipo!$E$4&amp;"!B10:B1000"),$B196,INDIRECT(Equipo!$E$4&amp;"!"&amp;ADDRESS(10,COLUMN(D$9)+10)&amp;":"&amp;ADDRESS(1000,COLUMN(D$9)+10))),
SUMIF(INDIRECT(Equipo!$F$4&amp;"!B10:B1000"),$B196,INDIRECT(Equipo!$F$4&amp;"!"&amp;ADDRESS(10,COLUMN(D$9)+10)&amp;":"&amp;ADDRESS(1000,COLUMN(D$9)+10))),
SUMIF(INDIRECT(Equipo!$G$4&amp;"!B10:B1000"),$B196,INDIRECT(Equipo!$G$4&amp;"!"&amp;ADDRESS(10,COLUMN(D$9)+10)&amp;":"&amp;ADDRESS(1000,COLUMN(D$9)+10)))
))</f>
        <v>-</v>
      </c>
      <c r="E196" s="19" t="str">
        <f t="array" ref="E196">IF(ISBLANK(Tareas!$B192),"-",
SUM(
SUMIF(INDIRECT(Equipo!$C$4&amp;"!B10:B1000"),$B196,INDIRECT(Equipo!$C$4&amp;"!"&amp;ADDRESS(10,COLUMN(E$9)+10)&amp;":"&amp;ADDRESS(1000,COLUMN(E$9)+10))),
SUMIF(INDIRECT(Equipo!$D$4&amp;"!B10:B1000"),$B196,INDIRECT(Equipo!$D$4&amp;"!"&amp;ADDRESS(10,COLUMN(E$9)+10)&amp;":"&amp;ADDRESS(1000,COLUMN(E$9)+10))),
SUMIF(INDIRECT(Equipo!$E$4&amp;"!B10:B1000"),$B196,INDIRECT(Equipo!$E$4&amp;"!"&amp;ADDRESS(10,COLUMN(E$9)+10)&amp;":"&amp;ADDRESS(1000,COLUMN(E$9)+10))),
SUMIF(INDIRECT(Equipo!$F$4&amp;"!B10:B1000"),$B196,INDIRECT(Equipo!$F$4&amp;"!"&amp;ADDRESS(10,COLUMN(E$9)+10)&amp;":"&amp;ADDRESS(1000,COLUMN(E$9)+10))),
SUMIF(INDIRECT(Equipo!$G$4&amp;"!B10:B1000"),$B196,INDIRECT(Equipo!$G$4&amp;"!"&amp;ADDRESS(10,COLUMN(E$9)+10)&amp;":"&amp;ADDRESS(1000,COLUMN(E$9)+10)))
))</f>
        <v>-</v>
      </c>
      <c r="F196" s="19" t="str">
        <f t="array" ref="F196">IF(ISBLANK(Tareas!$B192),"-",
SUM(
SUMIF(INDIRECT(Equipo!$C$4&amp;"!B10:B1000"),$B196,INDIRECT(Equipo!$C$4&amp;"!"&amp;ADDRESS(10,COLUMN(F$9)+10)&amp;":"&amp;ADDRESS(1000,COLUMN(F$9)+10))),
SUMIF(INDIRECT(Equipo!$D$4&amp;"!B10:B1000"),$B196,INDIRECT(Equipo!$D$4&amp;"!"&amp;ADDRESS(10,COLUMN(F$9)+10)&amp;":"&amp;ADDRESS(1000,COLUMN(F$9)+10))),
SUMIF(INDIRECT(Equipo!$E$4&amp;"!B10:B1000"),$B196,INDIRECT(Equipo!$E$4&amp;"!"&amp;ADDRESS(10,COLUMN(F$9)+10)&amp;":"&amp;ADDRESS(1000,COLUMN(F$9)+10))),
SUMIF(INDIRECT(Equipo!$F$4&amp;"!B10:B1000"),$B196,INDIRECT(Equipo!$F$4&amp;"!"&amp;ADDRESS(10,COLUMN(F$9)+10)&amp;":"&amp;ADDRESS(1000,COLUMN(F$9)+10))),
SUMIF(INDIRECT(Equipo!$G$4&amp;"!B10:B1000"),$B196,INDIRECT(Equipo!$G$4&amp;"!"&amp;ADDRESS(10,COLUMN(F$9)+10)&amp;":"&amp;ADDRESS(1000,COLUMN(F$9)+10)))
))</f>
        <v>-</v>
      </c>
      <c r="G196" s="19" t="str">
        <f t="array" ref="G196">IF(ISBLANK(Tareas!$B192),"-",
SUM(
SUMIF(INDIRECT(Equipo!$C$4&amp;"!B10:B1000"),$B196,INDIRECT(Equipo!$C$4&amp;"!"&amp;ADDRESS(10,COLUMN(G$9)+10)&amp;":"&amp;ADDRESS(1000,COLUMN(G$9)+10))),
SUMIF(INDIRECT(Equipo!$D$4&amp;"!B10:B1000"),$B196,INDIRECT(Equipo!$D$4&amp;"!"&amp;ADDRESS(10,COLUMN(G$9)+10)&amp;":"&amp;ADDRESS(1000,COLUMN(G$9)+10))),
SUMIF(INDIRECT(Equipo!$E$4&amp;"!B10:B1000"),$B196,INDIRECT(Equipo!$E$4&amp;"!"&amp;ADDRESS(10,COLUMN(G$9)+10)&amp;":"&amp;ADDRESS(1000,COLUMN(G$9)+10))),
SUMIF(INDIRECT(Equipo!$F$4&amp;"!B10:B1000"),$B196,INDIRECT(Equipo!$F$4&amp;"!"&amp;ADDRESS(10,COLUMN(G$9)+10)&amp;":"&amp;ADDRESS(1000,COLUMN(G$9)+10))),
SUMIF(INDIRECT(Equipo!$G$4&amp;"!B10:B1000"),$B196,INDIRECT(Equipo!$G$4&amp;"!"&amp;ADDRESS(10,COLUMN(G$9)+10)&amp;":"&amp;ADDRESS(1000,COLUMN(G$9)+10)))
))</f>
        <v>-</v>
      </c>
      <c r="H196" s="19" t="str">
        <f t="array" ref="H196">IF(ISBLANK(Tareas!$B192),"-",
SUM(
SUMIF(INDIRECT(Equipo!$C$4&amp;"!B10:B1000"),$B196,INDIRECT(Equipo!$C$4&amp;"!"&amp;ADDRESS(10,COLUMN(H$9)+10)&amp;":"&amp;ADDRESS(1000,COLUMN(H$9)+10))),
SUMIF(INDIRECT(Equipo!$D$4&amp;"!B10:B1000"),$B196,INDIRECT(Equipo!$D$4&amp;"!"&amp;ADDRESS(10,COLUMN(H$9)+10)&amp;":"&amp;ADDRESS(1000,COLUMN(H$9)+10))),
SUMIF(INDIRECT(Equipo!$E$4&amp;"!B10:B1000"),$B196,INDIRECT(Equipo!$E$4&amp;"!"&amp;ADDRESS(10,COLUMN(H$9)+10)&amp;":"&amp;ADDRESS(1000,COLUMN(H$9)+10))),
SUMIF(INDIRECT(Equipo!$F$4&amp;"!B10:B1000"),$B196,INDIRECT(Equipo!$F$4&amp;"!"&amp;ADDRESS(10,COLUMN(H$9)+10)&amp;":"&amp;ADDRESS(1000,COLUMN(H$9)+10))),
SUMIF(INDIRECT(Equipo!$G$4&amp;"!B10:B1000"),$B196,INDIRECT(Equipo!$G$4&amp;"!"&amp;ADDRESS(10,COLUMN(H$9)+10)&amp;":"&amp;ADDRESS(1000,COLUMN(H$9)+10)))
))</f>
        <v>-</v>
      </c>
      <c r="I196" s="19" t="str">
        <f t="array" ref="I196">IF(ISBLANK(Tareas!$B192),"-",
SUM(
SUMIF(INDIRECT(Equipo!$C$4&amp;"!B10:B1000"),$B196,INDIRECT(Equipo!$C$4&amp;"!"&amp;ADDRESS(10,COLUMN(I$9)+10)&amp;":"&amp;ADDRESS(1000,COLUMN(I$9)+10))),
SUMIF(INDIRECT(Equipo!$D$4&amp;"!B10:B1000"),$B196,INDIRECT(Equipo!$D$4&amp;"!"&amp;ADDRESS(10,COLUMN(I$9)+10)&amp;":"&amp;ADDRESS(1000,COLUMN(I$9)+10))),
SUMIF(INDIRECT(Equipo!$E$4&amp;"!B10:B1000"),$B196,INDIRECT(Equipo!$E$4&amp;"!"&amp;ADDRESS(10,COLUMN(I$9)+10)&amp;":"&amp;ADDRESS(1000,COLUMN(I$9)+10))),
SUMIF(INDIRECT(Equipo!$F$4&amp;"!B10:B1000"),$B196,INDIRECT(Equipo!$F$4&amp;"!"&amp;ADDRESS(10,COLUMN(I$9)+10)&amp;":"&amp;ADDRESS(1000,COLUMN(I$9)+10))),
SUMIF(INDIRECT(Equipo!$G$4&amp;"!B10:B1000"),$B196,INDIRECT(Equipo!$G$4&amp;"!"&amp;ADDRESS(10,COLUMN(I$9)+10)&amp;":"&amp;ADDRESS(1000,COLUMN(I$9)+10)))
))</f>
        <v>-</v>
      </c>
      <c r="J196" s="19" t="str">
        <f t="array" ref="J196">IF(ISBLANK(Tareas!$B192),"-",
SUM(
SUMIF(INDIRECT(Equipo!$C$4&amp;"!B10:B1000"),$B196,INDIRECT(Equipo!$C$4&amp;"!"&amp;ADDRESS(10,COLUMN(J$9)+10)&amp;":"&amp;ADDRESS(1000,COLUMN(J$9)+10))),
SUMIF(INDIRECT(Equipo!$D$4&amp;"!B10:B1000"),$B196,INDIRECT(Equipo!$D$4&amp;"!"&amp;ADDRESS(10,COLUMN(J$9)+10)&amp;":"&amp;ADDRESS(1000,COLUMN(J$9)+10))),
SUMIF(INDIRECT(Equipo!$E$4&amp;"!B10:B1000"),$B196,INDIRECT(Equipo!$E$4&amp;"!"&amp;ADDRESS(10,COLUMN(J$9)+10)&amp;":"&amp;ADDRESS(1000,COLUMN(J$9)+10))),
SUMIF(INDIRECT(Equipo!$F$4&amp;"!B10:B1000"),$B196,INDIRECT(Equipo!$F$4&amp;"!"&amp;ADDRESS(10,COLUMN(J$9)+10)&amp;":"&amp;ADDRESS(1000,COLUMN(J$9)+10))),
SUMIF(INDIRECT(Equipo!$G$4&amp;"!B10:B1000"),$B196,INDIRECT(Equipo!$G$4&amp;"!"&amp;ADDRESS(10,COLUMN(J$9)+10)&amp;":"&amp;ADDRESS(1000,COLUMN(J$9)+10)))
))</f>
        <v>-</v>
      </c>
      <c r="K196" s="19" t="str">
        <f t="array" ref="K196">IF(ISBLANK(Tareas!$B192),"-",
SUM(
SUMIF(INDIRECT(Equipo!$C$4&amp;"!B10:B1000"),$B196,INDIRECT(Equipo!$C$4&amp;"!"&amp;ADDRESS(10,COLUMN(K$9)+10)&amp;":"&amp;ADDRESS(1000,COLUMN(K$9)+10))),
SUMIF(INDIRECT(Equipo!$D$4&amp;"!B10:B1000"),$B196,INDIRECT(Equipo!$D$4&amp;"!"&amp;ADDRESS(10,COLUMN(K$9)+10)&amp;":"&amp;ADDRESS(1000,COLUMN(K$9)+10))),
SUMIF(INDIRECT(Equipo!$E$4&amp;"!B10:B1000"),$B196,INDIRECT(Equipo!$E$4&amp;"!"&amp;ADDRESS(10,COLUMN(K$9)+10)&amp;":"&amp;ADDRESS(1000,COLUMN(K$9)+10))),
SUMIF(INDIRECT(Equipo!$F$4&amp;"!B10:B1000"),$B196,INDIRECT(Equipo!$F$4&amp;"!"&amp;ADDRESS(10,COLUMN(K$9)+10)&amp;":"&amp;ADDRESS(1000,COLUMN(K$9)+10))),
SUMIF(INDIRECT(Equipo!$G$4&amp;"!B10:B1000"),$B196,INDIRECT(Equipo!$G$4&amp;"!"&amp;ADDRESS(10,COLUMN(K$9)+10)&amp;":"&amp;ADDRESS(1000,COLUMN(K$9)+10)))
))</f>
        <v>-</v>
      </c>
    </row>
    <row r="197" ht="15.75" customHeight="1">
      <c r="C197" s="19" t="str">
        <f>IF(ISBLANK(Tareas!$B193),"-",SUM(D197:K197))</f>
        <v>-</v>
      </c>
      <c r="D197" s="19" t="str">
        <f t="array" ref="D197">IF(ISBLANK(Tareas!$B193),"-",
SUM(
SUMIF(INDIRECT(Equipo!$C$4&amp;"!B10:B1000"),$B197,INDIRECT(Equipo!$C$4&amp;"!"&amp;ADDRESS(10,COLUMN(D$9)+10)&amp;":"&amp;ADDRESS(1000,COLUMN(D$9)+10))),
SUMIF(INDIRECT(Equipo!$D$4&amp;"!B10:B1000"),$B197,INDIRECT(Equipo!$D$4&amp;"!"&amp;ADDRESS(10,COLUMN(D$9)+10)&amp;":"&amp;ADDRESS(1000,COLUMN(D$9)+10))),
SUMIF(INDIRECT(Equipo!$E$4&amp;"!B10:B1000"),$B197,INDIRECT(Equipo!$E$4&amp;"!"&amp;ADDRESS(10,COLUMN(D$9)+10)&amp;":"&amp;ADDRESS(1000,COLUMN(D$9)+10))),
SUMIF(INDIRECT(Equipo!$F$4&amp;"!B10:B1000"),$B197,INDIRECT(Equipo!$F$4&amp;"!"&amp;ADDRESS(10,COLUMN(D$9)+10)&amp;":"&amp;ADDRESS(1000,COLUMN(D$9)+10))),
SUMIF(INDIRECT(Equipo!$G$4&amp;"!B10:B1000"),$B197,INDIRECT(Equipo!$G$4&amp;"!"&amp;ADDRESS(10,COLUMN(D$9)+10)&amp;":"&amp;ADDRESS(1000,COLUMN(D$9)+10)))
))</f>
        <v>-</v>
      </c>
      <c r="E197" s="19" t="str">
        <f t="array" ref="E197">IF(ISBLANK(Tareas!$B193),"-",
SUM(
SUMIF(INDIRECT(Equipo!$C$4&amp;"!B10:B1000"),$B197,INDIRECT(Equipo!$C$4&amp;"!"&amp;ADDRESS(10,COLUMN(E$9)+10)&amp;":"&amp;ADDRESS(1000,COLUMN(E$9)+10))),
SUMIF(INDIRECT(Equipo!$D$4&amp;"!B10:B1000"),$B197,INDIRECT(Equipo!$D$4&amp;"!"&amp;ADDRESS(10,COLUMN(E$9)+10)&amp;":"&amp;ADDRESS(1000,COLUMN(E$9)+10))),
SUMIF(INDIRECT(Equipo!$E$4&amp;"!B10:B1000"),$B197,INDIRECT(Equipo!$E$4&amp;"!"&amp;ADDRESS(10,COLUMN(E$9)+10)&amp;":"&amp;ADDRESS(1000,COLUMN(E$9)+10))),
SUMIF(INDIRECT(Equipo!$F$4&amp;"!B10:B1000"),$B197,INDIRECT(Equipo!$F$4&amp;"!"&amp;ADDRESS(10,COLUMN(E$9)+10)&amp;":"&amp;ADDRESS(1000,COLUMN(E$9)+10))),
SUMIF(INDIRECT(Equipo!$G$4&amp;"!B10:B1000"),$B197,INDIRECT(Equipo!$G$4&amp;"!"&amp;ADDRESS(10,COLUMN(E$9)+10)&amp;":"&amp;ADDRESS(1000,COLUMN(E$9)+10)))
))</f>
        <v>-</v>
      </c>
      <c r="F197" s="19" t="str">
        <f t="array" ref="F197">IF(ISBLANK(Tareas!$B193),"-",
SUM(
SUMIF(INDIRECT(Equipo!$C$4&amp;"!B10:B1000"),$B197,INDIRECT(Equipo!$C$4&amp;"!"&amp;ADDRESS(10,COLUMN(F$9)+10)&amp;":"&amp;ADDRESS(1000,COLUMN(F$9)+10))),
SUMIF(INDIRECT(Equipo!$D$4&amp;"!B10:B1000"),$B197,INDIRECT(Equipo!$D$4&amp;"!"&amp;ADDRESS(10,COLUMN(F$9)+10)&amp;":"&amp;ADDRESS(1000,COLUMN(F$9)+10))),
SUMIF(INDIRECT(Equipo!$E$4&amp;"!B10:B1000"),$B197,INDIRECT(Equipo!$E$4&amp;"!"&amp;ADDRESS(10,COLUMN(F$9)+10)&amp;":"&amp;ADDRESS(1000,COLUMN(F$9)+10))),
SUMIF(INDIRECT(Equipo!$F$4&amp;"!B10:B1000"),$B197,INDIRECT(Equipo!$F$4&amp;"!"&amp;ADDRESS(10,COLUMN(F$9)+10)&amp;":"&amp;ADDRESS(1000,COLUMN(F$9)+10))),
SUMIF(INDIRECT(Equipo!$G$4&amp;"!B10:B1000"),$B197,INDIRECT(Equipo!$G$4&amp;"!"&amp;ADDRESS(10,COLUMN(F$9)+10)&amp;":"&amp;ADDRESS(1000,COLUMN(F$9)+10)))
))</f>
        <v>-</v>
      </c>
      <c r="G197" s="19" t="str">
        <f t="array" ref="G197">IF(ISBLANK(Tareas!$B193),"-",
SUM(
SUMIF(INDIRECT(Equipo!$C$4&amp;"!B10:B1000"),$B197,INDIRECT(Equipo!$C$4&amp;"!"&amp;ADDRESS(10,COLUMN(G$9)+10)&amp;":"&amp;ADDRESS(1000,COLUMN(G$9)+10))),
SUMIF(INDIRECT(Equipo!$D$4&amp;"!B10:B1000"),$B197,INDIRECT(Equipo!$D$4&amp;"!"&amp;ADDRESS(10,COLUMN(G$9)+10)&amp;":"&amp;ADDRESS(1000,COLUMN(G$9)+10))),
SUMIF(INDIRECT(Equipo!$E$4&amp;"!B10:B1000"),$B197,INDIRECT(Equipo!$E$4&amp;"!"&amp;ADDRESS(10,COLUMN(G$9)+10)&amp;":"&amp;ADDRESS(1000,COLUMN(G$9)+10))),
SUMIF(INDIRECT(Equipo!$F$4&amp;"!B10:B1000"),$B197,INDIRECT(Equipo!$F$4&amp;"!"&amp;ADDRESS(10,COLUMN(G$9)+10)&amp;":"&amp;ADDRESS(1000,COLUMN(G$9)+10))),
SUMIF(INDIRECT(Equipo!$G$4&amp;"!B10:B1000"),$B197,INDIRECT(Equipo!$G$4&amp;"!"&amp;ADDRESS(10,COLUMN(G$9)+10)&amp;":"&amp;ADDRESS(1000,COLUMN(G$9)+10)))
))</f>
        <v>-</v>
      </c>
      <c r="H197" s="19" t="str">
        <f t="array" ref="H197">IF(ISBLANK(Tareas!$B193),"-",
SUM(
SUMIF(INDIRECT(Equipo!$C$4&amp;"!B10:B1000"),$B197,INDIRECT(Equipo!$C$4&amp;"!"&amp;ADDRESS(10,COLUMN(H$9)+10)&amp;":"&amp;ADDRESS(1000,COLUMN(H$9)+10))),
SUMIF(INDIRECT(Equipo!$D$4&amp;"!B10:B1000"),$B197,INDIRECT(Equipo!$D$4&amp;"!"&amp;ADDRESS(10,COLUMN(H$9)+10)&amp;":"&amp;ADDRESS(1000,COLUMN(H$9)+10))),
SUMIF(INDIRECT(Equipo!$E$4&amp;"!B10:B1000"),$B197,INDIRECT(Equipo!$E$4&amp;"!"&amp;ADDRESS(10,COLUMN(H$9)+10)&amp;":"&amp;ADDRESS(1000,COLUMN(H$9)+10))),
SUMIF(INDIRECT(Equipo!$F$4&amp;"!B10:B1000"),$B197,INDIRECT(Equipo!$F$4&amp;"!"&amp;ADDRESS(10,COLUMN(H$9)+10)&amp;":"&amp;ADDRESS(1000,COLUMN(H$9)+10))),
SUMIF(INDIRECT(Equipo!$G$4&amp;"!B10:B1000"),$B197,INDIRECT(Equipo!$G$4&amp;"!"&amp;ADDRESS(10,COLUMN(H$9)+10)&amp;":"&amp;ADDRESS(1000,COLUMN(H$9)+10)))
))</f>
        <v>-</v>
      </c>
      <c r="I197" s="19" t="str">
        <f t="array" ref="I197">IF(ISBLANK(Tareas!$B193),"-",
SUM(
SUMIF(INDIRECT(Equipo!$C$4&amp;"!B10:B1000"),$B197,INDIRECT(Equipo!$C$4&amp;"!"&amp;ADDRESS(10,COLUMN(I$9)+10)&amp;":"&amp;ADDRESS(1000,COLUMN(I$9)+10))),
SUMIF(INDIRECT(Equipo!$D$4&amp;"!B10:B1000"),$B197,INDIRECT(Equipo!$D$4&amp;"!"&amp;ADDRESS(10,COLUMN(I$9)+10)&amp;":"&amp;ADDRESS(1000,COLUMN(I$9)+10))),
SUMIF(INDIRECT(Equipo!$E$4&amp;"!B10:B1000"),$B197,INDIRECT(Equipo!$E$4&amp;"!"&amp;ADDRESS(10,COLUMN(I$9)+10)&amp;":"&amp;ADDRESS(1000,COLUMN(I$9)+10))),
SUMIF(INDIRECT(Equipo!$F$4&amp;"!B10:B1000"),$B197,INDIRECT(Equipo!$F$4&amp;"!"&amp;ADDRESS(10,COLUMN(I$9)+10)&amp;":"&amp;ADDRESS(1000,COLUMN(I$9)+10))),
SUMIF(INDIRECT(Equipo!$G$4&amp;"!B10:B1000"),$B197,INDIRECT(Equipo!$G$4&amp;"!"&amp;ADDRESS(10,COLUMN(I$9)+10)&amp;":"&amp;ADDRESS(1000,COLUMN(I$9)+10)))
))</f>
        <v>-</v>
      </c>
      <c r="J197" s="19" t="str">
        <f t="array" ref="J197">IF(ISBLANK(Tareas!$B193),"-",
SUM(
SUMIF(INDIRECT(Equipo!$C$4&amp;"!B10:B1000"),$B197,INDIRECT(Equipo!$C$4&amp;"!"&amp;ADDRESS(10,COLUMN(J$9)+10)&amp;":"&amp;ADDRESS(1000,COLUMN(J$9)+10))),
SUMIF(INDIRECT(Equipo!$D$4&amp;"!B10:B1000"),$B197,INDIRECT(Equipo!$D$4&amp;"!"&amp;ADDRESS(10,COLUMN(J$9)+10)&amp;":"&amp;ADDRESS(1000,COLUMN(J$9)+10))),
SUMIF(INDIRECT(Equipo!$E$4&amp;"!B10:B1000"),$B197,INDIRECT(Equipo!$E$4&amp;"!"&amp;ADDRESS(10,COLUMN(J$9)+10)&amp;":"&amp;ADDRESS(1000,COLUMN(J$9)+10))),
SUMIF(INDIRECT(Equipo!$F$4&amp;"!B10:B1000"),$B197,INDIRECT(Equipo!$F$4&amp;"!"&amp;ADDRESS(10,COLUMN(J$9)+10)&amp;":"&amp;ADDRESS(1000,COLUMN(J$9)+10))),
SUMIF(INDIRECT(Equipo!$G$4&amp;"!B10:B1000"),$B197,INDIRECT(Equipo!$G$4&amp;"!"&amp;ADDRESS(10,COLUMN(J$9)+10)&amp;":"&amp;ADDRESS(1000,COLUMN(J$9)+10)))
))</f>
        <v>-</v>
      </c>
      <c r="K197" s="19" t="str">
        <f t="array" ref="K197">IF(ISBLANK(Tareas!$B193),"-",
SUM(
SUMIF(INDIRECT(Equipo!$C$4&amp;"!B10:B1000"),$B197,INDIRECT(Equipo!$C$4&amp;"!"&amp;ADDRESS(10,COLUMN(K$9)+10)&amp;":"&amp;ADDRESS(1000,COLUMN(K$9)+10))),
SUMIF(INDIRECT(Equipo!$D$4&amp;"!B10:B1000"),$B197,INDIRECT(Equipo!$D$4&amp;"!"&amp;ADDRESS(10,COLUMN(K$9)+10)&amp;":"&amp;ADDRESS(1000,COLUMN(K$9)+10))),
SUMIF(INDIRECT(Equipo!$E$4&amp;"!B10:B1000"),$B197,INDIRECT(Equipo!$E$4&amp;"!"&amp;ADDRESS(10,COLUMN(K$9)+10)&amp;":"&amp;ADDRESS(1000,COLUMN(K$9)+10))),
SUMIF(INDIRECT(Equipo!$F$4&amp;"!B10:B1000"),$B197,INDIRECT(Equipo!$F$4&amp;"!"&amp;ADDRESS(10,COLUMN(K$9)+10)&amp;":"&amp;ADDRESS(1000,COLUMN(K$9)+10))),
SUMIF(INDIRECT(Equipo!$G$4&amp;"!B10:B1000"),$B197,INDIRECT(Equipo!$G$4&amp;"!"&amp;ADDRESS(10,COLUMN(K$9)+10)&amp;":"&amp;ADDRESS(1000,COLUMN(K$9)+10)))
))</f>
        <v>-</v>
      </c>
    </row>
    <row r="198" ht="15.75" customHeight="1">
      <c r="C198" s="19" t="str">
        <f>IF(ISBLANK(Tareas!$B194),"-",SUM(D198:K198))</f>
        <v>-</v>
      </c>
      <c r="D198" s="19" t="str">
        <f t="array" ref="D198">IF(ISBLANK(Tareas!$B194),"-",
SUM(
SUMIF(INDIRECT(Equipo!$C$4&amp;"!B10:B1000"),$B198,INDIRECT(Equipo!$C$4&amp;"!"&amp;ADDRESS(10,COLUMN(D$9)+10)&amp;":"&amp;ADDRESS(1000,COLUMN(D$9)+10))),
SUMIF(INDIRECT(Equipo!$D$4&amp;"!B10:B1000"),$B198,INDIRECT(Equipo!$D$4&amp;"!"&amp;ADDRESS(10,COLUMN(D$9)+10)&amp;":"&amp;ADDRESS(1000,COLUMN(D$9)+10))),
SUMIF(INDIRECT(Equipo!$E$4&amp;"!B10:B1000"),$B198,INDIRECT(Equipo!$E$4&amp;"!"&amp;ADDRESS(10,COLUMN(D$9)+10)&amp;":"&amp;ADDRESS(1000,COLUMN(D$9)+10))),
SUMIF(INDIRECT(Equipo!$F$4&amp;"!B10:B1000"),$B198,INDIRECT(Equipo!$F$4&amp;"!"&amp;ADDRESS(10,COLUMN(D$9)+10)&amp;":"&amp;ADDRESS(1000,COLUMN(D$9)+10))),
SUMIF(INDIRECT(Equipo!$G$4&amp;"!B10:B1000"),$B198,INDIRECT(Equipo!$G$4&amp;"!"&amp;ADDRESS(10,COLUMN(D$9)+10)&amp;":"&amp;ADDRESS(1000,COLUMN(D$9)+10)))
))</f>
        <v>-</v>
      </c>
      <c r="E198" s="19" t="str">
        <f t="array" ref="E198">IF(ISBLANK(Tareas!$B194),"-",
SUM(
SUMIF(INDIRECT(Equipo!$C$4&amp;"!B10:B1000"),$B198,INDIRECT(Equipo!$C$4&amp;"!"&amp;ADDRESS(10,COLUMN(E$9)+10)&amp;":"&amp;ADDRESS(1000,COLUMN(E$9)+10))),
SUMIF(INDIRECT(Equipo!$D$4&amp;"!B10:B1000"),$B198,INDIRECT(Equipo!$D$4&amp;"!"&amp;ADDRESS(10,COLUMN(E$9)+10)&amp;":"&amp;ADDRESS(1000,COLUMN(E$9)+10))),
SUMIF(INDIRECT(Equipo!$E$4&amp;"!B10:B1000"),$B198,INDIRECT(Equipo!$E$4&amp;"!"&amp;ADDRESS(10,COLUMN(E$9)+10)&amp;":"&amp;ADDRESS(1000,COLUMN(E$9)+10))),
SUMIF(INDIRECT(Equipo!$F$4&amp;"!B10:B1000"),$B198,INDIRECT(Equipo!$F$4&amp;"!"&amp;ADDRESS(10,COLUMN(E$9)+10)&amp;":"&amp;ADDRESS(1000,COLUMN(E$9)+10))),
SUMIF(INDIRECT(Equipo!$G$4&amp;"!B10:B1000"),$B198,INDIRECT(Equipo!$G$4&amp;"!"&amp;ADDRESS(10,COLUMN(E$9)+10)&amp;":"&amp;ADDRESS(1000,COLUMN(E$9)+10)))
))</f>
        <v>-</v>
      </c>
      <c r="F198" s="19" t="str">
        <f t="array" ref="F198">IF(ISBLANK(Tareas!$B194),"-",
SUM(
SUMIF(INDIRECT(Equipo!$C$4&amp;"!B10:B1000"),$B198,INDIRECT(Equipo!$C$4&amp;"!"&amp;ADDRESS(10,COLUMN(F$9)+10)&amp;":"&amp;ADDRESS(1000,COLUMN(F$9)+10))),
SUMIF(INDIRECT(Equipo!$D$4&amp;"!B10:B1000"),$B198,INDIRECT(Equipo!$D$4&amp;"!"&amp;ADDRESS(10,COLUMN(F$9)+10)&amp;":"&amp;ADDRESS(1000,COLUMN(F$9)+10))),
SUMIF(INDIRECT(Equipo!$E$4&amp;"!B10:B1000"),$B198,INDIRECT(Equipo!$E$4&amp;"!"&amp;ADDRESS(10,COLUMN(F$9)+10)&amp;":"&amp;ADDRESS(1000,COLUMN(F$9)+10))),
SUMIF(INDIRECT(Equipo!$F$4&amp;"!B10:B1000"),$B198,INDIRECT(Equipo!$F$4&amp;"!"&amp;ADDRESS(10,COLUMN(F$9)+10)&amp;":"&amp;ADDRESS(1000,COLUMN(F$9)+10))),
SUMIF(INDIRECT(Equipo!$G$4&amp;"!B10:B1000"),$B198,INDIRECT(Equipo!$G$4&amp;"!"&amp;ADDRESS(10,COLUMN(F$9)+10)&amp;":"&amp;ADDRESS(1000,COLUMN(F$9)+10)))
))</f>
        <v>-</v>
      </c>
      <c r="G198" s="19" t="str">
        <f t="array" ref="G198">IF(ISBLANK(Tareas!$B194),"-",
SUM(
SUMIF(INDIRECT(Equipo!$C$4&amp;"!B10:B1000"),$B198,INDIRECT(Equipo!$C$4&amp;"!"&amp;ADDRESS(10,COLUMN(G$9)+10)&amp;":"&amp;ADDRESS(1000,COLUMN(G$9)+10))),
SUMIF(INDIRECT(Equipo!$D$4&amp;"!B10:B1000"),$B198,INDIRECT(Equipo!$D$4&amp;"!"&amp;ADDRESS(10,COLUMN(G$9)+10)&amp;":"&amp;ADDRESS(1000,COLUMN(G$9)+10))),
SUMIF(INDIRECT(Equipo!$E$4&amp;"!B10:B1000"),$B198,INDIRECT(Equipo!$E$4&amp;"!"&amp;ADDRESS(10,COLUMN(G$9)+10)&amp;":"&amp;ADDRESS(1000,COLUMN(G$9)+10))),
SUMIF(INDIRECT(Equipo!$F$4&amp;"!B10:B1000"),$B198,INDIRECT(Equipo!$F$4&amp;"!"&amp;ADDRESS(10,COLUMN(G$9)+10)&amp;":"&amp;ADDRESS(1000,COLUMN(G$9)+10))),
SUMIF(INDIRECT(Equipo!$G$4&amp;"!B10:B1000"),$B198,INDIRECT(Equipo!$G$4&amp;"!"&amp;ADDRESS(10,COLUMN(G$9)+10)&amp;":"&amp;ADDRESS(1000,COLUMN(G$9)+10)))
))</f>
        <v>-</v>
      </c>
      <c r="H198" s="19" t="str">
        <f t="array" ref="H198">IF(ISBLANK(Tareas!$B194),"-",
SUM(
SUMIF(INDIRECT(Equipo!$C$4&amp;"!B10:B1000"),$B198,INDIRECT(Equipo!$C$4&amp;"!"&amp;ADDRESS(10,COLUMN(H$9)+10)&amp;":"&amp;ADDRESS(1000,COLUMN(H$9)+10))),
SUMIF(INDIRECT(Equipo!$D$4&amp;"!B10:B1000"),$B198,INDIRECT(Equipo!$D$4&amp;"!"&amp;ADDRESS(10,COLUMN(H$9)+10)&amp;":"&amp;ADDRESS(1000,COLUMN(H$9)+10))),
SUMIF(INDIRECT(Equipo!$E$4&amp;"!B10:B1000"),$B198,INDIRECT(Equipo!$E$4&amp;"!"&amp;ADDRESS(10,COLUMN(H$9)+10)&amp;":"&amp;ADDRESS(1000,COLUMN(H$9)+10))),
SUMIF(INDIRECT(Equipo!$F$4&amp;"!B10:B1000"),$B198,INDIRECT(Equipo!$F$4&amp;"!"&amp;ADDRESS(10,COLUMN(H$9)+10)&amp;":"&amp;ADDRESS(1000,COLUMN(H$9)+10))),
SUMIF(INDIRECT(Equipo!$G$4&amp;"!B10:B1000"),$B198,INDIRECT(Equipo!$G$4&amp;"!"&amp;ADDRESS(10,COLUMN(H$9)+10)&amp;":"&amp;ADDRESS(1000,COLUMN(H$9)+10)))
))</f>
        <v>-</v>
      </c>
      <c r="I198" s="19" t="str">
        <f t="array" ref="I198">IF(ISBLANK(Tareas!$B194),"-",
SUM(
SUMIF(INDIRECT(Equipo!$C$4&amp;"!B10:B1000"),$B198,INDIRECT(Equipo!$C$4&amp;"!"&amp;ADDRESS(10,COLUMN(I$9)+10)&amp;":"&amp;ADDRESS(1000,COLUMN(I$9)+10))),
SUMIF(INDIRECT(Equipo!$D$4&amp;"!B10:B1000"),$B198,INDIRECT(Equipo!$D$4&amp;"!"&amp;ADDRESS(10,COLUMN(I$9)+10)&amp;":"&amp;ADDRESS(1000,COLUMN(I$9)+10))),
SUMIF(INDIRECT(Equipo!$E$4&amp;"!B10:B1000"),$B198,INDIRECT(Equipo!$E$4&amp;"!"&amp;ADDRESS(10,COLUMN(I$9)+10)&amp;":"&amp;ADDRESS(1000,COLUMN(I$9)+10))),
SUMIF(INDIRECT(Equipo!$F$4&amp;"!B10:B1000"),$B198,INDIRECT(Equipo!$F$4&amp;"!"&amp;ADDRESS(10,COLUMN(I$9)+10)&amp;":"&amp;ADDRESS(1000,COLUMN(I$9)+10))),
SUMIF(INDIRECT(Equipo!$G$4&amp;"!B10:B1000"),$B198,INDIRECT(Equipo!$G$4&amp;"!"&amp;ADDRESS(10,COLUMN(I$9)+10)&amp;":"&amp;ADDRESS(1000,COLUMN(I$9)+10)))
))</f>
        <v>-</v>
      </c>
      <c r="J198" s="19" t="str">
        <f t="array" ref="J198">IF(ISBLANK(Tareas!$B194),"-",
SUM(
SUMIF(INDIRECT(Equipo!$C$4&amp;"!B10:B1000"),$B198,INDIRECT(Equipo!$C$4&amp;"!"&amp;ADDRESS(10,COLUMN(J$9)+10)&amp;":"&amp;ADDRESS(1000,COLUMN(J$9)+10))),
SUMIF(INDIRECT(Equipo!$D$4&amp;"!B10:B1000"),$B198,INDIRECT(Equipo!$D$4&amp;"!"&amp;ADDRESS(10,COLUMN(J$9)+10)&amp;":"&amp;ADDRESS(1000,COLUMN(J$9)+10))),
SUMIF(INDIRECT(Equipo!$E$4&amp;"!B10:B1000"),$B198,INDIRECT(Equipo!$E$4&amp;"!"&amp;ADDRESS(10,COLUMN(J$9)+10)&amp;":"&amp;ADDRESS(1000,COLUMN(J$9)+10))),
SUMIF(INDIRECT(Equipo!$F$4&amp;"!B10:B1000"),$B198,INDIRECT(Equipo!$F$4&amp;"!"&amp;ADDRESS(10,COLUMN(J$9)+10)&amp;":"&amp;ADDRESS(1000,COLUMN(J$9)+10))),
SUMIF(INDIRECT(Equipo!$G$4&amp;"!B10:B1000"),$B198,INDIRECT(Equipo!$G$4&amp;"!"&amp;ADDRESS(10,COLUMN(J$9)+10)&amp;":"&amp;ADDRESS(1000,COLUMN(J$9)+10)))
))</f>
        <v>-</v>
      </c>
      <c r="K198" s="19" t="str">
        <f t="array" ref="K198">IF(ISBLANK(Tareas!$B194),"-",
SUM(
SUMIF(INDIRECT(Equipo!$C$4&amp;"!B10:B1000"),$B198,INDIRECT(Equipo!$C$4&amp;"!"&amp;ADDRESS(10,COLUMN(K$9)+10)&amp;":"&amp;ADDRESS(1000,COLUMN(K$9)+10))),
SUMIF(INDIRECT(Equipo!$D$4&amp;"!B10:B1000"),$B198,INDIRECT(Equipo!$D$4&amp;"!"&amp;ADDRESS(10,COLUMN(K$9)+10)&amp;":"&amp;ADDRESS(1000,COLUMN(K$9)+10))),
SUMIF(INDIRECT(Equipo!$E$4&amp;"!B10:B1000"),$B198,INDIRECT(Equipo!$E$4&amp;"!"&amp;ADDRESS(10,COLUMN(K$9)+10)&amp;":"&amp;ADDRESS(1000,COLUMN(K$9)+10))),
SUMIF(INDIRECT(Equipo!$F$4&amp;"!B10:B1000"),$B198,INDIRECT(Equipo!$F$4&amp;"!"&amp;ADDRESS(10,COLUMN(K$9)+10)&amp;":"&amp;ADDRESS(1000,COLUMN(K$9)+10))),
SUMIF(INDIRECT(Equipo!$G$4&amp;"!B10:B1000"),$B198,INDIRECT(Equipo!$G$4&amp;"!"&amp;ADDRESS(10,COLUMN(K$9)+10)&amp;":"&amp;ADDRESS(1000,COLUMN(K$9)+10)))
))</f>
        <v>-</v>
      </c>
    </row>
    <row r="199" ht="15.75" customHeight="1">
      <c r="C199" s="19" t="str">
        <f>IF(ISBLANK(Tareas!$B195),"-",SUM(D199:K199))</f>
        <v>-</v>
      </c>
      <c r="D199" s="19" t="str">
        <f t="array" ref="D199">IF(ISBLANK(Tareas!$B195),"-",
SUM(
SUMIF(INDIRECT(Equipo!$C$4&amp;"!B10:B1000"),$B199,INDIRECT(Equipo!$C$4&amp;"!"&amp;ADDRESS(10,COLUMN(D$9)+10)&amp;":"&amp;ADDRESS(1000,COLUMN(D$9)+10))),
SUMIF(INDIRECT(Equipo!$D$4&amp;"!B10:B1000"),$B199,INDIRECT(Equipo!$D$4&amp;"!"&amp;ADDRESS(10,COLUMN(D$9)+10)&amp;":"&amp;ADDRESS(1000,COLUMN(D$9)+10))),
SUMIF(INDIRECT(Equipo!$E$4&amp;"!B10:B1000"),$B199,INDIRECT(Equipo!$E$4&amp;"!"&amp;ADDRESS(10,COLUMN(D$9)+10)&amp;":"&amp;ADDRESS(1000,COLUMN(D$9)+10))),
SUMIF(INDIRECT(Equipo!$F$4&amp;"!B10:B1000"),$B199,INDIRECT(Equipo!$F$4&amp;"!"&amp;ADDRESS(10,COLUMN(D$9)+10)&amp;":"&amp;ADDRESS(1000,COLUMN(D$9)+10))),
SUMIF(INDIRECT(Equipo!$G$4&amp;"!B10:B1000"),$B199,INDIRECT(Equipo!$G$4&amp;"!"&amp;ADDRESS(10,COLUMN(D$9)+10)&amp;":"&amp;ADDRESS(1000,COLUMN(D$9)+10)))
))</f>
        <v>-</v>
      </c>
      <c r="E199" s="19" t="str">
        <f t="array" ref="E199">IF(ISBLANK(Tareas!$B195),"-",
SUM(
SUMIF(INDIRECT(Equipo!$C$4&amp;"!B10:B1000"),$B199,INDIRECT(Equipo!$C$4&amp;"!"&amp;ADDRESS(10,COLUMN(E$9)+10)&amp;":"&amp;ADDRESS(1000,COLUMN(E$9)+10))),
SUMIF(INDIRECT(Equipo!$D$4&amp;"!B10:B1000"),$B199,INDIRECT(Equipo!$D$4&amp;"!"&amp;ADDRESS(10,COLUMN(E$9)+10)&amp;":"&amp;ADDRESS(1000,COLUMN(E$9)+10))),
SUMIF(INDIRECT(Equipo!$E$4&amp;"!B10:B1000"),$B199,INDIRECT(Equipo!$E$4&amp;"!"&amp;ADDRESS(10,COLUMN(E$9)+10)&amp;":"&amp;ADDRESS(1000,COLUMN(E$9)+10))),
SUMIF(INDIRECT(Equipo!$F$4&amp;"!B10:B1000"),$B199,INDIRECT(Equipo!$F$4&amp;"!"&amp;ADDRESS(10,COLUMN(E$9)+10)&amp;":"&amp;ADDRESS(1000,COLUMN(E$9)+10))),
SUMIF(INDIRECT(Equipo!$G$4&amp;"!B10:B1000"),$B199,INDIRECT(Equipo!$G$4&amp;"!"&amp;ADDRESS(10,COLUMN(E$9)+10)&amp;":"&amp;ADDRESS(1000,COLUMN(E$9)+10)))
))</f>
        <v>-</v>
      </c>
      <c r="F199" s="19" t="str">
        <f t="array" ref="F199">IF(ISBLANK(Tareas!$B195),"-",
SUM(
SUMIF(INDIRECT(Equipo!$C$4&amp;"!B10:B1000"),$B199,INDIRECT(Equipo!$C$4&amp;"!"&amp;ADDRESS(10,COLUMN(F$9)+10)&amp;":"&amp;ADDRESS(1000,COLUMN(F$9)+10))),
SUMIF(INDIRECT(Equipo!$D$4&amp;"!B10:B1000"),$B199,INDIRECT(Equipo!$D$4&amp;"!"&amp;ADDRESS(10,COLUMN(F$9)+10)&amp;":"&amp;ADDRESS(1000,COLUMN(F$9)+10))),
SUMIF(INDIRECT(Equipo!$E$4&amp;"!B10:B1000"),$B199,INDIRECT(Equipo!$E$4&amp;"!"&amp;ADDRESS(10,COLUMN(F$9)+10)&amp;":"&amp;ADDRESS(1000,COLUMN(F$9)+10))),
SUMIF(INDIRECT(Equipo!$F$4&amp;"!B10:B1000"),$B199,INDIRECT(Equipo!$F$4&amp;"!"&amp;ADDRESS(10,COLUMN(F$9)+10)&amp;":"&amp;ADDRESS(1000,COLUMN(F$9)+10))),
SUMIF(INDIRECT(Equipo!$G$4&amp;"!B10:B1000"),$B199,INDIRECT(Equipo!$G$4&amp;"!"&amp;ADDRESS(10,COLUMN(F$9)+10)&amp;":"&amp;ADDRESS(1000,COLUMN(F$9)+10)))
))</f>
        <v>-</v>
      </c>
      <c r="G199" s="19" t="str">
        <f t="array" ref="G199">IF(ISBLANK(Tareas!$B195),"-",
SUM(
SUMIF(INDIRECT(Equipo!$C$4&amp;"!B10:B1000"),$B199,INDIRECT(Equipo!$C$4&amp;"!"&amp;ADDRESS(10,COLUMN(G$9)+10)&amp;":"&amp;ADDRESS(1000,COLUMN(G$9)+10))),
SUMIF(INDIRECT(Equipo!$D$4&amp;"!B10:B1000"),$B199,INDIRECT(Equipo!$D$4&amp;"!"&amp;ADDRESS(10,COLUMN(G$9)+10)&amp;":"&amp;ADDRESS(1000,COLUMN(G$9)+10))),
SUMIF(INDIRECT(Equipo!$E$4&amp;"!B10:B1000"),$B199,INDIRECT(Equipo!$E$4&amp;"!"&amp;ADDRESS(10,COLUMN(G$9)+10)&amp;":"&amp;ADDRESS(1000,COLUMN(G$9)+10))),
SUMIF(INDIRECT(Equipo!$F$4&amp;"!B10:B1000"),$B199,INDIRECT(Equipo!$F$4&amp;"!"&amp;ADDRESS(10,COLUMN(G$9)+10)&amp;":"&amp;ADDRESS(1000,COLUMN(G$9)+10))),
SUMIF(INDIRECT(Equipo!$G$4&amp;"!B10:B1000"),$B199,INDIRECT(Equipo!$G$4&amp;"!"&amp;ADDRESS(10,COLUMN(G$9)+10)&amp;":"&amp;ADDRESS(1000,COLUMN(G$9)+10)))
))</f>
        <v>-</v>
      </c>
      <c r="H199" s="19" t="str">
        <f t="array" ref="H199">IF(ISBLANK(Tareas!$B195),"-",
SUM(
SUMIF(INDIRECT(Equipo!$C$4&amp;"!B10:B1000"),$B199,INDIRECT(Equipo!$C$4&amp;"!"&amp;ADDRESS(10,COLUMN(H$9)+10)&amp;":"&amp;ADDRESS(1000,COLUMN(H$9)+10))),
SUMIF(INDIRECT(Equipo!$D$4&amp;"!B10:B1000"),$B199,INDIRECT(Equipo!$D$4&amp;"!"&amp;ADDRESS(10,COLUMN(H$9)+10)&amp;":"&amp;ADDRESS(1000,COLUMN(H$9)+10))),
SUMIF(INDIRECT(Equipo!$E$4&amp;"!B10:B1000"),$B199,INDIRECT(Equipo!$E$4&amp;"!"&amp;ADDRESS(10,COLUMN(H$9)+10)&amp;":"&amp;ADDRESS(1000,COLUMN(H$9)+10))),
SUMIF(INDIRECT(Equipo!$F$4&amp;"!B10:B1000"),$B199,INDIRECT(Equipo!$F$4&amp;"!"&amp;ADDRESS(10,COLUMN(H$9)+10)&amp;":"&amp;ADDRESS(1000,COLUMN(H$9)+10))),
SUMIF(INDIRECT(Equipo!$G$4&amp;"!B10:B1000"),$B199,INDIRECT(Equipo!$G$4&amp;"!"&amp;ADDRESS(10,COLUMN(H$9)+10)&amp;":"&amp;ADDRESS(1000,COLUMN(H$9)+10)))
))</f>
        <v>-</v>
      </c>
      <c r="I199" s="19" t="str">
        <f t="array" ref="I199">IF(ISBLANK(Tareas!$B195),"-",
SUM(
SUMIF(INDIRECT(Equipo!$C$4&amp;"!B10:B1000"),$B199,INDIRECT(Equipo!$C$4&amp;"!"&amp;ADDRESS(10,COLUMN(I$9)+10)&amp;":"&amp;ADDRESS(1000,COLUMN(I$9)+10))),
SUMIF(INDIRECT(Equipo!$D$4&amp;"!B10:B1000"),$B199,INDIRECT(Equipo!$D$4&amp;"!"&amp;ADDRESS(10,COLUMN(I$9)+10)&amp;":"&amp;ADDRESS(1000,COLUMN(I$9)+10))),
SUMIF(INDIRECT(Equipo!$E$4&amp;"!B10:B1000"),$B199,INDIRECT(Equipo!$E$4&amp;"!"&amp;ADDRESS(10,COLUMN(I$9)+10)&amp;":"&amp;ADDRESS(1000,COLUMN(I$9)+10))),
SUMIF(INDIRECT(Equipo!$F$4&amp;"!B10:B1000"),$B199,INDIRECT(Equipo!$F$4&amp;"!"&amp;ADDRESS(10,COLUMN(I$9)+10)&amp;":"&amp;ADDRESS(1000,COLUMN(I$9)+10))),
SUMIF(INDIRECT(Equipo!$G$4&amp;"!B10:B1000"),$B199,INDIRECT(Equipo!$G$4&amp;"!"&amp;ADDRESS(10,COLUMN(I$9)+10)&amp;":"&amp;ADDRESS(1000,COLUMN(I$9)+10)))
))</f>
        <v>-</v>
      </c>
      <c r="J199" s="19" t="str">
        <f t="array" ref="J199">IF(ISBLANK(Tareas!$B195),"-",
SUM(
SUMIF(INDIRECT(Equipo!$C$4&amp;"!B10:B1000"),$B199,INDIRECT(Equipo!$C$4&amp;"!"&amp;ADDRESS(10,COLUMN(J$9)+10)&amp;":"&amp;ADDRESS(1000,COLUMN(J$9)+10))),
SUMIF(INDIRECT(Equipo!$D$4&amp;"!B10:B1000"),$B199,INDIRECT(Equipo!$D$4&amp;"!"&amp;ADDRESS(10,COLUMN(J$9)+10)&amp;":"&amp;ADDRESS(1000,COLUMN(J$9)+10))),
SUMIF(INDIRECT(Equipo!$E$4&amp;"!B10:B1000"),$B199,INDIRECT(Equipo!$E$4&amp;"!"&amp;ADDRESS(10,COLUMN(J$9)+10)&amp;":"&amp;ADDRESS(1000,COLUMN(J$9)+10))),
SUMIF(INDIRECT(Equipo!$F$4&amp;"!B10:B1000"),$B199,INDIRECT(Equipo!$F$4&amp;"!"&amp;ADDRESS(10,COLUMN(J$9)+10)&amp;":"&amp;ADDRESS(1000,COLUMN(J$9)+10))),
SUMIF(INDIRECT(Equipo!$G$4&amp;"!B10:B1000"),$B199,INDIRECT(Equipo!$G$4&amp;"!"&amp;ADDRESS(10,COLUMN(J$9)+10)&amp;":"&amp;ADDRESS(1000,COLUMN(J$9)+10)))
))</f>
        <v>-</v>
      </c>
      <c r="K199" s="19" t="str">
        <f t="array" ref="K199">IF(ISBLANK(Tareas!$B195),"-",
SUM(
SUMIF(INDIRECT(Equipo!$C$4&amp;"!B10:B1000"),$B199,INDIRECT(Equipo!$C$4&amp;"!"&amp;ADDRESS(10,COLUMN(K$9)+10)&amp;":"&amp;ADDRESS(1000,COLUMN(K$9)+10))),
SUMIF(INDIRECT(Equipo!$D$4&amp;"!B10:B1000"),$B199,INDIRECT(Equipo!$D$4&amp;"!"&amp;ADDRESS(10,COLUMN(K$9)+10)&amp;":"&amp;ADDRESS(1000,COLUMN(K$9)+10))),
SUMIF(INDIRECT(Equipo!$E$4&amp;"!B10:B1000"),$B199,INDIRECT(Equipo!$E$4&amp;"!"&amp;ADDRESS(10,COLUMN(K$9)+10)&amp;":"&amp;ADDRESS(1000,COLUMN(K$9)+10))),
SUMIF(INDIRECT(Equipo!$F$4&amp;"!B10:B1000"),$B199,INDIRECT(Equipo!$F$4&amp;"!"&amp;ADDRESS(10,COLUMN(K$9)+10)&amp;":"&amp;ADDRESS(1000,COLUMN(K$9)+10))),
SUMIF(INDIRECT(Equipo!$G$4&amp;"!B10:B1000"),$B199,INDIRECT(Equipo!$G$4&amp;"!"&amp;ADDRESS(10,COLUMN(K$9)+10)&amp;":"&amp;ADDRESS(1000,COLUMN(K$9)+10)))
))</f>
        <v>-</v>
      </c>
    </row>
    <row r="200" ht="15.75" customHeight="1">
      <c r="C200" s="19" t="str">
        <f>IF(ISBLANK(Tareas!$B196),"-",SUM(D200:K200))</f>
        <v>-</v>
      </c>
      <c r="D200" s="19" t="str">
        <f t="array" ref="D200">IF(ISBLANK(Tareas!$B196),"-",
SUM(
SUMIF(INDIRECT(Equipo!$C$4&amp;"!B10:B1000"),$B200,INDIRECT(Equipo!$C$4&amp;"!"&amp;ADDRESS(10,COLUMN(D$9)+10)&amp;":"&amp;ADDRESS(1000,COLUMN(D$9)+10))),
SUMIF(INDIRECT(Equipo!$D$4&amp;"!B10:B1000"),$B200,INDIRECT(Equipo!$D$4&amp;"!"&amp;ADDRESS(10,COLUMN(D$9)+10)&amp;":"&amp;ADDRESS(1000,COLUMN(D$9)+10))),
SUMIF(INDIRECT(Equipo!$E$4&amp;"!B10:B1000"),$B200,INDIRECT(Equipo!$E$4&amp;"!"&amp;ADDRESS(10,COLUMN(D$9)+10)&amp;":"&amp;ADDRESS(1000,COLUMN(D$9)+10))),
SUMIF(INDIRECT(Equipo!$F$4&amp;"!B10:B1000"),$B200,INDIRECT(Equipo!$F$4&amp;"!"&amp;ADDRESS(10,COLUMN(D$9)+10)&amp;":"&amp;ADDRESS(1000,COLUMN(D$9)+10))),
SUMIF(INDIRECT(Equipo!$G$4&amp;"!B10:B1000"),$B200,INDIRECT(Equipo!$G$4&amp;"!"&amp;ADDRESS(10,COLUMN(D$9)+10)&amp;":"&amp;ADDRESS(1000,COLUMN(D$9)+10)))
))</f>
        <v>-</v>
      </c>
      <c r="E200" s="19" t="str">
        <f t="array" ref="E200">IF(ISBLANK(Tareas!$B196),"-",
SUM(
SUMIF(INDIRECT(Equipo!$C$4&amp;"!B10:B1000"),$B200,INDIRECT(Equipo!$C$4&amp;"!"&amp;ADDRESS(10,COLUMN(E$9)+10)&amp;":"&amp;ADDRESS(1000,COLUMN(E$9)+10))),
SUMIF(INDIRECT(Equipo!$D$4&amp;"!B10:B1000"),$B200,INDIRECT(Equipo!$D$4&amp;"!"&amp;ADDRESS(10,COLUMN(E$9)+10)&amp;":"&amp;ADDRESS(1000,COLUMN(E$9)+10))),
SUMIF(INDIRECT(Equipo!$E$4&amp;"!B10:B1000"),$B200,INDIRECT(Equipo!$E$4&amp;"!"&amp;ADDRESS(10,COLUMN(E$9)+10)&amp;":"&amp;ADDRESS(1000,COLUMN(E$9)+10))),
SUMIF(INDIRECT(Equipo!$F$4&amp;"!B10:B1000"),$B200,INDIRECT(Equipo!$F$4&amp;"!"&amp;ADDRESS(10,COLUMN(E$9)+10)&amp;":"&amp;ADDRESS(1000,COLUMN(E$9)+10))),
SUMIF(INDIRECT(Equipo!$G$4&amp;"!B10:B1000"),$B200,INDIRECT(Equipo!$G$4&amp;"!"&amp;ADDRESS(10,COLUMN(E$9)+10)&amp;":"&amp;ADDRESS(1000,COLUMN(E$9)+10)))
))</f>
        <v>-</v>
      </c>
      <c r="F200" s="19" t="str">
        <f t="array" ref="F200">IF(ISBLANK(Tareas!$B196),"-",
SUM(
SUMIF(INDIRECT(Equipo!$C$4&amp;"!B10:B1000"),$B200,INDIRECT(Equipo!$C$4&amp;"!"&amp;ADDRESS(10,COLUMN(F$9)+10)&amp;":"&amp;ADDRESS(1000,COLUMN(F$9)+10))),
SUMIF(INDIRECT(Equipo!$D$4&amp;"!B10:B1000"),$B200,INDIRECT(Equipo!$D$4&amp;"!"&amp;ADDRESS(10,COLUMN(F$9)+10)&amp;":"&amp;ADDRESS(1000,COLUMN(F$9)+10))),
SUMIF(INDIRECT(Equipo!$E$4&amp;"!B10:B1000"),$B200,INDIRECT(Equipo!$E$4&amp;"!"&amp;ADDRESS(10,COLUMN(F$9)+10)&amp;":"&amp;ADDRESS(1000,COLUMN(F$9)+10))),
SUMIF(INDIRECT(Equipo!$F$4&amp;"!B10:B1000"),$B200,INDIRECT(Equipo!$F$4&amp;"!"&amp;ADDRESS(10,COLUMN(F$9)+10)&amp;":"&amp;ADDRESS(1000,COLUMN(F$9)+10))),
SUMIF(INDIRECT(Equipo!$G$4&amp;"!B10:B1000"),$B200,INDIRECT(Equipo!$G$4&amp;"!"&amp;ADDRESS(10,COLUMN(F$9)+10)&amp;":"&amp;ADDRESS(1000,COLUMN(F$9)+10)))
))</f>
        <v>-</v>
      </c>
      <c r="G200" s="19" t="str">
        <f t="array" ref="G200">IF(ISBLANK(Tareas!$B196),"-",
SUM(
SUMIF(INDIRECT(Equipo!$C$4&amp;"!B10:B1000"),$B200,INDIRECT(Equipo!$C$4&amp;"!"&amp;ADDRESS(10,COLUMN(G$9)+10)&amp;":"&amp;ADDRESS(1000,COLUMN(G$9)+10))),
SUMIF(INDIRECT(Equipo!$D$4&amp;"!B10:B1000"),$B200,INDIRECT(Equipo!$D$4&amp;"!"&amp;ADDRESS(10,COLUMN(G$9)+10)&amp;":"&amp;ADDRESS(1000,COLUMN(G$9)+10))),
SUMIF(INDIRECT(Equipo!$E$4&amp;"!B10:B1000"),$B200,INDIRECT(Equipo!$E$4&amp;"!"&amp;ADDRESS(10,COLUMN(G$9)+10)&amp;":"&amp;ADDRESS(1000,COLUMN(G$9)+10))),
SUMIF(INDIRECT(Equipo!$F$4&amp;"!B10:B1000"),$B200,INDIRECT(Equipo!$F$4&amp;"!"&amp;ADDRESS(10,COLUMN(G$9)+10)&amp;":"&amp;ADDRESS(1000,COLUMN(G$9)+10))),
SUMIF(INDIRECT(Equipo!$G$4&amp;"!B10:B1000"),$B200,INDIRECT(Equipo!$G$4&amp;"!"&amp;ADDRESS(10,COLUMN(G$9)+10)&amp;":"&amp;ADDRESS(1000,COLUMN(G$9)+10)))
))</f>
        <v>-</v>
      </c>
      <c r="H200" s="19" t="str">
        <f t="array" ref="H200">IF(ISBLANK(Tareas!$B196),"-",
SUM(
SUMIF(INDIRECT(Equipo!$C$4&amp;"!B10:B1000"),$B200,INDIRECT(Equipo!$C$4&amp;"!"&amp;ADDRESS(10,COLUMN(H$9)+10)&amp;":"&amp;ADDRESS(1000,COLUMN(H$9)+10))),
SUMIF(INDIRECT(Equipo!$D$4&amp;"!B10:B1000"),$B200,INDIRECT(Equipo!$D$4&amp;"!"&amp;ADDRESS(10,COLUMN(H$9)+10)&amp;":"&amp;ADDRESS(1000,COLUMN(H$9)+10))),
SUMIF(INDIRECT(Equipo!$E$4&amp;"!B10:B1000"),$B200,INDIRECT(Equipo!$E$4&amp;"!"&amp;ADDRESS(10,COLUMN(H$9)+10)&amp;":"&amp;ADDRESS(1000,COLUMN(H$9)+10))),
SUMIF(INDIRECT(Equipo!$F$4&amp;"!B10:B1000"),$B200,INDIRECT(Equipo!$F$4&amp;"!"&amp;ADDRESS(10,COLUMN(H$9)+10)&amp;":"&amp;ADDRESS(1000,COLUMN(H$9)+10))),
SUMIF(INDIRECT(Equipo!$G$4&amp;"!B10:B1000"),$B200,INDIRECT(Equipo!$G$4&amp;"!"&amp;ADDRESS(10,COLUMN(H$9)+10)&amp;":"&amp;ADDRESS(1000,COLUMN(H$9)+10)))
))</f>
        <v>-</v>
      </c>
      <c r="I200" s="19" t="str">
        <f t="array" ref="I200">IF(ISBLANK(Tareas!$B196),"-",
SUM(
SUMIF(INDIRECT(Equipo!$C$4&amp;"!B10:B1000"),$B200,INDIRECT(Equipo!$C$4&amp;"!"&amp;ADDRESS(10,COLUMN(I$9)+10)&amp;":"&amp;ADDRESS(1000,COLUMN(I$9)+10))),
SUMIF(INDIRECT(Equipo!$D$4&amp;"!B10:B1000"),$B200,INDIRECT(Equipo!$D$4&amp;"!"&amp;ADDRESS(10,COLUMN(I$9)+10)&amp;":"&amp;ADDRESS(1000,COLUMN(I$9)+10))),
SUMIF(INDIRECT(Equipo!$E$4&amp;"!B10:B1000"),$B200,INDIRECT(Equipo!$E$4&amp;"!"&amp;ADDRESS(10,COLUMN(I$9)+10)&amp;":"&amp;ADDRESS(1000,COLUMN(I$9)+10))),
SUMIF(INDIRECT(Equipo!$F$4&amp;"!B10:B1000"),$B200,INDIRECT(Equipo!$F$4&amp;"!"&amp;ADDRESS(10,COLUMN(I$9)+10)&amp;":"&amp;ADDRESS(1000,COLUMN(I$9)+10))),
SUMIF(INDIRECT(Equipo!$G$4&amp;"!B10:B1000"),$B200,INDIRECT(Equipo!$G$4&amp;"!"&amp;ADDRESS(10,COLUMN(I$9)+10)&amp;":"&amp;ADDRESS(1000,COLUMN(I$9)+10)))
))</f>
        <v>-</v>
      </c>
      <c r="J200" s="19" t="str">
        <f t="array" ref="J200">IF(ISBLANK(Tareas!$B196),"-",
SUM(
SUMIF(INDIRECT(Equipo!$C$4&amp;"!B10:B1000"),$B200,INDIRECT(Equipo!$C$4&amp;"!"&amp;ADDRESS(10,COLUMN(J$9)+10)&amp;":"&amp;ADDRESS(1000,COLUMN(J$9)+10))),
SUMIF(INDIRECT(Equipo!$D$4&amp;"!B10:B1000"),$B200,INDIRECT(Equipo!$D$4&amp;"!"&amp;ADDRESS(10,COLUMN(J$9)+10)&amp;":"&amp;ADDRESS(1000,COLUMN(J$9)+10))),
SUMIF(INDIRECT(Equipo!$E$4&amp;"!B10:B1000"),$B200,INDIRECT(Equipo!$E$4&amp;"!"&amp;ADDRESS(10,COLUMN(J$9)+10)&amp;":"&amp;ADDRESS(1000,COLUMN(J$9)+10))),
SUMIF(INDIRECT(Equipo!$F$4&amp;"!B10:B1000"),$B200,INDIRECT(Equipo!$F$4&amp;"!"&amp;ADDRESS(10,COLUMN(J$9)+10)&amp;":"&amp;ADDRESS(1000,COLUMN(J$9)+10))),
SUMIF(INDIRECT(Equipo!$G$4&amp;"!B10:B1000"),$B200,INDIRECT(Equipo!$G$4&amp;"!"&amp;ADDRESS(10,COLUMN(J$9)+10)&amp;":"&amp;ADDRESS(1000,COLUMN(J$9)+10)))
))</f>
        <v>-</v>
      </c>
      <c r="K200" s="19" t="str">
        <f t="array" ref="K200">IF(ISBLANK(Tareas!$B196),"-",
SUM(
SUMIF(INDIRECT(Equipo!$C$4&amp;"!B10:B1000"),$B200,INDIRECT(Equipo!$C$4&amp;"!"&amp;ADDRESS(10,COLUMN(K$9)+10)&amp;":"&amp;ADDRESS(1000,COLUMN(K$9)+10))),
SUMIF(INDIRECT(Equipo!$D$4&amp;"!B10:B1000"),$B200,INDIRECT(Equipo!$D$4&amp;"!"&amp;ADDRESS(10,COLUMN(K$9)+10)&amp;":"&amp;ADDRESS(1000,COLUMN(K$9)+10))),
SUMIF(INDIRECT(Equipo!$E$4&amp;"!B10:B1000"),$B200,INDIRECT(Equipo!$E$4&amp;"!"&amp;ADDRESS(10,COLUMN(K$9)+10)&amp;":"&amp;ADDRESS(1000,COLUMN(K$9)+10))),
SUMIF(INDIRECT(Equipo!$F$4&amp;"!B10:B1000"),$B200,INDIRECT(Equipo!$F$4&amp;"!"&amp;ADDRESS(10,COLUMN(K$9)+10)&amp;":"&amp;ADDRESS(1000,COLUMN(K$9)+10))),
SUMIF(INDIRECT(Equipo!$G$4&amp;"!B10:B1000"),$B200,INDIRECT(Equipo!$G$4&amp;"!"&amp;ADDRESS(10,COLUMN(K$9)+10)&amp;":"&amp;ADDRESS(1000,COLUMN(K$9)+10)))
))</f>
        <v>-</v>
      </c>
    </row>
    <row r="201" ht="15.75" customHeight="1">
      <c r="B201" s="1" t="s">
        <v>61</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10:K200">
    <cfRule type="cellIs" dxfId="0" priority="1" operator="equal">
      <formula>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0.56"/>
    <col customWidth="1" min="2" max="2" width="39.78"/>
    <col customWidth="1" min="3" max="3" width="10.56"/>
    <col customWidth="1" min="4" max="4" width="11.44"/>
    <col customWidth="1" min="5" max="26" width="10.56"/>
  </cols>
  <sheetData>
    <row r="1" ht="15.75" customHeight="1">
      <c r="A1" s="3" t="s">
        <v>145</v>
      </c>
    </row>
    <row r="2" ht="15.75" customHeight="1">
      <c r="B2" s="1" t="s">
        <v>146</v>
      </c>
    </row>
    <row r="3" ht="15.75" customHeight="1">
      <c r="B3" s="1" t="s">
        <v>77</v>
      </c>
    </row>
    <row r="4" ht="15.75" customHeight="1"/>
    <row r="5" ht="15.75" customHeight="1"/>
    <row r="6" ht="15.75" customHeight="1"/>
    <row r="7" ht="15.75" customHeight="1">
      <c r="A7" s="4" t="s">
        <v>147</v>
      </c>
      <c r="C7" s="42" t="s">
        <v>148</v>
      </c>
      <c r="D7" s="19">
        <f>D8</f>
        <v>7.6</v>
      </c>
      <c r="E7" s="19">
        <f t="shared" ref="E7:K7" si="1">D7+E8</f>
        <v>13.1</v>
      </c>
      <c r="F7" s="19">
        <f t="shared" si="1"/>
        <v>28.3</v>
      </c>
      <c r="G7" s="19">
        <f t="shared" si="1"/>
        <v>42.1</v>
      </c>
      <c r="H7" s="19">
        <f t="shared" si="1"/>
        <v>51.8</v>
      </c>
      <c r="I7" s="19">
        <f t="shared" si="1"/>
        <v>58.7</v>
      </c>
      <c r="J7" s="19">
        <f t="shared" si="1"/>
        <v>69.2</v>
      </c>
      <c r="K7" s="19">
        <f t="shared" si="1"/>
        <v>79.3</v>
      </c>
    </row>
    <row r="8" ht="15.75" customHeight="1">
      <c r="C8" s="42" t="s">
        <v>149</v>
      </c>
      <c r="D8" s="19">
        <f t="shared" ref="D8:K8" si="2">SUM(D10:D1000)</f>
        <v>7.6</v>
      </c>
      <c r="E8" s="19">
        <f t="shared" si="2"/>
        <v>5.5</v>
      </c>
      <c r="F8" s="19">
        <f t="shared" si="2"/>
        <v>15.2</v>
      </c>
      <c r="G8" s="19">
        <f t="shared" si="2"/>
        <v>13.8</v>
      </c>
      <c r="H8" s="19">
        <f t="shared" si="2"/>
        <v>9.7</v>
      </c>
      <c r="I8" s="19">
        <f t="shared" si="2"/>
        <v>6.9</v>
      </c>
      <c r="J8" s="19">
        <f t="shared" si="2"/>
        <v>10.5</v>
      </c>
      <c r="K8" s="19">
        <f t="shared" si="2"/>
        <v>10.1</v>
      </c>
    </row>
    <row r="9" ht="15.75" customHeight="1">
      <c r="B9" s="13" t="s">
        <v>59</v>
      </c>
      <c r="C9" s="13"/>
      <c r="D9" s="13" t="str">
        <f>Informe!D22</f>
        <v>S1</v>
      </c>
      <c r="E9" s="13" t="str">
        <f>Informe!E22</f>
        <v>S2</v>
      </c>
      <c r="F9" s="13" t="str">
        <f>Informe!F22</f>
        <v>S3</v>
      </c>
      <c r="G9" s="13" t="str">
        <f>Informe!G22</f>
        <v>S4</v>
      </c>
      <c r="H9" s="13" t="str">
        <f>Informe!H22</f>
        <v>S5</v>
      </c>
      <c r="I9" s="13" t="str">
        <f>Informe!I22</f>
        <v>S6</v>
      </c>
      <c r="J9" s="13" t="str">
        <f>Informe!J22</f>
        <v>S7</v>
      </c>
      <c r="K9" s="13" t="str">
        <f>Informe!K22</f>
        <v>S8</v>
      </c>
    </row>
    <row r="10" ht="15.75" customHeight="1">
      <c r="B10" s="1" t="str">
        <f>IF(ISBLANK(Tareas!B6)," - ",Tareas!B6)</f>
        <v>1. Reunión 1</v>
      </c>
      <c r="D10" s="19">
        <f t="array" ref="D10">IF(ISBLANK(Tareas!$B6),"-",SUM(
SUMIF(INDIRECT(Equipo!$C$4&amp;"!B10:B1000"),$B10,INDIRECT(Equipo!$C$4&amp;"!"&amp;ADDRESS(10,COLUMN(D$9)-1)&amp;":"&amp;ADDRESS(1000,COLUMN(D$9)-1))),
SUMIF(INDIRECT(Equipo!$D$4&amp;"!B10:B1000"),$B10,INDIRECT(Equipo!$D$4&amp;"!"&amp;ADDRESS(10,COLUMN(D$9)-1)&amp;":"&amp;ADDRESS(1000,COLUMN(D$9)-1))),
SUMIF(INDIRECT(Equipo!$E$4&amp;"!B10:B1000"),$B10,INDIRECT(Equipo!$E$4&amp;"!"&amp;ADDRESS(10,COLUMN(D$9)-1)&amp;":"&amp;ADDRESS(1000,COLUMN(D$9)-1))),
SUMIF(INDIRECT(Equipo!$F$4&amp;"!B10:B1000"),$B10,INDIRECT(Equipo!$F$4&amp;"!"&amp;ADDRESS(10,COLUMN(D$9)-1)&amp;":"&amp;ADDRESS(1000,COLUMN(D$9)-1))),
SUMIF(INDIRECT(Equipo!$G$4&amp;"!B10:B1000"),$B10,INDIRECT(Equipo!$G$4&amp;"!"&amp;ADDRESS(10,COLUMN(D$9)-1)&amp;":"&amp;ADDRESS(1000,COLUMN(D$9)-1)))))</f>
        <v>2.5</v>
      </c>
      <c r="E10" s="19">
        <f t="array" ref="E10">IF(ISBLANK(Tareas!$B6),"-",SUM(
SUMIF(INDIRECT(Equipo!$C$4&amp;"!B10:B1000"),$B10,INDIRECT(Equipo!$C$4&amp;"!"&amp;ADDRESS(10,COLUMN(E$9)-1)&amp;":"&amp;ADDRESS(1000,COLUMN(E$9)-1))),
SUMIF(INDIRECT(Equipo!$D$4&amp;"!B10:B1000"),$B10,INDIRECT(Equipo!$D$4&amp;"!"&amp;ADDRESS(10,COLUMN(E$9)-1)&amp;":"&amp;ADDRESS(1000,COLUMN(E$9)-1))),
SUMIF(INDIRECT(Equipo!$E$4&amp;"!B10:B1000"),$B10,INDIRECT(Equipo!$E$4&amp;"!"&amp;ADDRESS(10,COLUMN(E$9)-1)&amp;":"&amp;ADDRESS(1000,COLUMN(E$9)-1))),
SUMIF(INDIRECT(Equipo!$F$4&amp;"!B10:B1000"),$B10,INDIRECT(Equipo!$F$4&amp;"!"&amp;ADDRESS(10,COLUMN(E$9)-1)&amp;":"&amp;ADDRESS(1000,COLUMN(E$9)-1))),
SUMIF(INDIRECT(Equipo!$G$4&amp;"!B10:B1000"),$B10,INDIRECT(Equipo!$G$4&amp;"!"&amp;ADDRESS(10,COLUMN(E$9)-1)&amp;":"&amp;ADDRESS(1000,COLUMN(E$9)-1)))))</f>
        <v>0</v>
      </c>
      <c r="F10" s="19">
        <f t="array" ref="F10">IF(ISBLANK(Tareas!$B6),"-",SUM(
SUMIF(INDIRECT(Equipo!$C$4&amp;"!B10:B1000"),$B10,INDIRECT(Equipo!$C$4&amp;"!"&amp;ADDRESS(10,COLUMN(F$9)-1)&amp;":"&amp;ADDRESS(1000,COLUMN(F$9)-1))),
SUMIF(INDIRECT(Equipo!$D$4&amp;"!B10:B1000"),$B10,INDIRECT(Equipo!$D$4&amp;"!"&amp;ADDRESS(10,COLUMN(F$9)-1)&amp;":"&amp;ADDRESS(1000,COLUMN(F$9)-1))),
SUMIF(INDIRECT(Equipo!$E$4&amp;"!B10:B1000"),$B10,INDIRECT(Equipo!$E$4&amp;"!"&amp;ADDRESS(10,COLUMN(F$9)-1)&amp;":"&amp;ADDRESS(1000,COLUMN(F$9)-1))),
SUMIF(INDIRECT(Equipo!$F$4&amp;"!B10:B1000"),$B10,INDIRECT(Equipo!$F$4&amp;"!"&amp;ADDRESS(10,COLUMN(F$9)-1)&amp;":"&amp;ADDRESS(1000,COLUMN(F$9)-1))),
SUMIF(INDIRECT(Equipo!$G$4&amp;"!B10:B1000"),$B10,INDIRECT(Equipo!$G$4&amp;"!"&amp;ADDRESS(10,COLUMN(F$9)-1)&amp;":"&amp;ADDRESS(1000,COLUMN(F$9)-1)))))</f>
        <v>0</v>
      </c>
      <c r="G10" s="19">
        <f t="array" ref="G10">IF(ISBLANK(Tareas!$B6),"-",SUM(
SUMIF(INDIRECT(Equipo!$C$4&amp;"!B10:B1000"),$B10,INDIRECT(Equipo!$C$4&amp;"!"&amp;ADDRESS(10,COLUMN(G$9)-1)&amp;":"&amp;ADDRESS(1000,COLUMN(G$9)-1))),
SUMIF(INDIRECT(Equipo!$D$4&amp;"!B10:B1000"),$B10,INDIRECT(Equipo!$D$4&amp;"!"&amp;ADDRESS(10,COLUMN(G$9)-1)&amp;":"&amp;ADDRESS(1000,COLUMN(G$9)-1))),
SUMIF(INDIRECT(Equipo!$E$4&amp;"!B10:B1000"),$B10,INDIRECT(Equipo!$E$4&amp;"!"&amp;ADDRESS(10,COLUMN(G$9)-1)&amp;":"&amp;ADDRESS(1000,COLUMN(G$9)-1))),
SUMIF(INDIRECT(Equipo!$F$4&amp;"!B10:B1000"),$B10,INDIRECT(Equipo!$F$4&amp;"!"&amp;ADDRESS(10,COLUMN(G$9)-1)&amp;":"&amp;ADDRESS(1000,COLUMN(G$9)-1))),
SUMIF(INDIRECT(Equipo!$G$4&amp;"!B10:B1000"),$B10,INDIRECT(Equipo!$G$4&amp;"!"&amp;ADDRESS(10,COLUMN(G$9)-1)&amp;":"&amp;ADDRESS(1000,COLUMN(G$9)-1)))))</f>
        <v>0</v>
      </c>
      <c r="H10" s="19">
        <f t="array" ref="H10">IF(ISBLANK(Tareas!$B6),"-",SUM(
SUMIF(INDIRECT(Equipo!$C$4&amp;"!B10:B1000"),$B10,INDIRECT(Equipo!$C$4&amp;"!"&amp;ADDRESS(10,COLUMN(H$9)-1)&amp;":"&amp;ADDRESS(1000,COLUMN(H$9)-1))),
SUMIF(INDIRECT(Equipo!$D$4&amp;"!B10:B1000"),$B10,INDIRECT(Equipo!$D$4&amp;"!"&amp;ADDRESS(10,COLUMN(H$9)-1)&amp;":"&amp;ADDRESS(1000,COLUMN(H$9)-1))),
SUMIF(INDIRECT(Equipo!$E$4&amp;"!B10:B1000"),$B10,INDIRECT(Equipo!$E$4&amp;"!"&amp;ADDRESS(10,COLUMN(H$9)-1)&amp;":"&amp;ADDRESS(1000,COLUMN(H$9)-1))),
SUMIF(INDIRECT(Equipo!$F$4&amp;"!B10:B1000"),$B10,INDIRECT(Equipo!$F$4&amp;"!"&amp;ADDRESS(10,COLUMN(H$9)-1)&amp;":"&amp;ADDRESS(1000,COLUMN(H$9)-1))),
SUMIF(INDIRECT(Equipo!$G$4&amp;"!B10:B1000"),$B10,INDIRECT(Equipo!$G$4&amp;"!"&amp;ADDRESS(10,COLUMN(H$9)-1)&amp;":"&amp;ADDRESS(1000,COLUMN(H$9)-1)))))</f>
        <v>0</v>
      </c>
      <c r="I10" s="19">
        <f t="array" ref="I10">IF(ISBLANK(Tareas!$B6),"-",SUM(
SUMIF(INDIRECT(Equipo!$C$4&amp;"!B10:B1000"),$B10,INDIRECT(Equipo!$C$4&amp;"!"&amp;ADDRESS(10,COLUMN(I$9)-1)&amp;":"&amp;ADDRESS(1000,COLUMN(I$9)-1))),
SUMIF(INDIRECT(Equipo!$D$4&amp;"!B10:B1000"),$B10,INDIRECT(Equipo!$D$4&amp;"!"&amp;ADDRESS(10,COLUMN(I$9)-1)&amp;":"&amp;ADDRESS(1000,COLUMN(I$9)-1))),
SUMIF(INDIRECT(Equipo!$E$4&amp;"!B10:B1000"),$B10,INDIRECT(Equipo!$E$4&amp;"!"&amp;ADDRESS(10,COLUMN(I$9)-1)&amp;":"&amp;ADDRESS(1000,COLUMN(I$9)-1))),
SUMIF(INDIRECT(Equipo!$F$4&amp;"!B10:B1000"),$B10,INDIRECT(Equipo!$F$4&amp;"!"&amp;ADDRESS(10,COLUMN(I$9)-1)&amp;":"&amp;ADDRESS(1000,COLUMN(I$9)-1))),
SUMIF(INDIRECT(Equipo!$G$4&amp;"!B10:B1000"),$B10,INDIRECT(Equipo!$G$4&amp;"!"&amp;ADDRESS(10,COLUMN(I$9)-1)&amp;":"&amp;ADDRESS(1000,COLUMN(I$9)-1)))))</f>
        <v>0</v>
      </c>
      <c r="J10" s="19">
        <f t="array" ref="J10">IF(ISBLANK(Tareas!$B6),"-",SUM(
SUMIF(INDIRECT(Equipo!$C$4&amp;"!B10:B1000"),$B10,INDIRECT(Equipo!$C$4&amp;"!"&amp;ADDRESS(10,COLUMN(J$9)-1)&amp;":"&amp;ADDRESS(1000,COLUMN(J$9)-1))),
SUMIF(INDIRECT(Equipo!$D$4&amp;"!B10:B1000"),$B10,INDIRECT(Equipo!$D$4&amp;"!"&amp;ADDRESS(10,COLUMN(J$9)-1)&amp;":"&amp;ADDRESS(1000,COLUMN(J$9)-1))),
SUMIF(INDIRECT(Equipo!$E$4&amp;"!B10:B1000"),$B10,INDIRECT(Equipo!$E$4&amp;"!"&amp;ADDRESS(10,COLUMN(J$9)-1)&amp;":"&amp;ADDRESS(1000,COLUMN(J$9)-1))),
SUMIF(INDIRECT(Equipo!$F$4&amp;"!B10:B1000"),$B10,INDIRECT(Equipo!$F$4&amp;"!"&amp;ADDRESS(10,COLUMN(J$9)-1)&amp;":"&amp;ADDRESS(1000,COLUMN(J$9)-1))),
SUMIF(INDIRECT(Equipo!$G$4&amp;"!B10:B1000"),$B10,INDIRECT(Equipo!$G$4&amp;"!"&amp;ADDRESS(10,COLUMN(J$9)-1)&amp;":"&amp;ADDRESS(1000,COLUMN(J$9)-1)))))</f>
        <v>0</v>
      </c>
      <c r="K10" s="19">
        <f t="array" ref="K10">IF(ISBLANK(Tareas!$B6),"-",SUM(
SUMIF(INDIRECT(Equipo!$C$4&amp;"!B10:B1000"),$B10,INDIRECT(Equipo!$C$4&amp;"!"&amp;ADDRESS(10,COLUMN(K$9)-1)&amp;":"&amp;ADDRESS(1000,COLUMN(K$9)-1))),
SUMIF(INDIRECT(Equipo!$D$4&amp;"!B10:B1000"),$B10,INDIRECT(Equipo!$D$4&amp;"!"&amp;ADDRESS(10,COLUMN(K$9)-1)&amp;":"&amp;ADDRESS(1000,COLUMN(K$9)-1))),
SUMIF(INDIRECT(Equipo!$E$4&amp;"!B10:B1000"),$B10,INDIRECT(Equipo!$E$4&amp;"!"&amp;ADDRESS(10,COLUMN(K$9)-1)&amp;":"&amp;ADDRESS(1000,COLUMN(K$9)-1))),
SUMIF(INDIRECT(Equipo!$F$4&amp;"!B10:B1000"),$B10,INDIRECT(Equipo!$F$4&amp;"!"&amp;ADDRESS(10,COLUMN(K$9)-1)&amp;":"&amp;ADDRESS(1000,COLUMN(K$9)-1))),
SUMIF(INDIRECT(Equipo!$G$4&amp;"!B10:B1000"),$B10,INDIRECT(Equipo!$G$4&amp;"!"&amp;ADDRESS(10,COLUMN(K$9)-1)&amp;":"&amp;ADDRESS(1000,COLUMN(K$9)-1)))))</f>
        <v>0</v>
      </c>
    </row>
    <row r="11" ht="15.75" customHeight="1">
      <c r="B11" s="1" t="str">
        <f>IF(ISBLANK(Tareas!B7)," - ",Tareas!B7)</f>
        <v>2. Asignación de roles</v>
      </c>
      <c r="D11" s="19">
        <f t="array" ref="D11">IF(ISBLANK(Tareas!$B7),"-",SUM(
SUMIF(INDIRECT(Equipo!$C$4&amp;"!B10:B1000"),$B11,INDIRECT(Equipo!$C$4&amp;"!"&amp;ADDRESS(10,COLUMN(D$9)-1)&amp;":"&amp;ADDRESS(1000,COLUMN(D$9)-1))),
SUMIF(INDIRECT(Equipo!$D$4&amp;"!B10:B1000"),$B11,INDIRECT(Equipo!$D$4&amp;"!"&amp;ADDRESS(10,COLUMN(D$9)-1)&amp;":"&amp;ADDRESS(1000,COLUMN(D$9)-1))),
SUMIF(INDIRECT(Equipo!$E$4&amp;"!B10:B1000"),$B11,INDIRECT(Equipo!$E$4&amp;"!"&amp;ADDRESS(10,COLUMN(D$9)-1)&amp;":"&amp;ADDRESS(1000,COLUMN(D$9)-1))),
SUMIF(INDIRECT(Equipo!$F$4&amp;"!B10:B1000"),$B11,INDIRECT(Equipo!$F$4&amp;"!"&amp;ADDRESS(10,COLUMN(D$9)-1)&amp;":"&amp;ADDRESS(1000,COLUMN(D$9)-1))),
SUMIF(INDIRECT(Equipo!$G$4&amp;"!B10:B1000"),$B11,INDIRECT(Equipo!$G$4&amp;"!"&amp;ADDRESS(10,COLUMN(D$9)-1)&amp;":"&amp;ADDRESS(1000,COLUMN(D$9)-1)))))</f>
        <v>1.5</v>
      </c>
      <c r="E11" s="19">
        <f t="array" ref="E11">IF(ISBLANK(Tareas!$B7),"-",SUM(
SUMIF(INDIRECT(Equipo!$C$4&amp;"!B10:B1000"),$B11,INDIRECT(Equipo!$C$4&amp;"!"&amp;ADDRESS(10,COLUMN(E$9)-1)&amp;":"&amp;ADDRESS(1000,COLUMN(E$9)-1))),
SUMIF(INDIRECT(Equipo!$D$4&amp;"!B10:B1000"),$B11,INDIRECT(Equipo!$D$4&amp;"!"&amp;ADDRESS(10,COLUMN(E$9)-1)&amp;":"&amp;ADDRESS(1000,COLUMN(E$9)-1))),
SUMIF(INDIRECT(Equipo!$E$4&amp;"!B10:B1000"),$B11,INDIRECT(Equipo!$E$4&amp;"!"&amp;ADDRESS(10,COLUMN(E$9)-1)&amp;":"&amp;ADDRESS(1000,COLUMN(E$9)-1))),
SUMIF(INDIRECT(Equipo!$F$4&amp;"!B10:B1000"),$B11,INDIRECT(Equipo!$F$4&amp;"!"&amp;ADDRESS(10,COLUMN(E$9)-1)&amp;":"&amp;ADDRESS(1000,COLUMN(E$9)-1))),
SUMIF(INDIRECT(Equipo!$G$4&amp;"!B10:B1000"),$B11,INDIRECT(Equipo!$G$4&amp;"!"&amp;ADDRESS(10,COLUMN(E$9)-1)&amp;":"&amp;ADDRESS(1000,COLUMN(E$9)-1)))))</f>
        <v>0</v>
      </c>
      <c r="F11" s="19">
        <f t="array" ref="F11">IF(ISBLANK(Tareas!$B7),"-",SUM(
SUMIF(INDIRECT(Equipo!$C$4&amp;"!B10:B1000"),$B11,INDIRECT(Equipo!$C$4&amp;"!"&amp;ADDRESS(10,COLUMN(F$9)-1)&amp;":"&amp;ADDRESS(1000,COLUMN(F$9)-1))),
SUMIF(INDIRECT(Equipo!$D$4&amp;"!B10:B1000"),$B11,INDIRECT(Equipo!$D$4&amp;"!"&amp;ADDRESS(10,COLUMN(F$9)-1)&amp;":"&amp;ADDRESS(1000,COLUMN(F$9)-1))),
SUMIF(INDIRECT(Equipo!$E$4&amp;"!B10:B1000"),$B11,INDIRECT(Equipo!$E$4&amp;"!"&amp;ADDRESS(10,COLUMN(F$9)-1)&amp;":"&amp;ADDRESS(1000,COLUMN(F$9)-1))),
SUMIF(INDIRECT(Equipo!$F$4&amp;"!B10:B1000"),$B11,INDIRECT(Equipo!$F$4&amp;"!"&amp;ADDRESS(10,COLUMN(F$9)-1)&amp;":"&amp;ADDRESS(1000,COLUMN(F$9)-1))),
SUMIF(INDIRECT(Equipo!$G$4&amp;"!B10:B1000"),$B11,INDIRECT(Equipo!$G$4&amp;"!"&amp;ADDRESS(10,COLUMN(F$9)-1)&amp;":"&amp;ADDRESS(1000,COLUMN(F$9)-1)))))</f>
        <v>0</v>
      </c>
      <c r="G11" s="19">
        <f t="array" ref="G11">IF(ISBLANK(Tareas!$B7),"-",SUM(
SUMIF(INDIRECT(Equipo!$C$4&amp;"!B10:B1000"),$B11,INDIRECT(Equipo!$C$4&amp;"!"&amp;ADDRESS(10,COLUMN(G$9)-1)&amp;":"&amp;ADDRESS(1000,COLUMN(G$9)-1))),
SUMIF(INDIRECT(Equipo!$D$4&amp;"!B10:B1000"),$B11,INDIRECT(Equipo!$D$4&amp;"!"&amp;ADDRESS(10,COLUMN(G$9)-1)&amp;":"&amp;ADDRESS(1000,COLUMN(G$9)-1))),
SUMIF(INDIRECT(Equipo!$E$4&amp;"!B10:B1000"),$B11,INDIRECT(Equipo!$E$4&amp;"!"&amp;ADDRESS(10,COLUMN(G$9)-1)&amp;":"&amp;ADDRESS(1000,COLUMN(G$9)-1))),
SUMIF(INDIRECT(Equipo!$F$4&amp;"!B10:B1000"),$B11,INDIRECT(Equipo!$F$4&amp;"!"&amp;ADDRESS(10,COLUMN(G$9)-1)&amp;":"&amp;ADDRESS(1000,COLUMN(G$9)-1))),
SUMIF(INDIRECT(Equipo!$G$4&amp;"!B10:B1000"),$B11,INDIRECT(Equipo!$G$4&amp;"!"&amp;ADDRESS(10,COLUMN(G$9)-1)&amp;":"&amp;ADDRESS(1000,COLUMN(G$9)-1)))))</f>
        <v>0</v>
      </c>
      <c r="H11" s="19">
        <f t="array" ref="H11">IF(ISBLANK(Tareas!$B7),"-",SUM(
SUMIF(INDIRECT(Equipo!$C$4&amp;"!B10:B1000"),$B11,INDIRECT(Equipo!$C$4&amp;"!"&amp;ADDRESS(10,COLUMN(H$9)-1)&amp;":"&amp;ADDRESS(1000,COLUMN(H$9)-1))),
SUMIF(INDIRECT(Equipo!$D$4&amp;"!B10:B1000"),$B11,INDIRECT(Equipo!$D$4&amp;"!"&amp;ADDRESS(10,COLUMN(H$9)-1)&amp;":"&amp;ADDRESS(1000,COLUMN(H$9)-1))),
SUMIF(INDIRECT(Equipo!$E$4&amp;"!B10:B1000"),$B11,INDIRECT(Equipo!$E$4&amp;"!"&amp;ADDRESS(10,COLUMN(H$9)-1)&amp;":"&amp;ADDRESS(1000,COLUMN(H$9)-1))),
SUMIF(INDIRECT(Equipo!$F$4&amp;"!B10:B1000"),$B11,INDIRECT(Equipo!$F$4&amp;"!"&amp;ADDRESS(10,COLUMN(H$9)-1)&amp;":"&amp;ADDRESS(1000,COLUMN(H$9)-1))),
SUMIF(INDIRECT(Equipo!$G$4&amp;"!B10:B1000"),$B11,INDIRECT(Equipo!$G$4&amp;"!"&amp;ADDRESS(10,COLUMN(H$9)-1)&amp;":"&amp;ADDRESS(1000,COLUMN(H$9)-1)))))</f>
        <v>0</v>
      </c>
      <c r="I11" s="19">
        <f t="array" ref="I11">IF(ISBLANK(Tareas!$B7),"-",SUM(
SUMIF(INDIRECT(Equipo!$C$4&amp;"!B10:B1000"),$B11,INDIRECT(Equipo!$C$4&amp;"!"&amp;ADDRESS(10,COLUMN(I$9)-1)&amp;":"&amp;ADDRESS(1000,COLUMN(I$9)-1))),
SUMIF(INDIRECT(Equipo!$D$4&amp;"!B10:B1000"),$B11,INDIRECT(Equipo!$D$4&amp;"!"&amp;ADDRESS(10,COLUMN(I$9)-1)&amp;":"&amp;ADDRESS(1000,COLUMN(I$9)-1))),
SUMIF(INDIRECT(Equipo!$E$4&amp;"!B10:B1000"),$B11,INDIRECT(Equipo!$E$4&amp;"!"&amp;ADDRESS(10,COLUMN(I$9)-1)&amp;":"&amp;ADDRESS(1000,COLUMN(I$9)-1))),
SUMIF(INDIRECT(Equipo!$F$4&amp;"!B10:B1000"),$B11,INDIRECT(Equipo!$F$4&amp;"!"&amp;ADDRESS(10,COLUMN(I$9)-1)&amp;":"&amp;ADDRESS(1000,COLUMN(I$9)-1))),
SUMIF(INDIRECT(Equipo!$G$4&amp;"!B10:B1000"),$B11,INDIRECT(Equipo!$G$4&amp;"!"&amp;ADDRESS(10,COLUMN(I$9)-1)&amp;":"&amp;ADDRESS(1000,COLUMN(I$9)-1)))))</f>
        <v>0</v>
      </c>
      <c r="J11" s="19">
        <f t="array" ref="J11">IF(ISBLANK(Tareas!$B7),"-",SUM(
SUMIF(INDIRECT(Equipo!$C$4&amp;"!B10:B1000"),$B11,INDIRECT(Equipo!$C$4&amp;"!"&amp;ADDRESS(10,COLUMN(J$9)-1)&amp;":"&amp;ADDRESS(1000,COLUMN(J$9)-1))),
SUMIF(INDIRECT(Equipo!$D$4&amp;"!B10:B1000"),$B11,INDIRECT(Equipo!$D$4&amp;"!"&amp;ADDRESS(10,COLUMN(J$9)-1)&amp;":"&amp;ADDRESS(1000,COLUMN(J$9)-1))),
SUMIF(INDIRECT(Equipo!$E$4&amp;"!B10:B1000"),$B11,INDIRECT(Equipo!$E$4&amp;"!"&amp;ADDRESS(10,COLUMN(J$9)-1)&amp;":"&amp;ADDRESS(1000,COLUMN(J$9)-1))),
SUMIF(INDIRECT(Equipo!$F$4&amp;"!B10:B1000"),$B11,INDIRECT(Equipo!$F$4&amp;"!"&amp;ADDRESS(10,COLUMN(J$9)-1)&amp;":"&amp;ADDRESS(1000,COLUMN(J$9)-1))),
SUMIF(INDIRECT(Equipo!$G$4&amp;"!B10:B1000"),$B11,INDIRECT(Equipo!$G$4&amp;"!"&amp;ADDRESS(10,COLUMN(J$9)-1)&amp;":"&amp;ADDRESS(1000,COLUMN(J$9)-1)))))</f>
        <v>0</v>
      </c>
      <c r="K11" s="19">
        <f t="array" ref="K11">IF(ISBLANK(Tareas!$B7),"-",SUM(
SUMIF(INDIRECT(Equipo!$C$4&amp;"!B10:B1000"),$B11,INDIRECT(Equipo!$C$4&amp;"!"&amp;ADDRESS(10,COLUMN(K$9)-1)&amp;":"&amp;ADDRESS(1000,COLUMN(K$9)-1))),
SUMIF(INDIRECT(Equipo!$D$4&amp;"!B10:B1000"),$B11,INDIRECT(Equipo!$D$4&amp;"!"&amp;ADDRESS(10,COLUMN(K$9)-1)&amp;":"&amp;ADDRESS(1000,COLUMN(K$9)-1))),
SUMIF(INDIRECT(Equipo!$E$4&amp;"!B10:B1000"),$B11,INDIRECT(Equipo!$E$4&amp;"!"&amp;ADDRESS(10,COLUMN(K$9)-1)&amp;":"&amp;ADDRESS(1000,COLUMN(K$9)-1))),
SUMIF(INDIRECT(Equipo!$F$4&amp;"!B10:B1000"),$B11,INDIRECT(Equipo!$F$4&amp;"!"&amp;ADDRESS(10,COLUMN(K$9)-1)&amp;":"&amp;ADDRESS(1000,COLUMN(K$9)-1))),
SUMIF(INDIRECT(Equipo!$G$4&amp;"!B10:B1000"),$B11,INDIRECT(Equipo!$G$4&amp;"!"&amp;ADDRESS(10,COLUMN(K$9)-1)&amp;":"&amp;ADDRESS(1000,COLUMN(K$9)-1)))))</f>
        <v>0</v>
      </c>
    </row>
    <row r="12" ht="15.75" customHeight="1">
      <c r="B12" s="1" t="str">
        <f>IF(ISBLANK(Tareas!B8)," - ",Tareas!B8)</f>
        <v>3. Definición del estándar de documentación</v>
      </c>
      <c r="D12" s="19">
        <f t="array" ref="D12">IF(ISBLANK(Tareas!$B8),"-",SUM(
SUMIF(INDIRECT(Equipo!$C$4&amp;"!B10:B1000"),$B12,INDIRECT(Equipo!$C$4&amp;"!"&amp;ADDRESS(10,COLUMN(D$9)-1)&amp;":"&amp;ADDRESS(1000,COLUMN(D$9)-1))),
SUMIF(INDIRECT(Equipo!$D$4&amp;"!B10:B1000"),$B12,INDIRECT(Equipo!$D$4&amp;"!"&amp;ADDRESS(10,COLUMN(D$9)-1)&amp;":"&amp;ADDRESS(1000,COLUMN(D$9)-1))),
SUMIF(INDIRECT(Equipo!$E$4&amp;"!B10:B1000"),$B12,INDIRECT(Equipo!$E$4&amp;"!"&amp;ADDRESS(10,COLUMN(D$9)-1)&amp;":"&amp;ADDRESS(1000,COLUMN(D$9)-1))),
SUMIF(INDIRECT(Equipo!$F$4&amp;"!B10:B1000"),$B12,INDIRECT(Equipo!$F$4&amp;"!"&amp;ADDRESS(10,COLUMN(D$9)-1)&amp;":"&amp;ADDRESS(1000,COLUMN(D$9)-1))),
SUMIF(INDIRECT(Equipo!$G$4&amp;"!B10:B1000"),$B12,INDIRECT(Equipo!$G$4&amp;"!"&amp;ADDRESS(10,COLUMN(D$9)-1)&amp;":"&amp;ADDRESS(1000,COLUMN(D$9)-1)))))</f>
        <v>2</v>
      </c>
      <c r="E12" s="19">
        <f t="array" ref="E12">IF(ISBLANK(Tareas!$B8),"-",SUM(
SUMIF(INDIRECT(Equipo!$C$4&amp;"!B10:B1000"),$B12,INDIRECT(Equipo!$C$4&amp;"!"&amp;ADDRESS(10,COLUMN(E$9)-1)&amp;":"&amp;ADDRESS(1000,COLUMN(E$9)-1))),
SUMIF(INDIRECT(Equipo!$D$4&amp;"!B10:B1000"),$B12,INDIRECT(Equipo!$D$4&amp;"!"&amp;ADDRESS(10,COLUMN(E$9)-1)&amp;":"&amp;ADDRESS(1000,COLUMN(E$9)-1))),
SUMIF(INDIRECT(Equipo!$E$4&amp;"!B10:B1000"),$B12,INDIRECT(Equipo!$E$4&amp;"!"&amp;ADDRESS(10,COLUMN(E$9)-1)&amp;":"&amp;ADDRESS(1000,COLUMN(E$9)-1))),
SUMIF(INDIRECT(Equipo!$F$4&amp;"!B10:B1000"),$B12,INDIRECT(Equipo!$F$4&amp;"!"&amp;ADDRESS(10,COLUMN(E$9)-1)&amp;":"&amp;ADDRESS(1000,COLUMN(E$9)-1))),
SUMIF(INDIRECT(Equipo!$G$4&amp;"!B10:B1000"),$B12,INDIRECT(Equipo!$G$4&amp;"!"&amp;ADDRESS(10,COLUMN(E$9)-1)&amp;":"&amp;ADDRESS(1000,COLUMN(E$9)-1)))))</f>
        <v>0</v>
      </c>
      <c r="F12" s="19">
        <f t="array" ref="F12">IF(ISBLANK(Tareas!$B8),"-",SUM(
SUMIF(INDIRECT(Equipo!$C$4&amp;"!B10:B1000"),$B12,INDIRECT(Equipo!$C$4&amp;"!"&amp;ADDRESS(10,COLUMN(F$9)-1)&amp;":"&amp;ADDRESS(1000,COLUMN(F$9)-1))),
SUMIF(INDIRECT(Equipo!$D$4&amp;"!B10:B1000"),$B12,INDIRECT(Equipo!$D$4&amp;"!"&amp;ADDRESS(10,COLUMN(F$9)-1)&amp;":"&amp;ADDRESS(1000,COLUMN(F$9)-1))),
SUMIF(INDIRECT(Equipo!$E$4&amp;"!B10:B1000"),$B12,INDIRECT(Equipo!$E$4&amp;"!"&amp;ADDRESS(10,COLUMN(F$9)-1)&amp;":"&amp;ADDRESS(1000,COLUMN(F$9)-1))),
SUMIF(INDIRECT(Equipo!$F$4&amp;"!B10:B1000"),$B12,INDIRECT(Equipo!$F$4&amp;"!"&amp;ADDRESS(10,COLUMN(F$9)-1)&amp;":"&amp;ADDRESS(1000,COLUMN(F$9)-1))),
SUMIF(INDIRECT(Equipo!$G$4&amp;"!B10:B1000"),$B12,INDIRECT(Equipo!$G$4&amp;"!"&amp;ADDRESS(10,COLUMN(F$9)-1)&amp;":"&amp;ADDRESS(1000,COLUMN(F$9)-1)))))</f>
        <v>0</v>
      </c>
      <c r="G12" s="19">
        <f t="array" ref="G12">IF(ISBLANK(Tareas!$B8),"-",SUM(
SUMIF(INDIRECT(Equipo!$C$4&amp;"!B10:B1000"),$B12,INDIRECT(Equipo!$C$4&amp;"!"&amp;ADDRESS(10,COLUMN(G$9)-1)&amp;":"&amp;ADDRESS(1000,COLUMN(G$9)-1))),
SUMIF(INDIRECT(Equipo!$D$4&amp;"!B10:B1000"),$B12,INDIRECT(Equipo!$D$4&amp;"!"&amp;ADDRESS(10,COLUMN(G$9)-1)&amp;":"&amp;ADDRESS(1000,COLUMN(G$9)-1))),
SUMIF(INDIRECT(Equipo!$E$4&amp;"!B10:B1000"),$B12,INDIRECT(Equipo!$E$4&amp;"!"&amp;ADDRESS(10,COLUMN(G$9)-1)&amp;":"&amp;ADDRESS(1000,COLUMN(G$9)-1))),
SUMIF(INDIRECT(Equipo!$F$4&amp;"!B10:B1000"),$B12,INDIRECT(Equipo!$F$4&amp;"!"&amp;ADDRESS(10,COLUMN(G$9)-1)&amp;":"&amp;ADDRESS(1000,COLUMN(G$9)-1))),
SUMIF(INDIRECT(Equipo!$G$4&amp;"!B10:B1000"),$B12,INDIRECT(Equipo!$G$4&amp;"!"&amp;ADDRESS(10,COLUMN(G$9)-1)&amp;":"&amp;ADDRESS(1000,COLUMN(G$9)-1)))))</f>
        <v>0</v>
      </c>
      <c r="H12" s="19">
        <f t="array" ref="H12">IF(ISBLANK(Tareas!$B8),"-",SUM(
SUMIF(INDIRECT(Equipo!$C$4&amp;"!B10:B1000"),$B12,INDIRECT(Equipo!$C$4&amp;"!"&amp;ADDRESS(10,COLUMN(H$9)-1)&amp;":"&amp;ADDRESS(1000,COLUMN(H$9)-1))),
SUMIF(INDIRECT(Equipo!$D$4&amp;"!B10:B1000"),$B12,INDIRECT(Equipo!$D$4&amp;"!"&amp;ADDRESS(10,COLUMN(H$9)-1)&amp;":"&amp;ADDRESS(1000,COLUMN(H$9)-1))),
SUMIF(INDIRECT(Equipo!$E$4&amp;"!B10:B1000"),$B12,INDIRECT(Equipo!$E$4&amp;"!"&amp;ADDRESS(10,COLUMN(H$9)-1)&amp;":"&amp;ADDRESS(1000,COLUMN(H$9)-1))),
SUMIF(INDIRECT(Equipo!$F$4&amp;"!B10:B1000"),$B12,INDIRECT(Equipo!$F$4&amp;"!"&amp;ADDRESS(10,COLUMN(H$9)-1)&amp;":"&amp;ADDRESS(1000,COLUMN(H$9)-1))),
SUMIF(INDIRECT(Equipo!$G$4&amp;"!B10:B1000"),$B12,INDIRECT(Equipo!$G$4&amp;"!"&amp;ADDRESS(10,COLUMN(H$9)-1)&amp;":"&amp;ADDRESS(1000,COLUMN(H$9)-1)))))</f>
        <v>0</v>
      </c>
      <c r="I12" s="19">
        <f t="array" ref="I12">IF(ISBLANK(Tareas!$B8),"-",SUM(
SUMIF(INDIRECT(Equipo!$C$4&amp;"!B10:B1000"),$B12,INDIRECT(Equipo!$C$4&amp;"!"&amp;ADDRESS(10,COLUMN(I$9)-1)&amp;":"&amp;ADDRESS(1000,COLUMN(I$9)-1))),
SUMIF(INDIRECT(Equipo!$D$4&amp;"!B10:B1000"),$B12,INDIRECT(Equipo!$D$4&amp;"!"&amp;ADDRESS(10,COLUMN(I$9)-1)&amp;":"&amp;ADDRESS(1000,COLUMN(I$9)-1))),
SUMIF(INDIRECT(Equipo!$E$4&amp;"!B10:B1000"),$B12,INDIRECT(Equipo!$E$4&amp;"!"&amp;ADDRESS(10,COLUMN(I$9)-1)&amp;":"&amp;ADDRESS(1000,COLUMN(I$9)-1))),
SUMIF(INDIRECT(Equipo!$F$4&amp;"!B10:B1000"),$B12,INDIRECT(Equipo!$F$4&amp;"!"&amp;ADDRESS(10,COLUMN(I$9)-1)&amp;":"&amp;ADDRESS(1000,COLUMN(I$9)-1))),
SUMIF(INDIRECT(Equipo!$G$4&amp;"!B10:B1000"),$B12,INDIRECT(Equipo!$G$4&amp;"!"&amp;ADDRESS(10,COLUMN(I$9)-1)&amp;":"&amp;ADDRESS(1000,COLUMN(I$9)-1)))))</f>
        <v>0</v>
      </c>
      <c r="J12" s="19">
        <f t="array" ref="J12">IF(ISBLANK(Tareas!$B8),"-",SUM(
SUMIF(INDIRECT(Equipo!$C$4&amp;"!B10:B1000"),$B12,INDIRECT(Equipo!$C$4&amp;"!"&amp;ADDRESS(10,COLUMN(J$9)-1)&amp;":"&amp;ADDRESS(1000,COLUMN(J$9)-1))),
SUMIF(INDIRECT(Equipo!$D$4&amp;"!B10:B1000"),$B12,INDIRECT(Equipo!$D$4&amp;"!"&amp;ADDRESS(10,COLUMN(J$9)-1)&amp;":"&amp;ADDRESS(1000,COLUMN(J$9)-1))),
SUMIF(INDIRECT(Equipo!$E$4&amp;"!B10:B1000"),$B12,INDIRECT(Equipo!$E$4&amp;"!"&amp;ADDRESS(10,COLUMN(J$9)-1)&amp;":"&amp;ADDRESS(1000,COLUMN(J$9)-1))),
SUMIF(INDIRECT(Equipo!$F$4&amp;"!B10:B1000"),$B12,INDIRECT(Equipo!$F$4&amp;"!"&amp;ADDRESS(10,COLUMN(J$9)-1)&amp;":"&amp;ADDRESS(1000,COLUMN(J$9)-1))),
SUMIF(INDIRECT(Equipo!$G$4&amp;"!B10:B1000"),$B12,INDIRECT(Equipo!$G$4&amp;"!"&amp;ADDRESS(10,COLUMN(J$9)-1)&amp;":"&amp;ADDRESS(1000,COLUMN(J$9)-1)))))</f>
        <v>0</v>
      </c>
      <c r="K12" s="19">
        <f t="array" ref="K12">IF(ISBLANK(Tareas!$B8),"-",SUM(
SUMIF(INDIRECT(Equipo!$C$4&amp;"!B10:B1000"),$B12,INDIRECT(Equipo!$C$4&amp;"!"&amp;ADDRESS(10,COLUMN(K$9)-1)&amp;":"&amp;ADDRESS(1000,COLUMN(K$9)-1))),
SUMIF(INDIRECT(Equipo!$D$4&amp;"!B10:B1000"),$B12,INDIRECT(Equipo!$D$4&amp;"!"&amp;ADDRESS(10,COLUMN(K$9)-1)&amp;":"&amp;ADDRESS(1000,COLUMN(K$9)-1))),
SUMIF(INDIRECT(Equipo!$E$4&amp;"!B10:B1000"),$B12,INDIRECT(Equipo!$E$4&amp;"!"&amp;ADDRESS(10,COLUMN(K$9)-1)&amp;":"&amp;ADDRESS(1000,COLUMN(K$9)-1))),
SUMIF(INDIRECT(Equipo!$F$4&amp;"!B10:B1000"),$B12,INDIRECT(Equipo!$F$4&amp;"!"&amp;ADDRESS(10,COLUMN(K$9)-1)&amp;":"&amp;ADDRESS(1000,COLUMN(K$9)-1))),
SUMIF(INDIRECT(Equipo!$G$4&amp;"!B10:B1000"),$B12,INDIRECT(Equipo!$G$4&amp;"!"&amp;ADDRESS(10,COLUMN(K$9)-1)&amp;":"&amp;ADDRESS(1000,COLUMN(K$9)-1)))))</f>
        <v>0</v>
      </c>
    </row>
    <row r="13" ht="15.75" customHeight="1">
      <c r="B13" s="1" t="str">
        <f>IF(ISBLANK(Tareas!B9)," - ",Tareas!B9)</f>
        <v>4. Definición del estándar de proceso</v>
      </c>
      <c r="D13" s="19">
        <f t="array" ref="D13">IF(ISBLANK(Tareas!$B9),"-",SUM(
SUMIF(INDIRECT(Equipo!$C$4&amp;"!B10:B1000"),$B13,INDIRECT(Equipo!$C$4&amp;"!"&amp;ADDRESS(10,COLUMN(D$9)-1)&amp;":"&amp;ADDRESS(1000,COLUMN(D$9)-1))),
SUMIF(INDIRECT(Equipo!$D$4&amp;"!B10:B1000"),$B13,INDIRECT(Equipo!$D$4&amp;"!"&amp;ADDRESS(10,COLUMN(D$9)-1)&amp;":"&amp;ADDRESS(1000,COLUMN(D$9)-1))),
SUMIF(INDIRECT(Equipo!$E$4&amp;"!B10:B1000"),$B13,INDIRECT(Equipo!$E$4&amp;"!"&amp;ADDRESS(10,COLUMN(D$9)-1)&amp;":"&amp;ADDRESS(1000,COLUMN(D$9)-1))),
SUMIF(INDIRECT(Equipo!$F$4&amp;"!B10:B1000"),$B13,INDIRECT(Equipo!$F$4&amp;"!"&amp;ADDRESS(10,COLUMN(D$9)-1)&amp;":"&amp;ADDRESS(1000,COLUMN(D$9)-1))),
SUMIF(INDIRECT(Equipo!$G$4&amp;"!B10:B1000"),$B13,INDIRECT(Equipo!$G$4&amp;"!"&amp;ADDRESS(10,COLUMN(D$9)-1)&amp;":"&amp;ADDRESS(1000,COLUMN(D$9)-1)))))</f>
        <v>1</v>
      </c>
      <c r="E13" s="19">
        <f t="array" ref="E13">IF(ISBLANK(Tareas!$B9),"-",SUM(
SUMIF(INDIRECT(Equipo!$C$4&amp;"!B10:B1000"),$B13,INDIRECT(Equipo!$C$4&amp;"!"&amp;ADDRESS(10,COLUMN(E$9)-1)&amp;":"&amp;ADDRESS(1000,COLUMN(E$9)-1))),
SUMIF(INDIRECT(Equipo!$D$4&amp;"!B10:B1000"),$B13,INDIRECT(Equipo!$D$4&amp;"!"&amp;ADDRESS(10,COLUMN(E$9)-1)&amp;":"&amp;ADDRESS(1000,COLUMN(E$9)-1))),
SUMIF(INDIRECT(Equipo!$E$4&amp;"!B10:B1000"),$B13,INDIRECT(Equipo!$E$4&amp;"!"&amp;ADDRESS(10,COLUMN(E$9)-1)&amp;":"&amp;ADDRESS(1000,COLUMN(E$9)-1))),
SUMIF(INDIRECT(Equipo!$F$4&amp;"!B10:B1000"),$B13,INDIRECT(Equipo!$F$4&amp;"!"&amp;ADDRESS(10,COLUMN(E$9)-1)&amp;":"&amp;ADDRESS(1000,COLUMN(E$9)-1))),
SUMIF(INDIRECT(Equipo!$G$4&amp;"!B10:B1000"),$B13,INDIRECT(Equipo!$G$4&amp;"!"&amp;ADDRESS(10,COLUMN(E$9)-1)&amp;":"&amp;ADDRESS(1000,COLUMN(E$9)-1)))))</f>
        <v>0</v>
      </c>
      <c r="F13" s="19">
        <f t="array" ref="F13">IF(ISBLANK(Tareas!$B9),"-",SUM(
SUMIF(INDIRECT(Equipo!$C$4&amp;"!B10:B1000"),$B13,INDIRECT(Equipo!$C$4&amp;"!"&amp;ADDRESS(10,COLUMN(F$9)-1)&amp;":"&amp;ADDRESS(1000,COLUMN(F$9)-1))),
SUMIF(INDIRECT(Equipo!$D$4&amp;"!B10:B1000"),$B13,INDIRECT(Equipo!$D$4&amp;"!"&amp;ADDRESS(10,COLUMN(F$9)-1)&amp;":"&amp;ADDRESS(1000,COLUMN(F$9)-1))),
SUMIF(INDIRECT(Equipo!$E$4&amp;"!B10:B1000"),$B13,INDIRECT(Equipo!$E$4&amp;"!"&amp;ADDRESS(10,COLUMN(F$9)-1)&amp;":"&amp;ADDRESS(1000,COLUMN(F$9)-1))),
SUMIF(INDIRECT(Equipo!$F$4&amp;"!B10:B1000"),$B13,INDIRECT(Equipo!$F$4&amp;"!"&amp;ADDRESS(10,COLUMN(F$9)-1)&amp;":"&amp;ADDRESS(1000,COLUMN(F$9)-1))),
SUMIF(INDIRECT(Equipo!$G$4&amp;"!B10:B1000"),$B13,INDIRECT(Equipo!$G$4&amp;"!"&amp;ADDRESS(10,COLUMN(F$9)-1)&amp;":"&amp;ADDRESS(1000,COLUMN(F$9)-1)))))</f>
        <v>0</v>
      </c>
      <c r="G13" s="19">
        <f t="array" ref="G13">IF(ISBLANK(Tareas!$B9),"-",SUM(
SUMIF(INDIRECT(Equipo!$C$4&amp;"!B10:B1000"),$B13,INDIRECT(Equipo!$C$4&amp;"!"&amp;ADDRESS(10,COLUMN(G$9)-1)&amp;":"&amp;ADDRESS(1000,COLUMN(G$9)-1))),
SUMIF(INDIRECT(Equipo!$D$4&amp;"!B10:B1000"),$B13,INDIRECT(Equipo!$D$4&amp;"!"&amp;ADDRESS(10,COLUMN(G$9)-1)&amp;":"&amp;ADDRESS(1000,COLUMN(G$9)-1))),
SUMIF(INDIRECT(Equipo!$E$4&amp;"!B10:B1000"),$B13,INDIRECT(Equipo!$E$4&amp;"!"&amp;ADDRESS(10,COLUMN(G$9)-1)&amp;":"&amp;ADDRESS(1000,COLUMN(G$9)-1))),
SUMIF(INDIRECT(Equipo!$F$4&amp;"!B10:B1000"),$B13,INDIRECT(Equipo!$F$4&amp;"!"&amp;ADDRESS(10,COLUMN(G$9)-1)&amp;":"&amp;ADDRESS(1000,COLUMN(G$9)-1))),
SUMIF(INDIRECT(Equipo!$G$4&amp;"!B10:B1000"),$B13,INDIRECT(Equipo!$G$4&amp;"!"&amp;ADDRESS(10,COLUMN(G$9)-1)&amp;":"&amp;ADDRESS(1000,COLUMN(G$9)-1)))))</f>
        <v>0</v>
      </c>
      <c r="H13" s="19">
        <f t="array" ref="H13">IF(ISBLANK(Tareas!$B9),"-",SUM(
SUMIF(INDIRECT(Equipo!$C$4&amp;"!B10:B1000"),$B13,INDIRECT(Equipo!$C$4&amp;"!"&amp;ADDRESS(10,COLUMN(H$9)-1)&amp;":"&amp;ADDRESS(1000,COLUMN(H$9)-1))),
SUMIF(INDIRECT(Equipo!$D$4&amp;"!B10:B1000"),$B13,INDIRECT(Equipo!$D$4&amp;"!"&amp;ADDRESS(10,COLUMN(H$9)-1)&amp;":"&amp;ADDRESS(1000,COLUMN(H$9)-1))),
SUMIF(INDIRECT(Equipo!$E$4&amp;"!B10:B1000"),$B13,INDIRECT(Equipo!$E$4&amp;"!"&amp;ADDRESS(10,COLUMN(H$9)-1)&amp;":"&amp;ADDRESS(1000,COLUMN(H$9)-1))),
SUMIF(INDIRECT(Equipo!$F$4&amp;"!B10:B1000"),$B13,INDIRECT(Equipo!$F$4&amp;"!"&amp;ADDRESS(10,COLUMN(H$9)-1)&amp;":"&amp;ADDRESS(1000,COLUMN(H$9)-1))),
SUMIF(INDIRECT(Equipo!$G$4&amp;"!B10:B1000"),$B13,INDIRECT(Equipo!$G$4&amp;"!"&amp;ADDRESS(10,COLUMN(H$9)-1)&amp;":"&amp;ADDRESS(1000,COLUMN(H$9)-1)))))</f>
        <v>0</v>
      </c>
      <c r="I13" s="19">
        <f t="array" ref="I13">IF(ISBLANK(Tareas!$B9),"-",SUM(
SUMIF(INDIRECT(Equipo!$C$4&amp;"!B10:B1000"),$B13,INDIRECT(Equipo!$C$4&amp;"!"&amp;ADDRESS(10,COLUMN(I$9)-1)&amp;":"&amp;ADDRESS(1000,COLUMN(I$9)-1))),
SUMIF(INDIRECT(Equipo!$D$4&amp;"!B10:B1000"),$B13,INDIRECT(Equipo!$D$4&amp;"!"&amp;ADDRESS(10,COLUMN(I$9)-1)&amp;":"&amp;ADDRESS(1000,COLUMN(I$9)-1))),
SUMIF(INDIRECT(Equipo!$E$4&amp;"!B10:B1000"),$B13,INDIRECT(Equipo!$E$4&amp;"!"&amp;ADDRESS(10,COLUMN(I$9)-1)&amp;":"&amp;ADDRESS(1000,COLUMN(I$9)-1))),
SUMIF(INDIRECT(Equipo!$F$4&amp;"!B10:B1000"),$B13,INDIRECT(Equipo!$F$4&amp;"!"&amp;ADDRESS(10,COLUMN(I$9)-1)&amp;":"&amp;ADDRESS(1000,COLUMN(I$9)-1))),
SUMIF(INDIRECT(Equipo!$G$4&amp;"!B10:B1000"),$B13,INDIRECT(Equipo!$G$4&amp;"!"&amp;ADDRESS(10,COLUMN(I$9)-1)&amp;":"&amp;ADDRESS(1000,COLUMN(I$9)-1)))))</f>
        <v>0</v>
      </c>
      <c r="J13" s="19">
        <f t="array" ref="J13">IF(ISBLANK(Tareas!$B9),"-",SUM(
SUMIF(INDIRECT(Equipo!$C$4&amp;"!B10:B1000"),$B13,INDIRECT(Equipo!$C$4&amp;"!"&amp;ADDRESS(10,COLUMN(J$9)-1)&amp;":"&amp;ADDRESS(1000,COLUMN(J$9)-1))),
SUMIF(INDIRECT(Equipo!$D$4&amp;"!B10:B1000"),$B13,INDIRECT(Equipo!$D$4&amp;"!"&amp;ADDRESS(10,COLUMN(J$9)-1)&amp;":"&amp;ADDRESS(1000,COLUMN(J$9)-1))),
SUMIF(INDIRECT(Equipo!$E$4&amp;"!B10:B1000"),$B13,INDIRECT(Equipo!$E$4&amp;"!"&amp;ADDRESS(10,COLUMN(J$9)-1)&amp;":"&amp;ADDRESS(1000,COLUMN(J$9)-1))),
SUMIF(INDIRECT(Equipo!$F$4&amp;"!B10:B1000"),$B13,INDIRECT(Equipo!$F$4&amp;"!"&amp;ADDRESS(10,COLUMN(J$9)-1)&amp;":"&amp;ADDRESS(1000,COLUMN(J$9)-1))),
SUMIF(INDIRECT(Equipo!$G$4&amp;"!B10:B1000"),$B13,INDIRECT(Equipo!$G$4&amp;"!"&amp;ADDRESS(10,COLUMN(J$9)-1)&amp;":"&amp;ADDRESS(1000,COLUMN(J$9)-1)))))</f>
        <v>0</v>
      </c>
      <c r="K13" s="19">
        <f t="array" ref="K13">IF(ISBLANK(Tareas!$B9),"-",SUM(
SUMIF(INDIRECT(Equipo!$C$4&amp;"!B10:B1000"),$B13,INDIRECT(Equipo!$C$4&amp;"!"&amp;ADDRESS(10,COLUMN(K$9)-1)&amp;":"&amp;ADDRESS(1000,COLUMN(K$9)-1))),
SUMIF(INDIRECT(Equipo!$D$4&amp;"!B10:B1000"),$B13,INDIRECT(Equipo!$D$4&amp;"!"&amp;ADDRESS(10,COLUMN(K$9)-1)&amp;":"&amp;ADDRESS(1000,COLUMN(K$9)-1))),
SUMIF(INDIRECT(Equipo!$E$4&amp;"!B10:B1000"),$B13,INDIRECT(Equipo!$E$4&amp;"!"&amp;ADDRESS(10,COLUMN(K$9)-1)&amp;":"&amp;ADDRESS(1000,COLUMN(K$9)-1))),
SUMIF(INDIRECT(Equipo!$F$4&amp;"!B10:B1000"),$B13,INDIRECT(Equipo!$F$4&amp;"!"&amp;ADDRESS(10,COLUMN(K$9)-1)&amp;":"&amp;ADDRESS(1000,COLUMN(K$9)-1))),
SUMIF(INDIRECT(Equipo!$G$4&amp;"!B10:B1000"),$B13,INDIRECT(Equipo!$G$4&amp;"!"&amp;ADDRESS(10,COLUMN(K$9)-1)&amp;":"&amp;ADDRESS(1000,COLUMN(K$9)-1)))))</f>
        <v>0</v>
      </c>
    </row>
    <row r="14" ht="15.75" customHeight="1">
      <c r="B14" s="1" t="str">
        <f>IF(ISBLANK(Tareas!B10)," - ",Tareas!B10)</f>
        <v>5. Definición del entorno de desarrollo</v>
      </c>
      <c r="D14" s="19">
        <f t="array" ref="D14">IF(ISBLANK(Tareas!$B10),"-",SUM(
SUMIF(INDIRECT(Equipo!$C$4&amp;"!B10:B1000"),$B14,INDIRECT(Equipo!$C$4&amp;"!"&amp;ADDRESS(10,COLUMN(D$9)-1)&amp;":"&amp;ADDRESS(1000,COLUMN(D$9)-1))),
SUMIF(INDIRECT(Equipo!$D$4&amp;"!B10:B1000"),$B14,INDIRECT(Equipo!$D$4&amp;"!"&amp;ADDRESS(10,COLUMN(D$9)-1)&amp;":"&amp;ADDRESS(1000,COLUMN(D$9)-1))),
SUMIF(INDIRECT(Equipo!$E$4&amp;"!B10:B1000"),$B14,INDIRECT(Equipo!$E$4&amp;"!"&amp;ADDRESS(10,COLUMN(D$9)-1)&amp;":"&amp;ADDRESS(1000,COLUMN(D$9)-1))),
SUMIF(INDIRECT(Equipo!$F$4&amp;"!B10:B1000"),$B14,INDIRECT(Equipo!$F$4&amp;"!"&amp;ADDRESS(10,COLUMN(D$9)-1)&amp;":"&amp;ADDRESS(1000,COLUMN(D$9)-1))),
SUMIF(INDIRECT(Equipo!$G$4&amp;"!B10:B1000"),$B14,INDIRECT(Equipo!$G$4&amp;"!"&amp;ADDRESS(10,COLUMN(D$9)-1)&amp;":"&amp;ADDRESS(1000,COLUMN(D$9)-1)))))</f>
        <v>0.6</v>
      </c>
      <c r="E14" s="19">
        <f t="array" ref="E14">IF(ISBLANK(Tareas!$B10),"-",SUM(
SUMIF(INDIRECT(Equipo!$C$4&amp;"!B10:B1000"),$B14,INDIRECT(Equipo!$C$4&amp;"!"&amp;ADDRESS(10,COLUMN(E$9)-1)&amp;":"&amp;ADDRESS(1000,COLUMN(E$9)-1))),
SUMIF(INDIRECT(Equipo!$D$4&amp;"!B10:B1000"),$B14,INDIRECT(Equipo!$D$4&amp;"!"&amp;ADDRESS(10,COLUMN(E$9)-1)&amp;":"&amp;ADDRESS(1000,COLUMN(E$9)-1))),
SUMIF(INDIRECT(Equipo!$E$4&amp;"!B10:B1000"),$B14,INDIRECT(Equipo!$E$4&amp;"!"&amp;ADDRESS(10,COLUMN(E$9)-1)&amp;":"&amp;ADDRESS(1000,COLUMN(E$9)-1))),
SUMIF(INDIRECT(Equipo!$F$4&amp;"!B10:B1000"),$B14,INDIRECT(Equipo!$F$4&amp;"!"&amp;ADDRESS(10,COLUMN(E$9)-1)&amp;":"&amp;ADDRESS(1000,COLUMN(E$9)-1))),
SUMIF(INDIRECT(Equipo!$G$4&amp;"!B10:B1000"),$B14,INDIRECT(Equipo!$G$4&amp;"!"&amp;ADDRESS(10,COLUMN(E$9)-1)&amp;":"&amp;ADDRESS(1000,COLUMN(E$9)-1)))))</f>
        <v>0</v>
      </c>
      <c r="F14" s="19">
        <f t="array" ref="F14">IF(ISBLANK(Tareas!$B10),"-",SUM(
SUMIF(INDIRECT(Equipo!$C$4&amp;"!B10:B1000"),$B14,INDIRECT(Equipo!$C$4&amp;"!"&amp;ADDRESS(10,COLUMN(F$9)-1)&amp;":"&amp;ADDRESS(1000,COLUMN(F$9)-1))),
SUMIF(INDIRECT(Equipo!$D$4&amp;"!B10:B1000"),$B14,INDIRECT(Equipo!$D$4&amp;"!"&amp;ADDRESS(10,COLUMN(F$9)-1)&amp;":"&amp;ADDRESS(1000,COLUMN(F$9)-1))),
SUMIF(INDIRECT(Equipo!$E$4&amp;"!B10:B1000"),$B14,INDIRECT(Equipo!$E$4&amp;"!"&amp;ADDRESS(10,COLUMN(F$9)-1)&amp;":"&amp;ADDRESS(1000,COLUMN(F$9)-1))),
SUMIF(INDIRECT(Equipo!$F$4&amp;"!B10:B1000"),$B14,INDIRECT(Equipo!$F$4&amp;"!"&amp;ADDRESS(10,COLUMN(F$9)-1)&amp;":"&amp;ADDRESS(1000,COLUMN(F$9)-1))),
SUMIF(INDIRECT(Equipo!$G$4&amp;"!B10:B1000"),$B14,INDIRECT(Equipo!$G$4&amp;"!"&amp;ADDRESS(10,COLUMN(F$9)-1)&amp;":"&amp;ADDRESS(1000,COLUMN(F$9)-1)))))</f>
        <v>0</v>
      </c>
      <c r="G14" s="19">
        <f t="array" ref="G14">IF(ISBLANK(Tareas!$B10),"-",SUM(
SUMIF(INDIRECT(Equipo!$C$4&amp;"!B10:B1000"),$B14,INDIRECT(Equipo!$C$4&amp;"!"&amp;ADDRESS(10,COLUMN(G$9)-1)&amp;":"&amp;ADDRESS(1000,COLUMN(G$9)-1))),
SUMIF(INDIRECT(Equipo!$D$4&amp;"!B10:B1000"),$B14,INDIRECT(Equipo!$D$4&amp;"!"&amp;ADDRESS(10,COLUMN(G$9)-1)&amp;":"&amp;ADDRESS(1000,COLUMN(G$9)-1))),
SUMIF(INDIRECT(Equipo!$E$4&amp;"!B10:B1000"),$B14,INDIRECT(Equipo!$E$4&amp;"!"&amp;ADDRESS(10,COLUMN(G$9)-1)&amp;":"&amp;ADDRESS(1000,COLUMN(G$9)-1))),
SUMIF(INDIRECT(Equipo!$F$4&amp;"!B10:B1000"),$B14,INDIRECT(Equipo!$F$4&amp;"!"&amp;ADDRESS(10,COLUMN(G$9)-1)&amp;":"&amp;ADDRESS(1000,COLUMN(G$9)-1))),
SUMIF(INDIRECT(Equipo!$G$4&amp;"!B10:B1000"),$B14,INDIRECT(Equipo!$G$4&amp;"!"&amp;ADDRESS(10,COLUMN(G$9)-1)&amp;":"&amp;ADDRESS(1000,COLUMN(G$9)-1)))))</f>
        <v>0</v>
      </c>
      <c r="H14" s="19">
        <f t="array" ref="H14">IF(ISBLANK(Tareas!$B10),"-",SUM(
SUMIF(INDIRECT(Equipo!$C$4&amp;"!B10:B1000"),$B14,INDIRECT(Equipo!$C$4&amp;"!"&amp;ADDRESS(10,COLUMN(H$9)-1)&amp;":"&amp;ADDRESS(1000,COLUMN(H$9)-1))),
SUMIF(INDIRECT(Equipo!$D$4&amp;"!B10:B1000"),$B14,INDIRECT(Equipo!$D$4&amp;"!"&amp;ADDRESS(10,COLUMN(H$9)-1)&amp;":"&amp;ADDRESS(1000,COLUMN(H$9)-1))),
SUMIF(INDIRECT(Equipo!$E$4&amp;"!B10:B1000"),$B14,INDIRECT(Equipo!$E$4&amp;"!"&amp;ADDRESS(10,COLUMN(H$9)-1)&amp;":"&amp;ADDRESS(1000,COLUMN(H$9)-1))),
SUMIF(INDIRECT(Equipo!$F$4&amp;"!B10:B1000"),$B14,INDIRECT(Equipo!$F$4&amp;"!"&amp;ADDRESS(10,COLUMN(H$9)-1)&amp;":"&amp;ADDRESS(1000,COLUMN(H$9)-1))),
SUMIF(INDIRECT(Equipo!$G$4&amp;"!B10:B1000"),$B14,INDIRECT(Equipo!$G$4&amp;"!"&amp;ADDRESS(10,COLUMN(H$9)-1)&amp;":"&amp;ADDRESS(1000,COLUMN(H$9)-1)))))</f>
        <v>0</v>
      </c>
      <c r="I14" s="19">
        <f t="array" ref="I14">IF(ISBLANK(Tareas!$B10),"-",SUM(
SUMIF(INDIRECT(Equipo!$C$4&amp;"!B10:B1000"),$B14,INDIRECT(Equipo!$C$4&amp;"!"&amp;ADDRESS(10,COLUMN(I$9)-1)&amp;":"&amp;ADDRESS(1000,COLUMN(I$9)-1))),
SUMIF(INDIRECT(Equipo!$D$4&amp;"!B10:B1000"),$B14,INDIRECT(Equipo!$D$4&amp;"!"&amp;ADDRESS(10,COLUMN(I$9)-1)&amp;":"&amp;ADDRESS(1000,COLUMN(I$9)-1))),
SUMIF(INDIRECT(Equipo!$E$4&amp;"!B10:B1000"),$B14,INDIRECT(Equipo!$E$4&amp;"!"&amp;ADDRESS(10,COLUMN(I$9)-1)&amp;":"&amp;ADDRESS(1000,COLUMN(I$9)-1))),
SUMIF(INDIRECT(Equipo!$F$4&amp;"!B10:B1000"),$B14,INDIRECT(Equipo!$F$4&amp;"!"&amp;ADDRESS(10,COLUMN(I$9)-1)&amp;":"&amp;ADDRESS(1000,COLUMN(I$9)-1))),
SUMIF(INDIRECT(Equipo!$G$4&amp;"!B10:B1000"),$B14,INDIRECT(Equipo!$G$4&amp;"!"&amp;ADDRESS(10,COLUMN(I$9)-1)&amp;":"&amp;ADDRESS(1000,COLUMN(I$9)-1)))))</f>
        <v>0</v>
      </c>
      <c r="J14" s="19">
        <f t="array" ref="J14">IF(ISBLANK(Tareas!$B10),"-",SUM(
SUMIF(INDIRECT(Equipo!$C$4&amp;"!B10:B1000"),$B14,INDIRECT(Equipo!$C$4&amp;"!"&amp;ADDRESS(10,COLUMN(J$9)-1)&amp;":"&amp;ADDRESS(1000,COLUMN(J$9)-1))),
SUMIF(INDIRECT(Equipo!$D$4&amp;"!B10:B1000"),$B14,INDIRECT(Equipo!$D$4&amp;"!"&amp;ADDRESS(10,COLUMN(J$9)-1)&amp;":"&amp;ADDRESS(1000,COLUMN(J$9)-1))),
SUMIF(INDIRECT(Equipo!$E$4&amp;"!B10:B1000"),$B14,INDIRECT(Equipo!$E$4&amp;"!"&amp;ADDRESS(10,COLUMN(J$9)-1)&amp;":"&amp;ADDRESS(1000,COLUMN(J$9)-1))),
SUMIF(INDIRECT(Equipo!$F$4&amp;"!B10:B1000"),$B14,INDIRECT(Equipo!$F$4&amp;"!"&amp;ADDRESS(10,COLUMN(J$9)-1)&amp;":"&amp;ADDRESS(1000,COLUMN(J$9)-1))),
SUMIF(INDIRECT(Equipo!$G$4&amp;"!B10:B1000"),$B14,INDIRECT(Equipo!$G$4&amp;"!"&amp;ADDRESS(10,COLUMN(J$9)-1)&amp;":"&amp;ADDRESS(1000,COLUMN(J$9)-1)))))</f>
        <v>0</v>
      </c>
      <c r="K14" s="19">
        <f t="array" ref="K14">IF(ISBLANK(Tareas!$B10),"-",SUM(
SUMIF(INDIRECT(Equipo!$C$4&amp;"!B10:B1000"),$B14,INDIRECT(Equipo!$C$4&amp;"!"&amp;ADDRESS(10,COLUMN(K$9)-1)&amp;":"&amp;ADDRESS(1000,COLUMN(K$9)-1))),
SUMIF(INDIRECT(Equipo!$D$4&amp;"!B10:B1000"),$B14,INDIRECT(Equipo!$D$4&amp;"!"&amp;ADDRESS(10,COLUMN(K$9)-1)&amp;":"&amp;ADDRESS(1000,COLUMN(K$9)-1))),
SUMIF(INDIRECT(Equipo!$E$4&amp;"!B10:B1000"),$B14,INDIRECT(Equipo!$E$4&amp;"!"&amp;ADDRESS(10,COLUMN(K$9)-1)&amp;":"&amp;ADDRESS(1000,COLUMN(K$9)-1))),
SUMIF(INDIRECT(Equipo!$F$4&amp;"!B10:B1000"),$B14,INDIRECT(Equipo!$F$4&amp;"!"&amp;ADDRESS(10,COLUMN(K$9)-1)&amp;":"&amp;ADDRESS(1000,COLUMN(K$9)-1))),
SUMIF(INDIRECT(Equipo!$G$4&amp;"!B10:B1000"),$B14,INDIRECT(Equipo!$G$4&amp;"!"&amp;ADDRESS(10,COLUMN(K$9)-1)&amp;":"&amp;ADDRESS(1000,COLUMN(K$9)-1)))))</f>
        <v>0</v>
      </c>
    </row>
    <row r="15" ht="15.75" customHeight="1">
      <c r="B15" s="1" t="str">
        <f>IF(ISBLANK(Tareas!B11)," - ",Tareas!B11)</f>
        <v>6. Reunión 2</v>
      </c>
      <c r="D15" s="19">
        <f t="array" ref="D15">IF(ISBLANK(Tareas!$B11),"-",SUM(
SUMIF(INDIRECT(Equipo!$C$4&amp;"!B10:B1000"),$B15,INDIRECT(Equipo!$C$4&amp;"!"&amp;ADDRESS(10,COLUMN(D$9)-1)&amp;":"&amp;ADDRESS(1000,COLUMN(D$9)-1))),
SUMIF(INDIRECT(Equipo!$D$4&amp;"!B10:B1000"),$B15,INDIRECT(Equipo!$D$4&amp;"!"&amp;ADDRESS(10,COLUMN(D$9)-1)&amp;":"&amp;ADDRESS(1000,COLUMN(D$9)-1))),
SUMIF(INDIRECT(Equipo!$E$4&amp;"!B10:B1000"),$B15,INDIRECT(Equipo!$E$4&amp;"!"&amp;ADDRESS(10,COLUMN(D$9)-1)&amp;":"&amp;ADDRESS(1000,COLUMN(D$9)-1))),
SUMIF(INDIRECT(Equipo!$F$4&amp;"!B10:B1000"),$B15,INDIRECT(Equipo!$F$4&amp;"!"&amp;ADDRESS(10,COLUMN(D$9)-1)&amp;":"&amp;ADDRESS(1000,COLUMN(D$9)-1))),
SUMIF(INDIRECT(Equipo!$G$4&amp;"!B10:B1000"),$B15,INDIRECT(Equipo!$G$4&amp;"!"&amp;ADDRESS(10,COLUMN(D$9)-1)&amp;":"&amp;ADDRESS(1000,COLUMN(D$9)-1)))))</f>
        <v>0</v>
      </c>
      <c r="E15" s="19">
        <f t="array" ref="E15">IF(ISBLANK(Tareas!$B11),"-",SUM(
SUMIF(INDIRECT(Equipo!$C$4&amp;"!B10:B1000"),$B15,INDIRECT(Equipo!$C$4&amp;"!"&amp;ADDRESS(10,COLUMN(E$9)-1)&amp;":"&amp;ADDRESS(1000,COLUMN(E$9)-1))),
SUMIF(INDIRECT(Equipo!$D$4&amp;"!B10:B1000"),$B15,INDIRECT(Equipo!$D$4&amp;"!"&amp;ADDRESS(10,COLUMN(E$9)-1)&amp;":"&amp;ADDRESS(1000,COLUMN(E$9)-1))),
SUMIF(INDIRECT(Equipo!$E$4&amp;"!B10:B1000"),$B15,INDIRECT(Equipo!$E$4&amp;"!"&amp;ADDRESS(10,COLUMN(E$9)-1)&amp;":"&amp;ADDRESS(1000,COLUMN(E$9)-1))),
SUMIF(INDIRECT(Equipo!$F$4&amp;"!B10:B1000"),$B15,INDIRECT(Equipo!$F$4&amp;"!"&amp;ADDRESS(10,COLUMN(E$9)-1)&amp;":"&amp;ADDRESS(1000,COLUMN(E$9)-1))),
SUMIF(INDIRECT(Equipo!$G$4&amp;"!B10:B1000"),$B15,INDIRECT(Equipo!$G$4&amp;"!"&amp;ADDRESS(10,COLUMN(E$9)-1)&amp;":"&amp;ADDRESS(1000,COLUMN(E$9)-1)))))</f>
        <v>2.5</v>
      </c>
      <c r="F15" s="19">
        <f t="array" ref="F15">IF(ISBLANK(Tareas!$B11),"-",SUM(
SUMIF(INDIRECT(Equipo!$C$4&amp;"!B10:B1000"),$B15,INDIRECT(Equipo!$C$4&amp;"!"&amp;ADDRESS(10,COLUMN(F$9)-1)&amp;":"&amp;ADDRESS(1000,COLUMN(F$9)-1))),
SUMIF(INDIRECT(Equipo!$D$4&amp;"!B10:B1000"),$B15,INDIRECT(Equipo!$D$4&amp;"!"&amp;ADDRESS(10,COLUMN(F$9)-1)&amp;":"&amp;ADDRESS(1000,COLUMN(F$9)-1))),
SUMIF(INDIRECT(Equipo!$E$4&amp;"!B10:B1000"),$B15,INDIRECT(Equipo!$E$4&amp;"!"&amp;ADDRESS(10,COLUMN(F$9)-1)&amp;":"&amp;ADDRESS(1000,COLUMN(F$9)-1))),
SUMIF(INDIRECT(Equipo!$F$4&amp;"!B10:B1000"),$B15,INDIRECT(Equipo!$F$4&amp;"!"&amp;ADDRESS(10,COLUMN(F$9)-1)&amp;":"&amp;ADDRESS(1000,COLUMN(F$9)-1))),
SUMIF(INDIRECT(Equipo!$G$4&amp;"!B10:B1000"),$B15,INDIRECT(Equipo!$G$4&amp;"!"&amp;ADDRESS(10,COLUMN(F$9)-1)&amp;":"&amp;ADDRESS(1000,COLUMN(F$9)-1)))))</f>
        <v>0</v>
      </c>
      <c r="G15" s="19">
        <f t="array" ref="G15">IF(ISBLANK(Tareas!$B11),"-",SUM(
SUMIF(INDIRECT(Equipo!$C$4&amp;"!B10:B1000"),$B15,INDIRECT(Equipo!$C$4&amp;"!"&amp;ADDRESS(10,COLUMN(G$9)-1)&amp;":"&amp;ADDRESS(1000,COLUMN(G$9)-1))),
SUMIF(INDIRECT(Equipo!$D$4&amp;"!B10:B1000"),$B15,INDIRECT(Equipo!$D$4&amp;"!"&amp;ADDRESS(10,COLUMN(G$9)-1)&amp;":"&amp;ADDRESS(1000,COLUMN(G$9)-1))),
SUMIF(INDIRECT(Equipo!$E$4&amp;"!B10:B1000"),$B15,INDIRECT(Equipo!$E$4&amp;"!"&amp;ADDRESS(10,COLUMN(G$9)-1)&amp;":"&amp;ADDRESS(1000,COLUMN(G$9)-1))),
SUMIF(INDIRECT(Equipo!$F$4&amp;"!B10:B1000"),$B15,INDIRECT(Equipo!$F$4&amp;"!"&amp;ADDRESS(10,COLUMN(G$9)-1)&amp;":"&amp;ADDRESS(1000,COLUMN(G$9)-1))),
SUMIF(INDIRECT(Equipo!$G$4&amp;"!B10:B1000"),$B15,INDIRECT(Equipo!$G$4&amp;"!"&amp;ADDRESS(10,COLUMN(G$9)-1)&amp;":"&amp;ADDRESS(1000,COLUMN(G$9)-1)))))</f>
        <v>0</v>
      </c>
      <c r="H15" s="19">
        <f t="array" ref="H15">IF(ISBLANK(Tareas!$B11),"-",SUM(
SUMIF(INDIRECT(Equipo!$C$4&amp;"!B10:B1000"),$B15,INDIRECT(Equipo!$C$4&amp;"!"&amp;ADDRESS(10,COLUMN(H$9)-1)&amp;":"&amp;ADDRESS(1000,COLUMN(H$9)-1))),
SUMIF(INDIRECT(Equipo!$D$4&amp;"!B10:B1000"),$B15,INDIRECT(Equipo!$D$4&amp;"!"&amp;ADDRESS(10,COLUMN(H$9)-1)&amp;":"&amp;ADDRESS(1000,COLUMN(H$9)-1))),
SUMIF(INDIRECT(Equipo!$E$4&amp;"!B10:B1000"),$B15,INDIRECT(Equipo!$E$4&amp;"!"&amp;ADDRESS(10,COLUMN(H$9)-1)&amp;":"&amp;ADDRESS(1000,COLUMN(H$9)-1))),
SUMIF(INDIRECT(Equipo!$F$4&amp;"!B10:B1000"),$B15,INDIRECT(Equipo!$F$4&amp;"!"&amp;ADDRESS(10,COLUMN(H$9)-1)&amp;":"&amp;ADDRESS(1000,COLUMN(H$9)-1))),
SUMIF(INDIRECT(Equipo!$G$4&amp;"!B10:B1000"),$B15,INDIRECT(Equipo!$G$4&amp;"!"&amp;ADDRESS(10,COLUMN(H$9)-1)&amp;":"&amp;ADDRESS(1000,COLUMN(H$9)-1)))))</f>
        <v>0</v>
      </c>
      <c r="I15" s="19">
        <f t="array" ref="I15">IF(ISBLANK(Tareas!$B11),"-",SUM(
SUMIF(INDIRECT(Equipo!$C$4&amp;"!B10:B1000"),$B15,INDIRECT(Equipo!$C$4&amp;"!"&amp;ADDRESS(10,COLUMN(I$9)-1)&amp;":"&amp;ADDRESS(1000,COLUMN(I$9)-1))),
SUMIF(INDIRECT(Equipo!$D$4&amp;"!B10:B1000"),$B15,INDIRECT(Equipo!$D$4&amp;"!"&amp;ADDRESS(10,COLUMN(I$9)-1)&amp;":"&amp;ADDRESS(1000,COLUMN(I$9)-1))),
SUMIF(INDIRECT(Equipo!$E$4&amp;"!B10:B1000"),$B15,INDIRECT(Equipo!$E$4&amp;"!"&amp;ADDRESS(10,COLUMN(I$9)-1)&amp;":"&amp;ADDRESS(1000,COLUMN(I$9)-1))),
SUMIF(INDIRECT(Equipo!$F$4&amp;"!B10:B1000"),$B15,INDIRECT(Equipo!$F$4&amp;"!"&amp;ADDRESS(10,COLUMN(I$9)-1)&amp;":"&amp;ADDRESS(1000,COLUMN(I$9)-1))),
SUMIF(INDIRECT(Equipo!$G$4&amp;"!B10:B1000"),$B15,INDIRECT(Equipo!$G$4&amp;"!"&amp;ADDRESS(10,COLUMN(I$9)-1)&amp;":"&amp;ADDRESS(1000,COLUMN(I$9)-1)))))</f>
        <v>0</v>
      </c>
      <c r="J15" s="19">
        <f t="array" ref="J15">IF(ISBLANK(Tareas!$B11),"-",SUM(
SUMIF(INDIRECT(Equipo!$C$4&amp;"!B10:B1000"),$B15,INDIRECT(Equipo!$C$4&amp;"!"&amp;ADDRESS(10,COLUMN(J$9)-1)&amp;":"&amp;ADDRESS(1000,COLUMN(J$9)-1))),
SUMIF(INDIRECT(Equipo!$D$4&amp;"!B10:B1000"),$B15,INDIRECT(Equipo!$D$4&amp;"!"&amp;ADDRESS(10,COLUMN(J$9)-1)&amp;":"&amp;ADDRESS(1000,COLUMN(J$9)-1))),
SUMIF(INDIRECT(Equipo!$E$4&amp;"!B10:B1000"),$B15,INDIRECT(Equipo!$E$4&amp;"!"&amp;ADDRESS(10,COLUMN(J$9)-1)&amp;":"&amp;ADDRESS(1000,COLUMN(J$9)-1))),
SUMIF(INDIRECT(Equipo!$F$4&amp;"!B10:B1000"),$B15,INDIRECT(Equipo!$F$4&amp;"!"&amp;ADDRESS(10,COLUMN(J$9)-1)&amp;":"&amp;ADDRESS(1000,COLUMN(J$9)-1))),
SUMIF(INDIRECT(Equipo!$G$4&amp;"!B10:B1000"),$B15,INDIRECT(Equipo!$G$4&amp;"!"&amp;ADDRESS(10,COLUMN(J$9)-1)&amp;":"&amp;ADDRESS(1000,COLUMN(J$9)-1)))))</f>
        <v>0</v>
      </c>
      <c r="K15" s="19">
        <f t="array" ref="K15">IF(ISBLANK(Tareas!$B11),"-",SUM(
SUMIF(INDIRECT(Equipo!$C$4&amp;"!B10:B1000"),$B15,INDIRECT(Equipo!$C$4&amp;"!"&amp;ADDRESS(10,COLUMN(K$9)-1)&amp;":"&amp;ADDRESS(1000,COLUMN(K$9)-1))),
SUMIF(INDIRECT(Equipo!$D$4&amp;"!B10:B1000"),$B15,INDIRECT(Equipo!$D$4&amp;"!"&amp;ADDRESS(10,COLUMN(K$9)-1)&amp;":"&amp;ADDRESS(1000,COLUMN(K$9)-1))),
SUMIF(INDIRECT(Equipo!$E$4&amp;"!B10:B1000"),$B15,INDIRECT(Equipo!$E$4&amp;"!"&amp;ADDRESS(10,COLUMN(K$9)-1)&amp;":"&amp;ADDRESS(1000,COLUMN(K$9)-1))),
SUMIF(INDIRECT(Equipo!$F$4&amp;"!B10:B1000"),$B15,INDIRECT(Equipo!$F$4&amp;"!"&amp;ADDRESS(10,COLUMN(K$9)-1)&amp;":"&amp;ADDRESS(1000,COLUMN(K$9)-1))),
SUMIF(INDIRECT(Equipo!$G$4&amp;"!B10:B1000"),$B15,INDIRECT(Equipo!$G$4&amp;"!"&amp;ADDRESS(10,COLUMN(K$9)-1)&amp;":"&amp;ADDRESS(1000,COLUMN(K$9)-1)))))</f>
        <v>0</v>
      </c>
    </row>
    <row r="16" ht="15.75" customHeight="1">
      <c r="B16" s="1" t="str">
        <f>IF(ISBLANK(Tareas!B12)," - ",Tareas!B12)</f>
        <v>7. Realización del análisis de requisitos (ERS)</v>
      </c>
      <c r="D16" s="19">
        <f t="array" ref="D16">IF(ISBLANK(Tareas!$B12),"-",SUM(
SUMIF(INDIRECT(Equipo!$C$4&amp;"!B10:B1000"),$B16,INDIRECT(Equipo!$C$4&amp;"!"&amp;ADDRESS(10,COLUMN(D$9)-1)&amp;":"&amp;ADDRESS(1000,COLUMN(D$9)-1))),
SUMIF(INDIRECT(Equipo!$D$4&amp;"!B10:B1000"),$B16,INDIRECT(Equipo!$D$4&amp;"!"&amp;ADDRESS(10,COLUMN(D$9)-1)&amp;":"&amp;ADDRESS(1000,COLUMN(D$9)-1))),
SUMIF(INDIRECT(Equipo!$E$4&amp;"!B10:B1000"),$B16,INDIRECT(Equipo!$E$4&amp;"!"&amp;ADDRESS(10,COLUMN(D$9)-1)&amp;":"&amp;ADDRESS(1000,COLUMN(D$9)-1))),
SUMIF(INDIRECT(Equipo!$F$4&amp;"!B10:B1000"),$B16,INDIRECT(Equipo!$F$4&amp;"!"&amp;ADDRESS(10,COLUMN(D$9)-1)&amp;":"&amp;ADDRESS(1000,COLUMN(D$9)-1))),
SUMIF(INDIRECT(Equipo!$G$4&amp;"!B10:B1000"),$B16,INDIRECT(Equipo!$G$4&amp;"!"&amp;ADDRESS(10,COLUMN(D$9)-1)&amp;":"&amp;ADDRESS(1000,COLUMN(D$9)-1)))))</f>
        <v>0</v>
      </c>
      <c r="E16" s="19">
        <f t="array" ref="E16">IF(ISBLANK(Tareas!$B12),"-",SUM(
SUMIF(INDIRECT(Equipo!$C$4&amp;"!B10:B1000"),$B16,INDIRECT(Equipo!$C$4&amp;"!"&amp;ADDRESS(10,COLUMN(E$9)-1)&amp;":"&amp;ADDRESS(1000,COLUMN(E$9)-1))),
SUMIF(INDIRECT(Equipo!$D$4&amp;"!B10:B1000"),$B16,INDIRECT(Equipo!$D$4&amp;"!"&amp;ADDRESS(10,COLUMN(E$9)-1)&amp;":"&amp;ADDRESS(1000,COLUMN(E$9)-1))),
SUMIF(INDIRECT(Equipo!$E$4&amp;"!B10:B1000"),$B16,INDIRECT(Equipo!$E$4&amp;"!"&amp;ADDRESS(10,COLUMN(E$9)-1)&amp;":"&amp;ADDRESS(1000,COLUMN(E$9)-1))),
SUMIF(INDIRECT(Equipo!$F$4&amp;"!B10:B1000"),$B16,INDIRECT(Equipo!$F$4&amp;"!"&amp;ADDRESS(10,COLUMN(E$9)-1)&amp;":"&amp;ADDRESS(1000,COLUMN(E$9)-1))),
SUMIF(INDIRECT(Equipo!$G$4&amp;"!B10:B1000"),$B16,INDIRECT(Equipo!$G$4&amp;"!"&amp;ADDRESS(10,COLUMN(E$9)-1)&amp;":"&amp;ADDRESS(1000,COLUMN(E$9)-1)))))</f>
        <v>3</v>
      </c>
      <c r="F16" s="19">
        <f t="array" ref="F16">IF(ISBLANK(Tareas!$B12),"-",SUM(
SUMIF(INDIRECT(Equipo!$C$4&amp;"!B10:B1000"),$B16,INDIRECT(Equipo!$C$4&amp;"!"&amp;ADDRESS(10,COLUMN(F$9)-1)&amp;":"&amp;ADDRESS(1000,COLUMN(F$9)-1))),
SUMIF(INDIRECT(Equipo!$D$4&amp;"!B10:B1000"),$B16,INDIRECT(Equipo!$D$4&amp;"!"&amp;ADDRESS(10,COLUMN(F$9)-1)&amp;":"&amp;ADDRESS(1000,COLUMN(F$9)-1))),
SUMIF(INDIRECT(Equipo!$E$4&amp;"!B10:B1000"),$B16,INDIRECT(Equipo!$E$4&amp;"!"&amp;ADDRESS(10,COLUMN(F$9)-1)&amp;":"&amp;ADDRESS(1000,COLUMN(F$9)-1))),
SUMIF(INDIRECT(Equipo!$F$4&amp;"!B10:B1000"),$B16,INDIRECT(Equipo!$F$4&amp;"!"&amp;ADDRESS(10,COLUMN(F$9)-1)&amp;":"&amp;ADDRESS(1000,COLUMN(F$9)-1))),
SUMIF(INDIRECT(Equipo!$G$4&amp;"!B10:B1000"),$B16,INDIRECT(Equipo!$G$4&amp;"!"&amp;ADDRESS(10,COLUMN(F$9)-1)&amp;":"&amp;ADDRESS(1000,COLUMN(F$9)-1)))))</f>
        <v>0.3</v>
      </c>
      <c r="G16" s="19">
        <f t="array" ref="G16">IF(ISBLANK(Tareas!$B12),"-",SUM(
SUMIF(INDIRECT(Equipo!$C$4&amp;"!B10:B1000"),$B16,INDIRECT(Equipo!$C$4&amp;"!"&amp;ADDRESS(10,COLUMN(G$9)-1)&amp;":"&amp;ADDRESS(1000,COLUMN(G$9)-1))),
SUMIF(INDIRECT(Equipo!$D$4&amp;"!B10:B1000"),$B16,INDIRECT(Equipo!$D$4&amp;"!"&amp;ADDRESS(10,COLUMN(G$9)-1)&amp;":"&amp;ADDRESS(1000,COLUMN(G$9)-1))),
SUMIF(INDIRECT(Equipo!$E$4&amp;"!B10:B1000"),$B16,INDIRECT(Equipo!$E$4&amp;"!"&amp;ADDRESS(10,COLUMN(G$9)-1)&amp;":"&amp;ADDRESS(1000,COLUMN(G$9)-1))),
SUMIF(INDIRECT(Equipo!$F$4&amp;"!B10:B1000"),$B16,INDIRECT(Equipo!$F$4&amp;"!"&amp;ADDRESS(10,COLUMN(G$9)-1)&amp;":"&amp;ADDRESS(1000,COLUMN(G$9)-1))),
SUMIF(INDIRECT(Equipo!$G$4&amp;"!B10:B1000"),$B16,INDIRECT(Equipo!$G$4&amp;"!"&amp;ADDRESS(10,COLUMN(G$9)-1)&amp;":"&amp;ADDRESS(1000,COLUMN(G$9)-1)))))</f>
        <v>0</v>
      </c>
      <c r="H16" s="19">
        <f t="array" ref="H16">IF(ISBLANK(Tareas!$B12),"-",SUM(
SUMIF(INDIRECT(Equipo!$C$4&amp;"!B10:B1000"),$B16,INDIRECT(Equipo!$C$4&amp;"!"&amp;ADDRESS(10,COLUMN(H$9)-1)&amp;":"&amp;ADDRESS(1000,COLUMN(H$9)-1))),
SUMIF(INDIRECT(Equipo!$D$4&amp;"!B10:B1000"),$B16,INDIRECT(Equipo!$D$4&amp;"!"&amp;ADDRESS(10,COLUMN(H$9)-1)&amp;":"&amp;ADDRESS(1000,COLUMN(H$9)-1))),
SUMIF(INDIRECT(Equipo!$E$4&amp;"!B10:B1000"),$B16,INDIRECT(Equipo!$E$4&amp;"!"&amp;ADDRESS(10,COLUMN(H$9)-1)&amp;":"&amp;ADDRESS(1000,COLUMN(H$9)-1))),
SUMIF(INDIRECT(Equipo!$F$4&amp;"!B10:B1000"),$B16,INDIRECT(Equipo!$F$4&amp;"!"&amp;ADDRESS(10,COLUMN(H$9)-1)&amp;":"&amp;ADDRESS(1000,COLUMN(H$9)-1))),
SUMIF(INDIRECT(Equipo!$G$4&amp;"!B10:B1000"),$B16,INDIRECT(Equipo!$G$4&amp;"!"&amp;ADDRESS(10,COLUMN(H$9)-1)&amp;":"&amp;ADDRESS(1000,COLUMN(H$9)-1)))))</f>
        <v>0</v>
      </c>
      <c r="I16" s="19">
        <f t="array" ref="I16">IF(ISBLANK(Tareas!$B12),"-",SUM(
SUMIF(INDIRECT(Equipo!$C$4&amp;"!B10:B1000"),$B16,INDIRECT(Equipo!$C$4&amp;"!"&amp;ADDRESS(10,COLUMN(I$9)-1)&amp;":"&amp;ADDRESS(1000,COLUMN(I$9)-1))),
SUMIF(INDIRECT(Equipo!$D$4&amp;"!B10:B1000"),$B16,INDIRECT(Equipo!$D$4&amp;"!"&amp;ADDRESS(10,COLUMN(I$9)-1)&amp;":"&amp;ADDRESS(1000,COLUMN(I$9)-1))),
SUMIF(INDIRECT(Equipo!$E$4&amp;"!B10:B1000"),$B16,INDIRECT(Equipo!$E$4&amp;"!"&amp;ADDRESS(10,COLUMN(I$9)-1)&amp;":"&amp;ADDRESS(1000,COLUMN(I$9)-1))),
SUMIF(INDIRECT(Equipo!$F$4&amp;"!B10:B1000"),$B16,INDIRECT(Equipo!$F$4&amp;"!"&amp;ADDRESS(10,COLUMN(I$9)-1)&amp;":"&amp;ADDRESS(1000,COLUMN(I$9)-1))),
SUMIF(INDIRECT(Equipo!$G$4&amp;"!B10:B1000"),$B16,INDIRECT(Equipo!$G$4&amp;"!"&amp;ADDRESS(10,COLUMN(I$9)-1)&amp;":"&amp;ADDRESS(1000,COLUMN(I$9)-1)))))</f>
        <v>0</v>
      </c>
      <c r="J16" s="19">
        <f t="array" ref="J16">IF(ISBLANK(Tareas!$B12),"-",SUM(
SUMIF(INDIRECT(Equipo!$C$4&amp;"!B10:B1000"),$B16,INDIRECT(Equipo!$C$4&amp;"!"&amp;ADDRESS(10,COLUMN(J$9)-1)&amp;":"&amp;ADDRESS(1000,COLUMN(J$9)-1))),
SUMIF(INDIRECT(Equipo!$D$4&amp;"!B10:B1000"),$B16,INDIRECT(Equipo!$D$4&amp;"!"&amp;ADDRESS(10,COLUMN(J$9)-1)&amp;":"&amp;ADDRESS(1000,COLUMN(J$9)-1))),
SUMIF(INDIRECT(Equipo!$E$4&amp;"!B10:B1000"),$B16,INDIRECT(Equipo!$E$4&amp;"!"&amp;ADDRESS(10,COLUMN(J$9)-1)&amp;":"&amp;ADDRESS(1000,COLUMN(J$9)-1))),
SUMIF(INDIRECT(Equipo!$F$4&amp;"!B10:B1000"),$B16,INDIRECT(Equipo!$F$4&amp;"!"&amp;ADDRESS(10,COLUMN(J$9)-1)&amp;":"&amp;ADDRESS(1000,COLUMN(J$9)-1))),
SUMIF(INDIRECT(Equipo!$G$4&amp;"!B10:B1000"),$B16,INDIRECT(Equipo!$G$4&amp;"!"&amp;ADDRESS(10,COLUMN(J$9)-1)&amp;":"&amp;ADDRESS(1000,COLUMN(J$9)-1)))))</f>
        <v>0</v>
      </c>
      <c r="K16" s="19">
        <f t="array" ref="K16">IF(ISBLANK(Tareas!$B12),"-",SUM(
SUMIF(INDIRECT(Equipo!$C$4&amp;"!B10:B1000"),$B16,INDIRECT(Equipo!$C$4&amp;"!"&amp;ADDRESS(10,COLUMN(K$9)-1)&amp;":"&amp;ADDRESS(1000,COLUMN(K$9)-1))),
SUMIF(INDIRECT(Equipo!$D$4&amp;"!B10:B1000"),$B16,INDIRECT(Equipo!$D$4&amp;"!"&amp;ADDRESS(10,COLUMN(K$9)-1)&amp;":"&amp;ADDRESS(1000,COLUMN(K$9)-1))),
SUMIF(INDIRECT(Equipo!$E$4&amp;"!B10:B1000"),$B16,INDIRECT(Equipo!$E$4&amp;"!"&amp;ADDRESS(10,COLUMN(K$9)-1)&amp;":"&amp;ADDRESS(1000,COLUMN(K$9)-1))),
SUMIF(INDIRECT(Equipo!$F$4&amp;"!B10:B1000"),$B16,INDIRECT(Equipo!$F$4&amp;"!"&amp;ADDRESS(10,COLUMN(K$9)-1)&amp;":"&amp;ADDRESS(1000,COLUMN(K$9)-1))),
SUMIF(INDIRECT(Equipo!$G$4&amp;"!B10:B1000"),$B16,INDIRECT(Equipo!$G$4&amp;"!"&amp;ADDRESS(10,COLUMN(K$9)-1)&amp;":"&amp;ADDRESS(1000,COLUMN(K$9)-1)))))</f>
        <v>0</v>
      </c>
    </row>
    <row r="17" ht="15.75" customHeight="1">
      <c r="B17" s="1" t="str">
        <f>IF(ISBLANK(Tareas!B13)," - ",Tareas!B13)</f>
        <v>8. Reunión 3</v>
      </c>
      <c r="D17" s="19">
        <f t="array" ref="D17">IF(ISBLANK(Tareas!$B13),"-",SUM(
SUMIF(INDIRECT(Equipo!$C$4&amp;"!B10:B1000"),$B17,INDIRECT(Equipo!$C$4&amp;"!"&amp;ADDRESS(10,COLUMN(D$9)-1)&amp;":"&amp;ADDRESS(1000,COLUMN(D$9)-1))),
SUMIF(INDIRECT(Equipo!$D$4&amp;"!B10:B1000"),$B17,INDIRECT(Equipo!$D$4&amp;"!"&amp;ADDRESS(10,COLUMN(D$9)-1)&amp;":"&amp;ADDRESS(1000,COLUMN(D$9)-1))),
SUMIF(INDIRECT(Equipo!$E$4&amp;"!B10:B1000"),$B17,INDIRECT(Equipo!$E$4&amp;"!"&amp;ADDRESS(10,COLUMN(D$9)-1)&amp;":"&amp;ADDRESS(1000,COLUMN(D$9)-1))),
SUMIF(INDIRECT(Equipo!$F$4&amp;"!B10:B1000"),$B17,INDIRECT(Equipo!$F$4&amp;"!"&amp;ADDRESS(10,COLUMN(D$9)-1)&amp;":"&amp;ADDRESS(1000,COLUMN(D$9)-1))),
SUMIF(INDIRECT(Equipo!$G$4&amp;"!B10:B1000"),$B17,INDIRECT(Equipo!$G$4&amp;"!"&amp;ADDRESS(10,COLUMN(D$9)-1)&amp;":"&amp;ADDRESS(1000,COLUMN(D$9)-1)))))</f>
        <v>0</v>
      </c>
      <c r="E17" s="19">
        <f t="array" ref="E17">IF(ISBLANK(Tareas!$B13),"-",SUM(
SUMIF(INDIRECT(Equipo!$C$4&amp;"!B10:B1000"),$B17,INDIRECT(Equipo!$C$4&amp;"!"&amp;ADDRESS(10,COLUMN(E$9)-1)&amp;":"&amp;ADDRESS(1000,COLUMN(E$9)-1))),
SUMIF(INDIRECT(Equipo!$D$4&amp;"!B10:B1000"),$B17,INDIRECT(Equipo!$D$4&amp;"!"&amp;ADDRESS(10,COLUMN(E$9)-1)&amp;":"&amp;ADDRESS(1000,COLUMN(E$9)-1))),
SUMIF(INDIRECT(Equipo!$E$4&amp;"!B10:B1000"),$B17,INDIRECT(Equipo!$E$4&amp;"!"&amp;ADDRESS(10,COLUMN(E$9)-1)&amp;":"&amp;ADDRESS(1000,COLUMN(E$9)-1))),
SUMIF(INDIRECT(Equipo!$F$4&amp;"!B10:B1000"),$B17,INDIRECT(Equipo!$F$4&amp;"!"&amp;ADDRESS(10,COLUMN(E$9)-1)&amp;":"&amp;ADDRESS(1000,COLUMN(E$9)-1))),
SUMIF(INDIRECT(Equipo!$G$4&amp;"!B10:B1000"),$B17,INDIRECT(Equipo!$G$4&amp;"!"&amp;ADDRESS(10,COLUMN(E$9)-1)&amp;":"&amp;ADDRESS(1000,COLUMN(E$9)-1)))))</f>
        <v>0</v>
      </c>
      <c r="F17" s="19">
        <f t="array" ref="F17">IF(ISBLANK(Tareas!$B13),"-",SUM(
SUMIF(INDIRECT(Equipo!$C$4&amp;"!B10:B1000"),$B17,INDIRECT(Equipo!$C$4&amp;"!"&amp;ADDRESS(10,COLUMN(F$9)-1)&amp;":"&amp;ADDRESS(1000,COLUMN(F$9)-1))),
SUMIF(INDIRECT(Equipo!$D$4&amp;"!B10:B1000"),$B17,INDIRECT(Equipo!$D$4&amp;"!"&amp;ADDRESS(10,COLUMN(F$9)-1)&amp;":"&amp;ADDRESS(1000,COLUMN(F$9)-1))),
SUMIF(INDIRECT(Equipo!$E$4&amp;"!B10:B1000"),$B17,INDIRECT(Equipo!$E$4&amp;"!"&amp;ADDRESS(10,COLUMN(F$9)-1)&amp;":"&amp;ADDRESS(1000,COLUMN(F$9)-1))),
SUMIF(INDIRECT(Equipo!$F$4&amp;"!B10:B1000"),$B17,INDIRECT(Equipo!$F$4&amp;"!"&amp;ADDRESS(10,COLUMN(F$9)-1)&amp;":"&amp;ADDRESS(1000,COLUMN(F$9)-1))),
SUMIF(INDIRECT(Equipo!$G$4&amp;"!B10:B1000"),$B17,INDIRECT(Equipo!$G$4&amp;"!"&amp;ADDRESS(10,COLUMN(F$9)-1)&amp;":"&amp;ADDRESS(1000,COLUMN(F$9)-1)))))</f>
        <v>2.5</v>
      </c>
      <c r="G17" s="19">
        <f t="array" ref="G17">IF(ISBLANK(Tareas!$B13),"-",SUM(
SUMIF(INDIRECT(Equipo!$C$4&amp;"!B10:B1000"),$B17,INDIRECT(Equipo!$C$4&amp;"!"&amp;ADDRESS(10,COLUMN(G$9)-1)&amp;":"&amp;ADDRESS(1000,COLUMN(G$9)-1))),
SUMIF(INDIRECT(Equipo!$D$4&amp;"!B10:B1000"),$B17,INDIRECT(Equipo!$D$4&amp;"!"&amp;ADDRESS(10,COLUMN(G$9)-1)&amp;":"&amp;ADDRESS(1000,COLUMN(G$9)-1))),
SUMIF(INDIRECT(Equipo!$E$4&amp;"!B10:B1000"),$B17,INDIRECT(Equipo!$E$4&amp;"!"&amp;ADDRESS(10,COLUMN(G$9)-1)&amp;":"&amp;ADDRESS(1000,COLUMN(G$9)-1))),
SUMIF(INDIRECT(Equipo!$F$4&amp;"!B10:B1000"),$B17,INDIRECT(Equipo!$F$4&amp;"!"&amp;ADDRESS(10,COLUMN(G$9)-1)&amp;":"&amp;ADDRESS(1000,COLUMN(G$9)-1))),
SUMIF(INDIRECT(Equipo!$G$4&amp;"!B10:B1000"),$B17,INDIRECT(Equipo!$G$4&amp;"!"&amp;ADDRESS(10,COLUMN(G$9)-1)&amp;":"&amp;ADDRESS(1000,COLUMN(G$9)-1)))))</f>
        <v>0</v>
      </c>
      <c r="H17" s="19">
        <f t="array" ref="H17">IF(ISBLANK(Tareas!$B13),"-",SUM(
SUMIF(INDIRECT(Equipo!$C$4&amp;"!B10:B1000"),$B17,INDIRECT(Equipo!$C$4&amp;"!"&amp;ADDRESS(10,COLUMN(H$9)-1)&amp;":"&amp;ADDRESS(1000,COLUMN(H$9)-1))),
SUMIF(INDIRECT(Equipo!$D$4&amp;"!B10:B1000"),$B17,INDIRECT(Equipo!$D$4&amp;"!"&amp;ADDRESS(10,COLUMN(H$9)-1)&amp;":"&amp;ADDRESS(1000,COLUMN(H$9)-1))),
SUMIF(INDIRECT(Equipo!$E$4&amp;"!B10:B1000"),$B17,INDIRECT(Equipo!$E$4&amp;"!"&amp;ADDRESS(10,COLUMN(H$9)-1)&amp;":"&amp;ADDRESS(1000,COLUMN(H$9)-1))),
SUMIF(INDIRECT(Equipo!$F$4&amp;"!B10:B1000"),$B17,INDIRECT(Equipo!$F$4&amp;"!"&amp;ADDRESS(10,COLUMN(H$9)-1)&amp;":"&amp;ADDRESS(1000,COLUMN(H$9)-1))),
SUMIF(INDIRECT(Equipo!$G$4&amp;"!B10:B1000"),$B17,INDIRECT(Equipo!$G$4&amp;"!"&amp;ADDRESS(10,COLUMN(H$9)-1)&amp;":"&amp;ADDRESS(1000,COLUMN(H$9)-1)))))</f>
        <v>0</v>
      </c>
      <c r="I17" s="19">
        <f t="array" ref="I17">IF(ISBLANK(Tareas!$B13),"-",SUM(
SUMIF(INDIRECT(Equipo!$C$4&amp;"!B10:B1000"),$B17,INDIRECT(Equipo!$C$4&amp;"!"&amp;ADDRESS(10,COLUMN(I$9)-1)&amp;":"&amp;ADDRESS(1000,COLUMN(I$9)-1))),
SUMIF(INDIRECT(Equipo!$D$4&amp;"!B10:B1000"),$B17,INDIRECT(Equipo!$D$4&amp;"!"&amp;ADDRESS(10,COLUMN(I$9)-1)&amp;":"&amp;ADDRESS(1000,COLUMN(I$9)-1))),
SUMIF(INDIRECT(Equipo!$E$4&amp;"!B10:B1000"),$B17,INDIRECT(Equipo!$E$4&amp;"!"&amp;ADDRESS(10,COLUMN(I$9)-1)&amp;":"&amp;ADDRESS(1000,COLUMN(I$9)-1))),
SUMIF(INDIRECT(Equipo!$F$4&amp;"!B10:B1000"),$B17,INDIRECT(Equipo!$F$4&amp;"!"&amp;ADDRESS(10,COLUMN(I$9)-1)&amp;":"&amp;ADDRESS(1000,COLUMN(I$9)-1))),
SUMIF(INDIRECT(Equipo!$G$4&amp;"!B10:B1000"),$B17,INDIRECT(Equipo!$G$4&amp;"!"&amp;ADDRESS(10,COLUMN(I$9)-1)&amp;":"&amp;ADDRESS(1000,COLUMN(I$9)-1)))))</f>
        <v>0</v>
      </c>
      <c r="J17" s="19">
        <f t="array" ref="J17">IF(ISBLANK(Tareas!$B13),"-",SUM(
SUMIF(INDIRECT(Equipo!$C$4&amp;"!B10:B1000"),$B17,INDIRECT(Equipo!$C$4&amp;"!"&amp;ADDRESS(10,COLUMN(J$9)-1)&amp;":"&amp;ADDRESS(1000,COLUMN(J$9)-1))),
SUMIF(INDIRECT(Equipo!$D$4&amp;"!B10:B1000"),$B17,INDIRECT(Equipo!$D$4&amp;"!"&amp;ADDRESS(10,COLUMN(J$9)-1)&amp;":"&amp;ADDRESS(1000,COLUMN(J$9)-1))),
SUMIF(INDIRECT(Equipo!$E$4&amp;"!B10:B1000"),$B17,INDIRECT(Equipo!$E$4&amp;"!"&amp;ADDRESS(10,COLUMN(J$9)-1)&amp;":"&amp;ADDRESS(1000,COLUMN(J$9)-1))),
SUMIF(INDIRECT(Equipo!$F$4&amp;"!B10:B1000"),$B17,INDIRECT(Equipo!$F$4&amp;"!"&amp;ADDRESS(10,COLUMN(J$9)-1)&amp;":"&amp;ADDRESS(1000,COLUMN(J$9)-1))),
SUMIF(INDIRECT(Equipo!$G$4&amp;"!B10:B1000"),$B17,INDIRECT(Equipo!$G$4&amp;"!"&amp;ADDRESS(10,COLUMN(J$9)-1)&amp;":"&amp;ADDRESS(1000,COLUMN(J$9)-1)))))</f>
        <v>0</v>
      </c>
      <c r="K17" s="19">
        <f t="array" ref="K17">IF(ISBLANK(Tareas!$B13),"-",SUM(
SUMIF(INDIRECT(Equipo!$C$4&amp;"!B10:B1000"),$B17,INDIRECT(Equipo!$C$4&amp;"!"&amp;ADDRESS(10,COLUMN(K$9)-1)&amp;":"&amp;ADDRESS(1000,COLUMN(K$9)-1))),
SUMIF(INDIRECT(Equipo!$D$4&amp;"!B10:B1000"),$B17,INDIRECT(Equipo!$D$4&amp;"!"&amp;ADDRESS(10,COLUMN(K$9)-1)&amp;":"&amp;ADDRESS(1000,COLUMN(K$9)-1))),
SUMIF(INDIRECT(Equipo!$E$4&amp;"!B10:B1000"),$B17,INDIRECT(Equipo!$E$4&amp;"!"&amp;ADDRESS(10,COLUMN(K$9)-1)&amp;":"&amp;ADDRESS(1000,COLUMN(K$9)-1))),
SUMIF(INDIRECT(Equipo!$F$4&amp;"!B10:B1000"),$B17,INDIRECT(Equipo!$F$4&amp;"!"&amp;ADDRESS(10,COLUMN(K$9)-1)&amp;":"&amp;ADDRESS(1000,COLUMN(K$9)-1))),
SUMIF(INDIRECT(Equipo!$G$4&amp;"!B10:B1000"),$B17,INDIRECT(Equipo!$G$4&amp;"!"&amp;ADDRESS(10,COLUMN(K$9)-1)&amp;":"&amp;ADDRESS(1000,COLUMN(K$9)-1)))))</f>
        <v>0</v>
      </c>
    </row>
    <row r="18" ht="15.75" customHeight="1">
      <c r="B18" s="1" t="str">
        <f>IF(ISBLANK(Tareas!B14)," - ",Tareas!B14)</f>
        <v>9. Revisión del análisis de requisitos</v>
      </c>
      <c r="D18" s="19">
        <f t="array" ref="D18">IF(ISBLANK(Tareas!$B14),"-",SUM(
SUMIF(INDIRECT(Equipo!$C$4&amp;"!B10:B1000"),$B18,INDIRECT(Equipo!$C$4&amp;"!"&amp;ADDRESS(10,COLUMN(D$9)-1)&amp;":"&amp;ADDRESS(1000,COLUMN(D$9)-1))),
SUMIF(INDIRECT(Equipo!$D$4&amp;"!B10:B1000"),$B18,INDIRECT(Equipo!$D$4&amp;"!"&amp;ADDRESS(10,COLUMN(D$9)-1)&amp;":"&amp;ADDRESS(1000,COLUMN(D$9)-1))),
SUMIF(INDIRECT(Equipo!$E$4&amp;"!B10:B1000"),$B18,INDIRECT(Equipo!$E$4&amp;"!"&amp;ADDRESS(10,COLUMN(D$9)-1)&amp;":"&amp;ADDRESS(1000,COLUMN(D$9)-1))),
SUMIF(INDIRECT(Equipo!$F$4&amp;"!B10:B1000"),$B18,INDIRECT(Equipo!$F$4&amp;"!"&amp;ADDRESS(10,COLUMN(D$9)-1)&amp;":"&amp;ADDRESS(1000,COLUMN(D$9)-1))),
SUMIF(INDIRECT(Equipo!$G$4&amp;"!B10:B1000"),$B18,INDIRECT(Equipo!$G$4&amp;"!"&amp;ADDRESS(10,COLUMN(D$9)-1)&amp;":"&amp;ADDRESS(1000,COLUMN(D$9)-1)))))</f>
        <v>0</v>
      </c>
      <c r="E18" s="19">
        <f t="array" ref="E18">IF(ISBLANK(Tareas!$B14),"-",SUM(
SUMIF(INDIRECT(Equipo!$C$4&amp;"!B10:B1000"),$B18,INDIRECT(Equipo!$C$4&amp;"!"&amp;ADDRESS(10,COLUMN(E$9)-1)&amp;":"&amp;ADDRESS(1000,COLUMN(E$9)-1))),
SUMIF(INDIRECT(Equipo!$D$4&amp;"!B10:B1000"),$B18,INDIRECT(Equipo!$D$4&amp;"!"&amp;ADDRESS(10,COLUMN(E$9)-1)&amp;":"&amp;ADDRESS(1000,COLUMN(E$9)-1))),
SUMIF(INDIRECT(Equipo!$E$4&amp;"!B10:B1000"),$B18,INDIRECT(Equipo!$E$4&amp;"!"&amp;ADDRESS(10,COLUMN(E$9)-1)&amp;":"&amp;ADDRESS(1000,COLUMN(E$9)-1))),
SUMIF(INDIRECT(Equipo!$F$4&amp;"!B10:B1000"),$B18,INDIRECT(Equipo!$F$4&amp;"!"&amp;ADDRESS(10,COLUMN(E$9)-1)&amp;":"&amp;ADDRESS(1000,COLUMN(E$9)-1))),
SUMIF(INDIRECT(Equipo!$G$4&amp;"!B10:B1000"),$B18,INDIRECT(Equipo!$G$4&amp;"!"&amp;ADDRESS(10,COLUMN(E$9)-1)&amp;":"&amp;ADDRESS(1000,COLUMN(E$9)-1)))))</f>
        <v>0</v>
      </c>
      <c r="F18" s="19">
        <f t="array" ref="F18">IF(ISBLANK(Tareas!$B14),"-",SUM(
SUMIF(INDIRECT(Equipo!$C$4&amp;"!B10:B1000"),$B18,INDIRECT(Equipo!$C$4&amp;"!"&amp;ADDRESS(10,COLUMN(F$9)-1)&amp;":"&amp;ADDRESS(1000,COLUMN(F$9)-1))),
SUMIF(INDIRECT(Equipo!$D$4&amp;"!B10:B1000"),$B18,INDIRECT(Equipo!$D$4&amp;"!"&amp;ADDRESS(10,COLUMN(F$9)-1)&amp;":"&amp;ADDRESS(1000,COLUMN(F$9)-1))),
SUMIF(INDIRECT(Equipo!$E$4&amp;"!B10:B1000"),$B18,INDIRECT(Equipo!$E$4&amp;"!"&amp;ADDRESS(10,COLUMN(F$9)-1)&amp;":"&amp;ADDRESS(1000,COLUMN(F$9)-1))),
SUMIF(INDIRECT(Equipo!$F$4&amp;"!B10:B1000"),$B18,INDIRECT(Equipo!$F$4&amp;"!"&amp;ADDRESS(10,COLUMN(F$9)-1)&amp;":"&amp;ADDRESS(1000,COLUMN(F$9)-1))),
SUMIF(INDIRECT(Equipo!$G$4&amp;"!B10:B1000"),$B18,INDIRECT(Equipo!$G$4&amp;"!"&amp;ADDRESS(10,COLUMN(F$9)-1)&amp;":"&amp;ADDRESS(1000,COLUMN(F$9)-1)))))</f>
        <v>2.8</v>
      </c>
      <c r="G18" s="19">
        <f t="array" ref="G18">IF(ISBLANK(Tareas!$B14),"-",SUM(
SUMIF(INDIRECT(Equipo!$C$4&amp;"!B10:B1000"),$B18,INDIRECT(Equipo!$C$4&amp;"!"&amp;ADDRESS(10,COLUMN(G$9)-1)&amp;":"&amp;ADDRESS(1000,COLUMN(G$9)-1))),
SUMIF(INDIRECT(Equipo!$D$4&amp;"!B10:B1000"),$B18,INDIRECT(Equipo!$D$4&amp;"!"&amp;ADDRESS(10,COLUMN(G$9)-1)&amp;":"&amp;ADDRESS(1000,COLUMN(G$9)-1))),
SUMIF(INDIRECT(Equipo!$E$4&amp;"!B10:B1000"),$B18,INDIRECT(Equipo!$E$4&amp;"!"&amp;ADDRESS(10,COLUMN(G$9)-1)&amp;":"&amp;ADDRESS(1000,COLUMN(G$9)-1))),
SUMIF(INDIRECT(Equipo!$F$4&amp;"!B10:B1000"),$B18,INDIRECT(Equipo!$F$4&amp;"!"&amp;ADDRESS(10,COLUMN(G$9)-1)&amp;":"&amp;ADDRESS(1000,COLUMN(G$9)-1))),
SUMIF(INDIRECT(Equipo!$G$4&amp;"!B10:B1000"),$B18,INDIRECT(Equipo!$G$4&amp;"!"&amp;ADDRESS(10,COLUMN(G$9)-1)&amp;":"&amp;ADDRESS(1000,COLUMN(G$9)-1)))))</f>
        <v>0</v>
      </c>
      <c r="H18" s="19">
        <f t="array" ref="H18">IF(ISBLANK(Tareas!$B14),"-",SUM(
SUMIF(INDIRECT(Equipo!$C$4&amp;"!B10:B1000"),$B18,INDIRECT(Equipo!$C$4&amp;"!"&amp;ADDRESS(10,COLUMN(H$9)-1)&amp;":"&amp;ADDRESS(1000,COLUMN(H$9)-1))),
SUMIF(INDIRECT(Equipo!$D$4&amp;"!B10:B1000"),$B18,INDIRECT(Equipo!$D$4&amp;"!"&amp;ADDRESS(10,COLUMN(H$9)-1)&amp;":"&amp;ADDRESS(1000,COLUMN(H$9)-1))),
SUMIF(INDIRECT(Equipo!$E$4&amp;"!B10:B1000"),$B18,INDIRECT(Equipo!$E$4&amp;"!"&amp;ADDRESS(10,COLUMN(H$9)-1)&amp;":"&amp;ADDRESS(1000,COLUMN(H$9)-1))),
SUMIF(INDIRECT(Equipo!$F$4&amp;"!B10:B1000"),$B18,INDIRECT(Equipo!$F$4&amp;"!"&amp;ADDRESS(10,COLUMN(H$9)-1)&amp;":"&amp;ADDRESS(1000,COLUMN(H$9)-1))),
SUMIF(INDIRECT(Equipo!$G$4&amp;"!B10:B1000"),$B18,INDIRECT(Equipo!$G$4&amp;"!"&amp;ADDRESS(10,COLUMN(H$9)-1)&amp;":"&amp;ADDRESS(1000,COLUMN(H$9)-1)))))</f>
        <v>0</v>
      </c>
      <c r="I18" s="19">
        <f t="array" ref="I18">IF(ISBLANK(Tareas!$B14),"-",SUM(
SUMIF(INDIRECT(Equipo!$C$4&amp;"!B10:B1000"),$B18,INDIRECT(Equipo!$C$4&amp;"!"&amp;ADDRESS(10,COLUMN(I$9)-1)&amp;":"&amp;ADDRESS(1000,COLUMN(I$9)-1))),
SUMIF(INDIRECT(Equipo!$D$4&amp;"!B10:B1000"),$B18,INDIRECT(Equipo!$D$4&amp;"!"&amp;ADDRESS(10,COLUMN(I$9)-1)&amp;":"&amp;ADDRESS(1000,COLUMN(I$9)-1))),
SUMIF(INDIRECT(Equipo!$E$4&amp;"!B10:B1000"),$B18,INDIRECT(Equipo!$E$4&amp;"!"&amp;ADDRESS(10,COLUMN(I$9)-1)&amp;":"&amp;ADDRESS(1000,COLUMN(I$9)-1))),
SUMIF(INDIRECT(Equipo!$F$4&amp;"!B10:B1000"),$B18,INDIRECT(Equipo!$F$4&amp;"!"&amp;ADDRESS(10,COLUMN(I$9)-1)&amp;":"&amp;ADDRESS(1000,COLUMN(I$9)-1))),
SUMIF(INDIRECT(Equipo!$G$4&amp;"!B10:B1000"),$B18,INDIRECT(Equipo!$G$4&amp;"!"&amp;ADDRESS(10,COLUMN(I$9)-1)&amp;":"&amp;ADDRESS(1000,COLUMN(I$9)-1)))))</f>
        <v>0</v>
      </c>
      <c r="J18" s="19">
        <f t="array" ref="J18">IF(ISBLANK(Tareas!$B14),"-",SUM(
SUMIF(INDIRECT(Equipo!$C$4&amp;"!B10:B1000"),$B18,INDIRECT(Equipo!$C$4&amp;"!"&amp;ADDRESS(10,COLUMN(J$9)-1)&amp;":"&amp;ADDRESS(1000,COLUMN(J$9)-1))),
SUMIF(INDIRECT(Equipo!$D$4&amp;"!B10:B1000"),$B18,INDIRECT(Equipo!$D$4&amp;"!"&amp;ADDRESS(10,COLUMN(J$9)-1)&amp;":"&amp;ADDRESS(1000,COLUMN(J$9)-1))),
SUMIF(INDIRECT(Equipo!$E$4&amp;"!B10:B1000"),$B18,INDIRECT(Equipo!$E$4&amp;"!"&amp;ADDRESS(10,COLUMN(J$9)-1)&amp;":"&amp;ADDRESS(1000,COLUMN(J$9)-1))),
SUMIF(INDIRECT(Equipo!$F$4&amp;"!B10:B1000"),$B18,INDIRECT(Equipo!$F$4&amp;"!"&amp;ADDRESS(10,COLUMN(J$9)-1)&amp;":"&amp;ADDRESS(1000,COLUMN(J$9)-1))),
SUMIF(INDIRECT(Equipo!$G$4&amp;"!B10:B1000"),$B18,INDIRECT(Equipo!$G$4&amp;"!"&amp;ADDRESS(10,COLUMN(J$9)-1)&amp;":"&amp;ADDRESS(1000,COLUMN(J$9)-1)))))</f>
        <v>0</v>
      </c>
      <c r="K18" s="19">
        <f t="array" ref="K18">IF(ISBLANK(Tareas!$B14),"-",SUM(
SUMIF(INDIRECT(Equipo!$C$4&amp;"!B10:B1000"),$B18,INDIRECT(Equipo!$C$4&amp;"!"&amp;ADDRESS(10,COLUMN(K$9)-1)&amp;":"&amp;ADDRESS(1000,COLUMN(K$9)-1))),
SUMIF(INDIRECT(Equipo!$D$4&amp;"!B10:B1000"),$B18,INDIRECT(Equipo!$D$4&amp;"!"&amp;ADDRESS(10,COLUMN(K$9)-1)&amp;":"&amp;ADDRESS(1000,COLUMN(K$9)-1))),
SUMIF(INDIRECT(Equipo!$E$4&amp;"!B10:B1000"),$B18,INDIRECT(Equipo!$E$4&amp;"!"&amp;ADDRESS(10,COLUMN(K$9)-1)&amp;":"&amp;ADDRESS(1000,COLUMN(K$9)-1))),
SUMIF(INDIRECT(Equipo!$F$4&amp;"!B10:B1000"),$B18,INDIRECT(Equipo!$F$4&amp;"!"&amp;ADDRESS(10,COLUMN(K$9)-1)&amp;":"&amp;ADDRESS(1000,COLUMN(K$9)-1))),
SUMIF(INDIRECT(Equipo!$G$4&amp;"!B10:B1000"),$B18,INDIRECT(Equipo!$G$4&amp;"!"&amp;ADDRESS(10,COLUMN(K$9)-1)&amp;":"&amp;ADDRESS(1000,COLUMN(K$9)-1)))))</f>
        <v>0</v>
      </c>
    </row>
    <row r="19" ht="15.75" customHeight="1">
      <c r="B19" s="1" t="str">
        <f>IF(ISBLANK(Tareas!B15)," - ",Tareas!B15)</f>
        <v>10. Disposición del ERS en la línea base (GCS)</v>
      </c>
      <c r="D19" s="19">
        <f t="array" ref="D19">IF(ISBLANK(Tareas!$B15),"-",SUM(
SUMIF(INDIRECT(Equipo!$C$4&amp;"!B10:B1000"),$B19,INDIRECT(Equipo!$C$4&amp;"!"&amp;ADDRESS(10,COLUMN(D$9)-1)&amp;":"&amp;ADDRESS(1000,COLUMN(D$9)-1))),
SUMIF(INDIRECT(Equipo!$D$4&amp;"!B10:B1000"),$B19,INDIRECT(Equipo!$D$4&amp;"!"&amp;ADDRESS(10,COLUMN(D$9)-1)&amp;":"&amp;ADDRESS(1000,COLUMN(D$9)-1))),
SUMIF(INDIRECT(Equipo!$E$4&amp;"!B10:B1000"),$B19,INDIRECT(Equipo!$E$4&amp;"!"&amp;ADDRESS(10,COLUMN(D$9)-1)&amp;":"&amp;ADDRESS(1000,COLUMN(D$9)-1))),
SUMIF(INDIRECT(Equipo!$F$4&amp;"!B10:B1000"),$B19,INDIRECT(Equipo!$F$4&amp;"!"&amp;ADDRESS(10,COLUMN(D$9)-1)&amp;":"&amp;ADDRESS(1000,COLUMN(D$9)-1))),
SUMIF(INDIRECT(Equipo!$G$4&amp;"!B10:B1000"),$B19,INDIRECT(Equipo!$G$4&amp;"!"&amp;ADDRESS(10,COLUMN(D$9)-1)&amp;":"&amp;ADDRESS(1000,COLUMN(D$9)-1)))))</f>
        <v>0</v>
      </c>
      <c r="E19" s="19">
        <f t="array" ref="E19">IF(ISBLANK(Tareas!$B15),"-",SUM(
SUMIF(INDIRECT(Equipo!$C$4&amp;"!B10:B1000"),$B19,INDIRECT(Equipo!$C$4&amp;"!"&amp;ADDRESS(10,COLUMN(E$9)-1)&amp;":"&amp;ADDRESS(1000,COLUMN(E$9)-1))),
SUMIF(INDIRECT(Equipo!$D$4&amp;"!B10:B1000"),$B19,INDIRECT(Equipo!$D$4&amp;"!"&amp;ADDRESS(10,COLUMN(E$9)-1)&amp;":"&amp;ADDRESS(1000,COLUMN(E$9)-1))),
SUMIF(INDIRECT(Equipo!$E$4&amp;"!B10:B1000"),$B19,INDIRECT(Equipo!$E$4&amp;"!"&amp;ADDRESS(10,COLUMN(E$9)-1)&amp;":"&amp;ADDRESS(1000,COLUMN(E$9)-1))),
SUMIF(INDIRECT(Equipo!$F$4&amp;"!B10:B1000"),$B19,INDIRECT(Equipo!$F$4&amp;"!"&amp;ADDRESS(10,COLUMN(E$9)-1)&amp;":"&amp;ADDRESS(1000,COLUMN(E$9)-1))),
SUMIF(INDIRECT(Equipo!$G$4&amp;"!B10:B1000"),$B19,INDIRECT(Equipo!$G$4&amp;"!"&amp;ADDRESS(10,COLUMN(E$9)-1)&amp;":"&amp;ADDRESS(1000,COLUMN(E$9)-1)))))</f>
        <v>0</v>
      </c>
      <c r="F19" s="19">
        <f t="array" ref="F19">IF(ISBLANK(Tareas!$B15),"-",SUM(
SUMIF(INDIRECT(Equipo!$C$4&amp;"!B10:B1000"),$B19,INDIRECT(Equipo!$C$4&amp;"!"&amp;ADDRESS(10,COLUMN(F$9)-1)&amp;":"&amp;ADDRESS(1000,COLUMN(F$9)-1))),
SUMIF(INDIRECT(Equipo!$D$4&amp;"!B10:B1000"),$B19,INDIRECT(Equipo!$D$4&amp;"!"&amp;ADDRESS(10,COLUMN(F$9)-1)&amp;":"&amp;ADDRESS(1000,COLUMN(F$9)-1))),
SUMIF(INDIRECT(Equipo!$E$4&amp;"!B10:B1000"),$B19,INDIRECT(Equipo!$E$4&amp;"!"&amp;ADDRESS(10,COLUMN(F$9)-1)&amp;":"&amp;ADDRESS(1000,COLUMN(F$9)-1))),
SUMIF(INDIRECT(Equipo!$F$4&amp;"!B10:B1000"),$B19,INDIRECT(Equipo!$F$4&amp;"!"&amp;ADDRESS(10,COLUMN(F$9)-1)&amp;":"&amp;ADDRESS(1000,COLUMN(F$9)-1))),
SUMIF(INDIRECT(Equipo!$G$4&amp;"!B10:B1000"),$B19,INDIRECT(Equipo!$G$4&amp;"!"&amp;ADDRESS(10,COLUMN(F$9)-1)&amp;":"&amp;ADDRESS(1000,COLUMN(F$9)-1)))))</f>
        <v>0.3</v>
      </c>
      <c r="G19" s="19">
        <f t="array" ref="G19">IF(ISBLANK(Tareas!$B15),"-",SUM(
SUMIF(INDIRECT(Equipo!$C$4&amp;"!B10:B1000"),$B19,INDIRECT(Equipo!$C$4&amp;"!"&amp;ADDRESS(10,COLUMN(G$9)-1)&amp;":"&amp;ADDRESS(1000,COLUMN(G$9)-1))),
SUMIF(INDIRECT(Equipo!$D$4&amp;"!B10:B1000"),$B19,INDIRECT(Equipo!$D$4&amp;"!"&amp;ADDRESS(10,COLUMN(G$9)-1)&amp;":"&amp;ADDRESS(1000,COLUMN(G$9)-1))),
SUMIF(INDIRECT(Equipo!$E$4&amp;"!B10:B1000"),$B19,INDIRECT(Equipo!$E$4&amp;"!"&amp;ADDRESS(10,COLUMN(G$9)-1)&amp;":"&amp;ADDRESS(1000,COLUMN(G$9)-1))),
SUMIF(INDIRECT(Equipo!$F$4&amp;"!B10:B1000"),$B19,INDIRECT(Equipo!$F$4&amp;"!"&amp;ADDRESS(10,COLUMN(G$9)-1)&amp;":"&amp;ADDRESS(1000,COLUMN(G$9)-1))),
SUMIF(INDIRECT(Equipo!$G$4&amp;"!B10:B1000"),$B19,INDIRECT(Equipo!$G$4&amp;"!"&amp;ADDRESS(10,COLUMN(G$9)-1)&amp;":"&amp;ADDRESS(1000,COLUMN(G$9)-1)))))</f>
        <v>0</v>
      </c>
      <c r="H19" s="19">
        <f t="array" ref="H19">IF(ISBLANK(Tareas!$B15),"-",SUM(
SUMIF(INDIRECT(Equipo!$C$4&amp;"!B10:B1000"),$B19,INDIRECT(Equipo!$C$4&amp;"!"&amp;ADDRESS(10,COLUMN(H$9)-1)&amp;":"&amp;ADDRESS(1000,COLUMN(H$9)-1))),
SUMIF(INDIRECT(Equipo!$D$4&amp;"!B10:B1000"),$B19,INDIRECT(Equipo!$D$4&amp;"!"&amp;ADDRESS(10,COLUMN(H$9)-1)&amp;":"&amp;ADDRESS(1000,COLUMN(H$9)-1))),
SUMIF(INDIRECT(Equipo!$E$4&amp;"!B10:B1000"),$B19,INDIRECT(Equipo!$E$4&amp;"!"&amp;ADDRESS(10,COLUMN(H$9)-1)&amp;":"&amp;ADDRESS(1000,COLUMN(H$9)-1))),
SUMIF(INDIRECT(Equipo!$F$4&amp;"!B10:B1000"),$B19,INDIRECT(Equipo!$F$4&amp;"!"&amp;ADDRESS(10,COLUMN(H$9)-1)&amp;":"&amp;ADDRESS(1000,COLUMN(H$9)-1))),
SUMIF(INDIRECT(Equipo!$G$4&amp;"!B10:B1000"),$B19,INDIRECT(Equipo!$G$4&amp;"!"&amp;ADDRESS(10,COLUMN(H$9)-1)&amp;":"&amp;ADDRESS(1000,COLUMN(H$9)-1)))))</f>
        <v>0</v>
      </c>
      <c r="I19" s="19">
        <f t="array" ref="I19">IF(ISBLANK(Tareas!$B15),"-",SUM(
SUMIF(INDIRECT(Equipo!$C$4&amp;"!B10:B1000"),$B19,INDIRECT(Equipo!$C$4&amp;"!"&amp;ADDRESS(10,COLUMN(I$9)-1)&amp;":"&amp;ADDRESS(1000,COLUMN(I$9)-1))),
SUMIF(INDIRECT(Equipo!$D$4&amp;"!B10:B1000"),$B19,INDIRECT(Equipo!$D$4&amp;"!"&amp;ADDRESS(10,COLUMN(I$9)-1)&amp;":"&amp;ADDRESS(1000,COLUMN(I$9)-1))),
SUMIF(INDIRECT(Equipo!$E$4&amp;"!B10:B1000"),$B19,INDIRECT(Equipo!$E$4&amp;"!"&amp;ADDRESS(10,COLUMN(I$9)-1)&amp;":"&amp;ADDRESS(1000,COLUMN(I$9)-1))),
SUMIF(INDIRECT(Equipo!$F$4&amp;"!B10:B1000"),$B19,INDIRECT(Equipo!$F$4&amp;"!"&amp;ADDRESS(10,COLUMN(I$9)-1)&amp;":"&amp;ADDRESS(1000,COLUMN(I$9)-1))),
SUMIF(INDIRECT(Equipo!$G$4&amp;"!B10:B1000"),$B19,INDIRECT(Equipo!$G$4&amp;"!"&amp;ADDRESS(10,COLUMN(I$9)-1)&amp;":"&amp;ADDRESS(1000,COLUMN(I$9)-1)))))</f>
        <v>0</v>
      </c>
      <c r="J19" s="19">
        <f t="array" ref="J19">IF(ISBLANK(Tareas!$B15),"-",SUM(
SUMIF(INDIRECT(Equipo!$C$4&amp;"!B10:B1000"),$B19,INDIRECT(Equipo!$C$4&amp;"!"&amp;ADDRESS(10,COLUMN(J$9)-1)&amp;":"&amp;ADDRESS(1000,COLUMN(J$9)-1))),
SUMIF(INDIRECT(Equipo!$D$4&amp;"!B10:B1000"),$B19,INDIRECT(Equipo!$D$4&amp;"!"&amp;ADDRESS(10,COLUMN(J$9)-1)&amp;":"&amp;ADDRESS(1000,COLUMN(J$9)-1))),
SUMIF(INDIRECT(Equipo!$E$4&amp;"!B10:B1000"),$B19,INDIRECT(Equipo!$E$4&amp;"!"&amp;ADDRESS(10,COLUMN(J$9)-1)&amp;":"&amp;ADDRESS(1000,COLUMN(J$9)-1))),
SUMIF(INDIRECT(Equipo!$F$4&amp;"!B10:B1000"),$B19,INDIRECT(Equipo!$F$4&amp;"!"&amp;ADDRESS(10,COLUMN(J$9)-1)&amp;":"&amp;ADDRESS(1000,COLUMN(J$9)-1))),
SUMIF(INDIRECT(Equipo!$G$4&amp;"!B10:B1000"),$B19,INDIRECT(Equipo!$G$4&amp;"!"&amp;ADDRESS(10,COLUMN(J$9)-1)&amp;":"&amp;ADDRESS(1000,COLUMN(J$9)-1)))))</f>
        <v>0</v>
      </c>
      <c r="K19" s="19">
        <f t="array" ref="K19">IF(ISBLANK(Tareas!$B15),"-",SUM(
SUMIF(INDIRECT(Equipo!$C$4&amp;"!B10:B1000"),$B19,INDIRECT(Equipo!$C$4&amp;"!"&amp;ADDRESS(10,COLUMN(K$9)-1)&amp;":"&amp;ADDRESS(1000,COLUMN(K$9)-1))),
SUMIF(INDIRECT(Equipo!$D$4&amp;"!B10:B1000"),$B19,INDIRECT(Equipo!$D$4&amp;"!"&amp;ADDRESS(10,COLUMN(K$9)-1)&amp;":"&amp;ADDRESS(1000,COLUMN(K$9)-1))),
SUMIF(INDIRECT(Equipo!$E$4&amp;"!B10:B1000"),$B19,INDIRECT(Equipo!$E$4&amp;"!"&amp;ADDRESS(10,COLUMN(K$9)-1)&amp;":"&amp;ADDRESS(1000,COLUMN(K$9)-1))),
SUMIF(INDIRECT(Equipo!$F$4&amp;"!B10:B1000"),$B19,INDIRECT(Equipo!$F$4&amp;"!"&amp;ADDRESS(10,COLUMN(K$9)-1)&amp;":"&amp;ADDRESS(1000,COLUMN(K$9)-1))),
SUMIF(INDIRECT(Equipo!$G$4&amp;"!B10:B1000"),$B19,INDIRECT(Equipo!$G$4&amp;"!"&amp;ADDRESS(10,COLUMN(K$9)-1)&amp;":"&amp;ADDRESS(1000,COLUMN(K$9)-1)))))</f>
        <v>0</v>
      </c>
    </row>
    <row r="20" ht="15.75" customHeight="1">
      <c r="B20" s="1" t="str">
        <f>IF(ISBLANK(Tareas!B16)," - ",Tareas!B16)</f>
        <v>11. Definición del plan para el ciclo de vida 1</v>
      </c>
      <c r="D20" s="19">
        <f t="array" ref="D20">IF(ISBLANK(Tareas!$B16),"-",SUM(
SUMIF(INDIRECT(Equipo!$C$4&amp;"!B10:B1000"),$B20,INDIRECT(Equipo!$C$4&amp;"!"&amp;ADDRESS(10,COLUMN(D$9)-1)&amp;":"&amp;ADDRESS(1000,COLUMN(D$9)-1))),
SUMIF(INDIRECT(Equipo!$D$4&amp;"!B10:B1000"),$B20,INDIRECT(Equipo!$D$4&amp;"!"&amp;ADDRESS(10,COLUMN(D$9)-1)&amp;":"&amp;ADDRESS(1000,COLUMN(D$9)-1))),
SUMIF(INDIRECT(Equipo!$E$4&amp;"!B10:B1000"),$B20,INDIRECT(Equipo!$E$4&amp;"!"&amp;ADDRESS(10,COLUMN(D$9)-1)&amp;":"&amp;ADDRESS(1000,COLUMN(D$9)-1))),
SUMIF(INDIRECT(Equipo!$F$4&amp;"!B10:B1000"),$B20,INDIRECT(Equipo!$F$4&amp;"!"&amp;ADDRESS(10,COLUMN(D$9)-1)&amp;":"&amp;ADDRESS(1000,COLUMN(D$9)-1))),
SUMIF(INDIRECT(Equipo!$G$4&amp;"!B10:B1000"),$B20,INDIRECT(Equipo!$G$4&amp;"!"&amp;ADDRESS(10,COLUMN(D$9)-1)&amp;":"&amp;ADDRESS(1000,COLUMN(D$9)-1)))))</f>
        <v>0</v>
      </c>
      <c r="E20" s="19">
        <f t="array" ref="E20">IF(ISBLANK(Tareas!$B16),"-",SUM(
SUMIF(INDIRECT(Equipo!$C$4&amp;"!B10:B1000"),$B20,INDIRECT(Equipo!$C$4&amp;"!"&amp;ADDRESS(10,COLUMN(E$9)-1)&amp;":"&amp;ADDRESS(1000,COLUMN(E$9)-1))),
SUMIF(INDIRECT(Equipo!$D$4&amp;"!B10:B1000"),$B20,INDIRECT(Equipo!$D$4&amp;"!"&amp;ADDRESS(10,COLUMN(E$9)-1)&amp;":"&amp;ADDRESS(1000,COLUMN(E$9)-1))),
SUMIF(INDIRECT(Equipo!$E$4&amp;"!B10:B1000"),$B20,INDIRECT(Equipo!$E$4&amp;"!"&amp;ADDRESS(10,COLUMN(E$9)-1)&amp;":"&amp;ADDRESS(1000,COLUMN(E$9)-1))),
SUMIF(INDIRECT(Equipo!$F$4&amp;"!B10:B1000"),$B20,INDIRECT(Equipo!$F$4&amp;"!"&amp;ADDRESS(10,COLUMN(E$9)-1)&amp;":"&amp;ADDRESS(1000,COLUMN(E$9)-1))),
SUMIF(INDIRECT(Equipo!$G$4&amp;"!B10:B1000"),$B20,INDIRECT(Equipo!$G$4&amp;"!"&amp;ADDRESS(10,COLUMN(E$9)-1)&amp;":"&amp;ADDRESS(1000,COLUMN(E$9)-1)))))</f>
        <v>0</v>
      </c>
      <c r="F20" s="19">
        <f t="array" ref="F20">IF(ISBLANK(Tareas!$B16),"-",SUM(
SUMIF(INDIRECT(Equipo!$C$4&amp;"!B10:B1000"),$B20,INDIRECT(Equipo!$C$4&amp;"!"&amp;ADDRESS(10,COLUMN(F$9)-1)&amp;":"&amp;ADDRESS(1000,COLUMN(F$9)-1))),
SUMIF(INDIRECT(Equipo!$D$4&amp;"!B10:B1000"),$B20,INDIRECT(Equipo!$D$4&amp;"!"&amp;ADDRESS(10,COLUMN(F$9)-1)&amp;":"&amp;ADDRESS(1000,COLUMN(F$9)-1))),
SUMIF(INDIRECT(Equipo!$E$4&amp;"!B10:B1000"),$B20,INDIRECT(Equipo!$E$4&amp;"!"&amp;ADDRESS(10,COLUMN(F$9)-1)&amp;":"&amp;ADDRESS(1000,COLUMN(F$9)-1))),
SUMIF(INDIRECT(Equipo!$F$4&amp;"!B10:B1000"),$B20,INDIRECT(Equipo!$F$4&amp;"!"&amp;ADDRESS(10,COLUMN(F$9)-1)&amp;":"&amp;ADDRESS(1000,COLUMN(F$9)-1))),
SUMIF(INDIRECT(Equipo!$G$4&amp;"!B10:B1000"),$B20,INDIRECT(Equipo!$G$4&amp;"!"&amp;ADDRESS(10,COLUMN(F$9)-1)&amp;":"&amp;ADDRESS(1000,COLUMN(F$9)-1)))))</f>
        <v>1.5</v>
      </c>
      <c r="G20" s="19">
        <f t="array" ref="G20">IF(ISBLANK(Tareas!$B16),"-",SUM(
SUMIF(INDIRECT(Equipo!$C$4&amp;"!B10:B1000"),$B20,INDIRECT(Equipo!$C$4&amp;"!"&amp;ADDRESS(10,COLUMN(G$9)-1)&amp;":"&amp;ADDRESS(1000,COLUMN(G$9)-1))),
SUMIF(INDIRECT(Equipo!$D$4&amp;"!B10:B1000"),$B20,INDIRECT(Equipo!$D$4&amp;"!"&amp;ADDRESS(10,COLUMN(G$9)-1)&amp;":"&amp;ADDRESS(1000,COLUMN(G$9)-1))),
SUMIF(INDIRECT(Equipo!$E$4&amp;"!B10:B1000"),$B20,INDIRECT(Equipo!$E$4&amp;"!"&amp;ADDRESS(10,COLUMN(G$9)-1)&amp;":"&amp;ADDRESS(1000,COLUMN(G$9)-1))),
SUMIF(INDIRECT(Equipo!$F$4&amp;"!B10:B1000"),$B20,INDIRECT(Equipo!$F$4&amp;"!"&amp;ADDRESS(10,COLUMN(G$9)-1)&amp;":"&amp;ADDRESS(1000,COLUMN(G$9)-1))),
SUMIF(INDIRECT(Equipo!$G$4&amp;"!B10:B1000"),$B20,INDIRECT(Equipo!$G$4&amp;"!"&amp;ADDRESS(10,COLUMN(G$9)-1)&amp;":"&amp;ADDRESS(1000,COLUMN(G$9)-1)))))</f>
        <v>0</v>
      </c>
      <c r="H20" s="19">
        <f t="array" ref="H20">IF(ISBLANK(Tareas!$B16),"-",SUM(
SUMIF(INDIRECT(Equipo!$C$4&amp;"!B10:B1000"),$B20,INDIRECT(Equipo!$C$4&amp;"!"&amp;ADDRESS(10,COLUMN(H$9)-1)&amp;":"&amp;ADDRESS(1000,COLUMN(H$9)-1))),
SUMIF(INDIRECT(Equipo!$D$4&amp;"!B10:B1000"),$B20,INDIRECT(Equipo!$D$4&amp;"!"&amp;ADDRESS(10,COLUMN(H$9)-1)&amp;":"&amp;ADDRESS(1000,COLUMN(H$9)-1))),
SUMIF(INDIRECT(Equipo!$E$4&amp;"!B10:B1000"),$B20,INDIRECT(Equipo!$E$4&amp;"!"&amp;ADDRESS(10,COLUMN(H$9)-1)&amp;":"&amp;ADDRESS(1000,COLUMN(H$9)-1))),
SUMIF(INDIRECT(Equipo!$F$4&amp;"!B10:B1000"),$B20,INDIRECT(Equipo!$F$4&amp;"!"&amp;ADDRESS(10,COLUMN(H$9)-1)&amp;":"&amp;ADDRESS(1000,COLUMN(H$9)-1))),
SUMIF(INDIRECT(Equipo!$G$4&amp;"!B10:B1000"),$B20,INDIRECT(Equipo!$G$4&amp;"!"&amp;ADDRESS(10,COLUMN(H$9)-1)&amp;":"&amp;ADDRESS(1000,COLUMN(H$9)-1)))))</f>
        <v>0</v>
      </c>
      <c r="I20" s="19">
        <f t="array" ref="I20">IF(ISBLANK(Tareas!$B16),"-",SUM(
SUMIF(INDIRECT(Equipo!$C$4&amp;"!B10:B1000"),$B20,INDIRECT(Equipo!$C$4&amp;"!"&amp;ADDRESS(10,COLUMN(I$9)-1)&amp;":"&amp;ADDRESS(1000,COLUMN(I$9)-1))),
SUMIF(INDIRECT(Equipo!$D$4&amp;"!B10:B1000"),$B20,INDIRECT(Equipo!$D$4&amp;"!"&amp;ADDRESS(10,COLUMN(I$9)-1)&amp;":"&amp;ADDRESS(1000,COLUMN(I$9)-1))),
SUMIF(INDIRECT(Equipo!$E$4&amp;"!B10:B1000"),$B20,INDIRECT(Equipo!$E$4&amp;"!"&amp;ADDRESS(10,COLUMN(I$9)-1)&amp;":"&amp;ADDRESS(1000,COLUMN(I$9)-1))),
SUMIF(INDIRECT(Equipo!$F$4&amp;"!B10:B1000"),$B20,INDIRECT(Equipo!$F$4&amp;"!"&amp;ADDRESS(10,COLUMN(I$9)-1)&amp;":"&amp;ADDRESS(1000,COLUMN(I$9)-1))),
SUMIF(INDIRECT(Equipo!$G$4&amp;"!B10:B1000"),$B20,INDIRECT(Equipo!$G$4&amp;"!"&amp;ADDRESS(10,COLUMN(I$9)-1)&amp;":"&amp;ADDRESS(1000,COLUMN(I$9)-1)))))</f>
        <v>0</v>
      </c>
      <c r="J20" s="19">
        <f t="array" ref="J20">IF(ISBLANK(Tareas!$B16),"-",SUM(
SUMIF(INDIRECT(Equipo!$C$4&amp;"!B10:B1000"),$B20,INDIRECT(Equipo!$C$4&amp;"!"&amp;ADDRESS(10,COLUMN(J$9)-1)&amp;":"&amp;ADDRESS(1000,COLUMN(J$9)-1))),
SUMIF(INDIRECT(Equipo!$D$4&amp;"!B10:B1000"),$B20,INDIRECT(Equipo!$D$4&amp;"!"&amp;ADDRESS(10,COLUMN(J$9)-1)&amp;":"&amp;ADDRESS(1000,COLUMN(J$9)-1))),
SUMIF(INDIRECT(Equipo!$E$4&amp;"!B10:B1000"),$B20,INDIRECT(Equipo!$E$4&amp;"!"&amp;ADDRESS(10,COLUMN(J$9)-1)&amp;":"&amp;ADDRESS(1000,COLUMN(J$9)-1))),
SUMIF(INDIRECT(Equipo!$F$4&amp;"!B10:B1000"),$B20,INDIRECT(Equipo!$F$4&amp;"!"&amp;ADDRESS(10,COLUMN(J$9)-1)&amp;":"&amp;ADDRESS(1000,COLUMN(J$9)-1))),
SUMIF(INDIRECT(Equipo!$G$4&amp;"!B10:B1000"),$B20,INDIRECT(Equipo!$G$4&amp;"!"&amp;ADDRESS(10,COLUMN(J$9)-1)&amp;":"&amp;ADDRESS(1000,COLUMN(J$9)-1)))))</f>
        <v>0</v>
      </c>
      <c r="K20" s="19">
        <f t="array" ref="K20">IF(ISBLANK(Tareas!$B16),"-",SUM(
SUMIF(INDIRECT(Equipo!$C$4&amp;"!B10:B1000"),$B20,INDIRECT(Equipo!$C$4&amp;"!"&amp;ADDRESS(10,COLUMN(K$9)-1)&amp;":"&amp;ADDRESS(1000,COLUMN(K$9)-1))),
SUMIF(INDIRECT(Equipo!$D$4&amp;"!B10:B1000"),$B20,INDIRECT(Equipo!$D$4&amp;"!"&amp;ADDRESS(10,COLUMN(K$9)-1)&amp;":"&amp;ADDRESS(1000,COLUMN(K$9)-1))),
SUMIF(INDIRECT(Equipo!$E$4&amp;"!B10:B1000"),$B20,INDIRECT(Equipo!$E$4&amp;"!"&amp;ADDRESS(10,COLUMN(K$9)-1)&amp;":"&amp;ADDRESS(1000,COLUMN(K$9)-1))),
SUMIF(INDIRECT(Equipo!$F$4&amp;"!B10:B1000"),$B20,INDIRECT(Equipo!$F$4&amp;"!"&amp;ADDRESS(10,COLUMN(K$9)-1)&amp;":"&amp;ADDRESS(1000,COLUMN(K$9)-1))),
SUMIF(INDIRECT(Equipo!$G$4&amp;"!B10:B1000"),$B20,INDIRECT(Equipo!$G$4&amp;"!"&amp;ADDRESS(10,COLUMN(K$9)-1)&amp;":"&amp;ADDRESS(1000,COLUMN(K$9)-1)))))</f>
        <v>0</v>
      </c>
    </row>
    <row r="21" ht="15.75" customHeight="1">
      <c r="B21" s="1" t="str">
        <f>IF(ISBLANK(Tareas!B17)," - ",Tareas!B17)</f>
        <v>12. Definición de los casos de uso y el modelo E/R</v>
      </c>
      <c r="D21" s="19">
        <f t="array" ref="D21">IF(ISBLANK(Tareas!$B17),"-",SUM(
SUMIF(INDIRECT(Equipo!$C$4&amp;"!B10:B1000"),$B21,INDIRECT(Equipo!$C$4&amp;"!"&amp;ADDRESS(10,COLUMN(D$9)-1)&amp;":"&amp;ADDRESS(1000,COLUMN(D$9)-1))),
SUMIF(INDIRECT(Equipo!$D$4&amp;"!B10:B1000"),$B21,INDIRECT(Equipo!$D$4&amp;"!"&amp;ADDRESS(10,COLUMN(D$9)-1)&amp;":"&amp;ADDRESS(1000,COLUMN(D$9)-1))),
SUMIF(INDIRECT(Equipo!$E$4&amp;"!B10:B1000"),$B21,INDIRECT(Equipo!$E$4&amp;"!"&amp;ADDRESS(10,COLUMN(D$9)-1)&amp;":"&amp;ADDRESS(1000,COLUMN(D$9)-1))),
SUMIF(INDIRECT(Equipo!$F$4&amp;"!B10:B1000"),$B21,INDIRECT(Equipo!$F$4&amp;"!"&amp;ADDRESS(10,COLUMN(D$9)-1)&amp;":"&amp;ADDRESS(1000,COLUMN(D$9)-1))),
SUMIF(INDIRECT(Equipo!$G$4&amp;"!B10:B1000"),$B21,INDIRECT(Equipo!$G$4&amp;"!"&amp;ADDRESS(10,COLUMN(D$9)-1)&amp;":"&amp;ADDRESS(1000,COLUMN(D$9)-1)))))</f>
        <v>0</v>
      </c>
      <c r="E21" s="19">
        <f t="array" ref="E21">IF(ISBLANK(Tareas!$B17),"-",SUM(
SUMIF(INDIRECT(Equipo!$C$4&amp;"!B10:B1000"),$B21,INDIRECT(Equipo!$C$4&amp;"!"&amp;ADDRESS(10,COLUMN(E$9)-1)&amp;":"&amp;ADDRESS(1000,COLUMN(E$9)-1))),
SUMIF(INDIRECT(Equipo!$D$4&amp;"!B10:B1000"),$B21,INDIRECT(Equipo!$D$4&amp;"!"&amp;ADDRESS(10,COLUMN(E$9)-1)&amp;":"&amp;ADDRESS(1000,COLUMN(E$9)-1))),
SUMIF(INDIRECT(Equipo!$E$4&amp;"!B10:B1000"),$B21,INDIRECT(Equipo!$E$4&amp;"!"&amp;ADDRESS(10,COLUMN(E$9)-1)&amp;":"&amp;ADDRESS(1000,COLUMN(E$9)-1))),
SUMIF(INDIRECT(Equipo!$F$4&amp;"!B10:B1000"),$B21,INDIRECT(Equipo!$F$4&amp;"!"&amp;ADDRESS(10,COLUMN(E$9)-1)&amp;":"&amp;ADDRESS(1000,COLUMN(E$9)-1))),
SUMIF(INDIRECT(Equipo!$G$4&amp;"!B10:B1000"),$B21,INDIRECT(Equipo!$G$4&amp;"!"&amp;ADDRESS(10,COLUMN(E$9)-1)&amp;":"&amp;ADDRESS(1000,COLUMN(E$9)-1)))))</f>
        <v>0</v>
      </c>
      <c r="F21" s="19">
        <f t="array" ref="F21">IF(ISBLANK(Tareas!$B17),"-",SUM(
SUMIF(INDIRECT(Equipo!$C$4&amp;"!B10:B1000"),$B21,INDIRECT(Equipo!$C$4&amp;"!"&amp;ADDRESS(10,COLUMN(F$9)-1)&amp;":"&amp;ADDRESS(1000,COLUMN(F$9)-1))),
SUMIF(INDIRECT(Equipo!$D$4&amp;"!B10:B1000"),$B21,INDIRECT(Equipo!$D$4&amp;"!"&amp;ADDRESS(10,COLUMN(F$9)-1)&amp;":"&amp;ADDRESS(1000,COLUMN(F$9)-1))),
SUMIF(INDIRECT(Equipo!$E$4&amp;"!B10:B1000"),$B21,INDIRECT(Equipo!$E$4&amp;"!"&amp;ADDRESS(10,COLUMN(F$9)-1)&amp;":"&amp;ADDRESS(1000,COLUMN(F$9)-1))),
SUMIF(INDIRECT(Equipo!$F$4&amp;"!B10:B1000"),$B21,INDIRECT(Equipo!$F$4&amp;"!"&amp;ADDRESS(10,COLUMN(F$9)-1)&amp;":"&amp;ADDRESS(1000,COLUMN(F$9)-1))),
SUMIF(INDIRECT(Equipo!$G$4&amp;"!B10:B1000"),$B21,INDIRECT(Equipo!$G$4&amp;"!"&amp;ADDRESS(10,COLUMN(F$9)-1)&amp;":"&amp;ADDRESS(1000,COLUMN(F$9)-1)))))</f>
        <v>0.8</v>
      </c>
      <c r="G21" s="19">
        <f t="array" ref="G21">IF(ISBLANK(Tareas!$B17),"-",SUM(
SUMIF(INDIRECT(Equipo!$C$4&amp;"!B10:B1000"),$B21,INDIRECT(Equipo!$C$4&amp;"!"&amp;ADDRESS(10,COLUMN(G$9)-1)&amp;":"&amp;ADDRESS(1000,COLUMN(G$9)-1))),
SUMIF(INDIRECT(Equipo!$D$4&amp;"!B10:B1000"),$B21,INDIRECT(Equipo!$D$4&amp;"!"&amp;ADDRESS(10,COLUMN(G$9)-1)&amp;":"&amp;ADDRESS(1000,COLUMN(G$9)-1))),
SUMIF(INDIRECT(Equipo!$E$4&amp;"!B10:B1000"),$B21,INDIRECT(Equipo!$E$4&amp;"!"&amp;ADDRESS(10,COLUMN(G$9)-1)&amp;":"&amp;ADDRESS(1000,COLUMN(G$9)-1))),
SUMIF(INDIRECT(Equipo!$F$4&amp;"!B10:B1000"),$B21,INDIRECT(Equipo!$F$4&amp;"!"&amp;ADDRESS(10,COLUMN(G$9)-1)&amp;":"&amp;ADDRESS(1000,COLUMN(G$9)-1))),
SUMIF(INDIRECT(Equipo!$G$4&amp;"!B10:B1000"),$B21,INDIRECT(Equipo!$G$4&amp;"!"&amp;ADDRESS(10,COLUMN(G$9)-1)&amp;":"&amp;ADDRESS(1000,COLUMN(G$9)-1)))))</f>
        <v>0</v>
      </c>
      <c r="H21" s="19">
        <f t="array" ref="H21">IF(ISBLANK(Tareas!$B17),"-",SUM(
SUMIF(INDIRECT(Equipo!$C$4&amp;"!B10:B1000"),$B21,INDIRECT(Equipo!$C$4&amp;"!"&amp;ADDRESS(10,COLUMN(H$9)-1)&amp;":"&amp;ADDRESS(1000,COLUMN(H$9)-1))),
SUMIF(INDIRECT(Equipo!$D$4&amp;"!B10:B1000"),$B21,INDIRECT(Equipo!$D$4&amp;"!"&amp;ADDRESS(10,COLUMN(H$9)-1)&amp;":"&amp;ADDRESS(1000,COLUMN(H$9)-1))),
SUMIF(INDIRECT(Equipo!$E$4&amp;"!B10:B1000"),$B21,INDIRECT(Equipo!$E$4&amp;"!"&amp;ADDRESS(10,COLUMN(H$9)-1)&amp;":"&amp;ADDRESS(1000,COLUMN(H$9)-1))),
SUMIF(INDIRECT(Equipo!$F$4&amp;"!B10:B1000"),$B21,INDIRECT(Equipo!$F$4&amp;"!"&amp;ADDRESS(10,COLUMN(H$9)-1)&amp;":"&amp;ADDRESS(1000,COLUMN(H$9)-1))),
SUMIF(INDIRECT(Equipo!$G$4&amp;"!B10:B1000"),$B21,INDIRECT(Equipo!$G$4&amp;"!"&amp;ADDRESS(10,COLUMN(H$9)-1)&amp;":"&amp;ADDRESS(1000,COLUMN(H$9)-1)))))</f>
        <v>0</v>
      </c>
      <c r="I21" s="19">
        <f t="array" ref="I21">IF(ISBLANK(Tareas!$B17),"-",SUM(
SUMIF(INDIRECT(Equipo!$C$4&amp;"!B10:B1000"),$B21,INDIRECT(Equipo!$C$4&amp;"!"&amp;ADDRESS(10,COLUMN(I$9)-1)&amp;":"&amp;ADDRESS(1000,COLUMN(I$9)-1))),
SUMIF(INDIRECT(Equipo!$D$4&amp;"!B10:B1000"),$B21,INDIRECT(Equipo!$D$4&amp;"!"&amp;ADDRESS(10,COLUMN(I$9)-1)&amp;":"&amp;ADDRESS(1000,COLUMN(I$9)-1))),
SUMIF(INDIRECT(Equipo!$E$4&amp;"!B10:B1000"),$B21,INDIRECT(Equipo!$E$4&amp;"!"&amp;ADDRESS(10,COLUMN(I$9)-1)&amp;":"&amp;ADDRESS(1000,COLUMN(I$9)-1))),
SUMIF(INDIRECT(Equipo!$F$4&amp;"!B10:B1000"),$B21,INDIRECT(Equipo!$F$4&amp;"!"&amp;ADDRESS(10,COLUMN(I$9)-1)&amp;":"&amp;ADDRESS(1000,COLUMN(I$9)-1))),
SUMIF(INDIRECT(Equipo!$G$4&amp;"!B10:B1000"),$B21,INDIRECT(Equipo!$G$4&amp;"!"&amp;ADDRESS(10,COLUMN(I$9)-1)&amp;":"&amp;ADDRESS(1000,COLUMN(I$9)-1)))))</f>
        <v>0</v>
      </c>
      <c r="J21" s="19">
        <f t="array" ref="J21">IF(ISBLANK(Tareas!$B17),"-",SUM(
SUMIF(INDIRECT(Equipo!$C$4&amp;"!B10:B1000"),$B21,INDIRECT(Equipo!$C$4&amp;"!"&amp;ADDRESS(10,COLUMN(J$9)-1)&amp;":"&amp;ADDRESS(1000,COLUMN(J$9)-1))),
SUMIF(INDIRECT(Equipo!$D$4&amp;"!B10:B1000"),$B21,INDIRECT(Equipo!$D$4&amp;"!"&amp;ADDRESS(10,COLUMN(J$9)-1)&amp;":"&amp;ADDRESS(1000,COLUMN(J$9)-1))),
SUMIF(INDIRECT(Equipo!$E$4&amp;"!B10:B1000"),$B21,INDIRECT(Equipo!$E$4&amp;"!"&amp;ADDRESS(10,COLUMN(J$9)-1)&amp;":"&amp;ADDRESS(1000,COLUMN(J$9)-1))),
SUMIF(INDIRECT(Equipo!$F$4&amp;"!B10:B1000"),$B21,INDIRECT(Equipo!$F$4&amp;"!"&amp;ADDRESS(10,COLUMN(J$9)-1)&amp;":"&amp;ADDRESS(1000,COLUMN(J$9)-1))),
SUMIF(INDIRECT(Equipo!$G$4&amp;"!B10:B1000"),$B21,INDIRECT(Equipo!$G$4&amp;"!"&amp;ADDRESS(10,COLUMN(J$9)-1)&amp;":"&amp;ADDRESS(1000,COLUMN(J$9)-1)))))</f>
        <v>0</v>
      </c>
      <c r="K21" s="19">
        <f t="array" ref="K21">IF(ISBLANK(Tareas!$B17),"-",SUM(
SUMIF(INDIRECT(Equipo!$C$4&amp;"!B10:B1000"),$B21,INDIRECT(Equipo!$C$4&amp;"!"&amp;ADDRESS(10,COLUMN(K$9)-1)&amp;":"&amp;ADDRESS(1000,COLUMN(K$9)-1))),
SUMIF(INDIRECT(Equipo!$D$4&amp;"!B10:B1000"),$B21,INDIRECT(Equipo!$D$4&amp;"!"&amp;ADDRESS(10,COLUMN(K$9)-1)&amp;":"&amp;ADDRESS(1000,COLUMN(K$9)-1))),
SUMIF(INDIRECT(Equipo!$E$4&amp;"!B10:B1000"),$B21,INDIRECT(Equipo!$E$4&amp;"!"&amp;ADDRESS(10,COLUMN(K$9)-1)&amp;":"&amp;ADDRESS(1000,COLUMN(K$9)-1))),
SUMIF(INDIRECT(Equipo!$F$4&amp;"!B10:B1000"),$B21,INDIRECT(Equipo!$F$4&amp;"!"&amp;ADDRESS(10,COLUMN(K$9)-1)&amp;":"&amp;ADDRESS(1000,COLUMN(K$9)-1))),
SUMIF(INDIRECT(Equipo!$G$4&amp;"!B10:B1000"),$B21,INDIRECT(Equipo!$G$4&amp;"!"&amp;ADDRESS(10,COLUMN(K$9)-1)&amp;":"&amp;ADDRESS(1000,COLUMN(K$9)-1)))))</f>
        <v>0</v>
      </c>
    </row>
    <row r="22" ht="15.75" customHeight="1">
      <c r="B22" s="1" t="str">
        <f>IF(ISBLANK(Tareas!B18)," - ",Tareas!B18)</f>
        <v>13. Definición del plan de calidad (PCAL)</v>
      </c>
      <c r="D22" s="19">
        <f t="array" ref="D22">IF(ISBLANK(Tareas!$B18),"-",SUM(
SUMIF(INDIRECT(Equipo!$C$4&amp;"!B10:B1000"),$B22,INDIRECT(Equipo!$C$4&amp;"!"&amp;ADDRESS(10,COLUMN(D$9)-1)&amp;":"&amp;ADDRESS(1000,COLUMN(D$9)-1))),
SUMIF(INDIRECT(Equipo!$D$4&amp;"!B10:B1000"),$B22,INDIRECT(Equipo!$D$4&amp;"!"&amp;ADDRESS(10,COLUMN(D$9)-1)&amp;":"&amp;ADDRESS(1000,COLUMN(D$9)-1))),
SUMIF(INDIRECT(Equipo!$E$4&amp;"!B10:B1000"),$B22,INDIRECT(Equipo!$E$4&amp;"!"&amp;ADDRESS(10,COLUMN(D$9)-1)&amp;":"&amp;ADDRESS(1000,COLUMN(D$9)-1))),
SUMIF(INDIRECT(Equipo!$F$4&amp;"!B10:B1000"),$B22,INDIRECT(Equipo!$F$4&amp;"!"&amp;ADDRESS(10,COLUMN(D$9)-1)&amp;":"&amp;ADDRESS(1000,COLUMN(D$9)-1))),
SUMIF(INDIRECT(Equipo!$G$4&amp;"!B10:B1000"),$B22,INDIRECT(Equipo!$G$4&amp;"!"&amp;ADDRESS(10,COLUMN(D$9)-1)&amp;":"&amp;ADDRESS(1000,COLUMN(D$9)-1)))))</f>
        <v>0</v>
      </c>
      <c r="E22" s="19">
        <f t="array" ref="E22">IF(ISBLANK(Tareas!$B18),"-",SUM(
SUMIF(INDIRECT(Equipo!$C$4&amp;"!B10:B1000"),$B22,INDIRECT(Equipo!$C$4&amp;"!"&amp;ADDRESS(10,COLUMN(E$9)-1)&amp;":"&amp;ADDRESS(1000,COLUMN(E$9)-1))),
SUMIF(INDIRECT(Equipo!$D$4&amp;"!B10:B1000"),$B22,INDIRECT(Equipo!$D$4&amp;"!"&amp;ADDRESS(10,COLUMN(E$9)-1)&amp;":"&amp;ADDRESS(1000,COLUMN(E$9)-1))),
SUMIF(INDIRECT(Equipo!$E$4&amp;"!B10:B1000"),$B22,INDIRECT(Equipo!$E$4&amp;"!"&amp;ADDRESS(10,COLUMN(E$9)-1)&amp;":"&amp;ADDRESS(1000,COLUMN(E$9)-1))),
SUMIF(INDIRECT(Equipo!$F$4&amp;"!B10:B1000"),$B22,INDIRECT(Equipo!$F$4&amp;"!"&amp;ADDRESS(10,COLUMN(E$9)-1)&amp;":"&amp;ADDRESS(1000,COLUMN(E$9)-1))),
SUMIF(INDIRECT(Equipo!$G$4&amp;"!B10:B1000"),$B22,INDIRECT(Equipo!$G$4&amp;"!"&amp;ADDRESS(10,COLUMN(E$9)-1)&amp;":"&amp;ADDRESS(1000,COLUMN(E$9)-1)))))</f>
        <v>0</v>
      </c>
      <c r="F22" s="19">
        <f t="array" ref="F22">IF(ISBLANK(Tareas!$B18),"-",SUM(
SUMIF(INDIRECT(Equipo!$C$4&amp;"!B10:B1000"),$B22,INDIRECT(Equipo!$C$4&amp;"!"&amp;ADDRESS(10,COLUMN(F$9)-1)&amp;":"&amp;ADDRESS(1000,COLUMN(F$9)-1))),
SUMIF(INDIRECT(Equipo!$D$4&amp;"!B10:B1000"),$B22,INDIRECT(Equipo!$D$4&amp;"!"&amp;ADDRESS(10,COLUMN(F$9)-1)&amp;":"&amp;ADDRESS(1000,COLUMN(F$9)-1))),
SUMIF(INDIRECT(Equipo!$E$4&amp;"!B10:B1000"),$B22,INDIRECT(Equipo!$E$4&amp;"!"&amp;ADDRESS(10,COLUMN(F$9)-1)&amp;":"&amp;ADDRESS(1000,COLUMN(F$9)-1))),
SUMIF(INDIRECT(Equipo!$F$4&amp;"!B10:B1000"),$B22,INDIRECT(Equipo!$F$4&amp;"!"&amp;ADDRESS(10,COLUMN(F$9)-1)&amp;":"&amp;ADDRESS(1000,COLUMN(F$9)-1))),
SUMIF(INDIRECT(Equipo!$G$4&amp;"!B10:B1000"),$B22,INDIRECT(Equipo!$G$4&amp;"!"&amp;ADDRESS(10,COLUMN(F$9)-1)&amp;":"&amp;ADDRESS(1000,COLUMN(F$9)-1)))))</f>
        <v>2</v>
      </c>
      <c r="G22" s="19">
        <f t="array" ref="G22">IF(ISBLANK(Tareas!$B18),"-",SUM(
SUMIF(INDIRECT(Equipo!$C$4&amp;"!B10:B1000"),$B22,INDIRECT(Equipo!$C$4&amp;"!"&amp;ADDRESS(10,COLUMN(G$9)-1)&amp;":"&amp;ADDRESS(1000,COLUMN(G$9)-1))),
SUMIF(INDIRECT(Equipo!$D$4&amp;"!B10:B1000"),$B22,INDIRECT(Equipo!$D$4&amp;"!"&amp;ADDRESS(10,COLUMN(G$9)-1)&amp;":"&amp;ADDRESS(1000,COLUMN(G$9)-1))),
SUMIF(INDIRECT(Equipo!$E$4&amp;"!B10:B1000"),$B22,INDIRECT(Equipo!$E$4&amp;"!"&amp;ADDRESS(10,COLUMN(G$9)-1)&amp;":"&amp;ADDRESS(1000,COLUMN(G$9)-1))),
SUMIF(INDIRECT(Equipo!$F$4&amp;"!B10:B1000"),$B22,INDIRECT(Equipo!$F$4&amp;"!"&amp;ADDRESS(10,COLUMN(G$9)-1)&amp;":"&amp;ADDRESS(1000,COLUMN(G$9)-1))),
SUMIF(INDIRECT(Equipo!$G$4&amp;"!B10:B1000"),$B22,INDIRECT(Equipo!$G$4&amp;"!"&amp;ADDRESS(10,COLUMN(G$9)-1)&amp;":"&amp;ADDRESS(1000,COLUMN(G$9)-1)))))</f>
        <v>0</v>
      </c>
      <c r="H22" s="19">
        <f t="array" ref="H22">IF(ISBLANK(Tareas!$B18),"-",SUM(
SUMIF(INDIRECT(Equipo!$C$4&amp;"!B10:B1000"),$B22,INDIRECT(Equipo!$C$4&amp;"!"&amp;ADDRESS(10,COLUMN(H$9)-1)&amp;":"&amp;ADDRESS(1000,COLUMN(H$9)-1))),
SUMIF(INDIRECT(Equipo!$D$4&amp;"!B10:B1000"),$B22,INDIRECT(Equipo!$D$4&amp;"!"&amp;ADDRESS(10,COLUMN(H$9)-1)&amp;":"&amp;ADDRESS(1000,COLUMN(H$9)-1))),
SUMIF(INDIRECT(Equipo!$E$4&amp;"!B10:B1000"),$B22,INDIRECT(Equipo!$E$4&amp;"!"&amp;ADDRESS(10,COLUMN(H$9)-1)&amp;":"&amp;ADDRESS(1000,COLUMN(H$9)-1))),
SUMIF(INDIRECT(Equipo!$F$4&amp;"!B10:B1000"),$B22,INDIRECT(Equipo!$F$4&amp;"!"&amp;ADDRESS(10,COLUMN(H$9)-1)&amp;":"&amp;ADDRESS(1000,COLUMN(H$9)-1))),
SUMIF(INDIRECT(Equipo!$G$4&amp;"!B10:B1000"),$B22,INDIRECT(Equipo!$G$4&amp;"!"&amp;ADDRESS(10,COLUMN(H$9)-1)&amp;":"&amp;ADDRESS(1000,COLUMN(H$9)-1)))))</f>
        <v>0</v>
      </c>
      <c r="I22" s="19">
        <f t="array" ref="I22">IF(ISBLANK(Tareas!$B18),"-",SUM(
SUMIF(INDIRECT(Equipo!$C$4&amp;"!B10:B1000"),$B22,INDIRECT(Equipo!$C$4&amp;"!"&amp;ADDRESS(10,COLUMN(I$9)-1)&amp;":"&amp;ADDRESS(1000,COLUMN(I$9)-1))),
SUMIF(INDIRECT(Equipo!$D$4&amp;"!B10:B1000"),$B22,INDIRECT(Equipo!$D$4&amp;"!"&amp;ADDRESS(10,COLUMN(I$9)-1)&amp;":"&amp;ADDRESS(1000,COLUMN(I$9)-1))),
SUMIF(INDIRECT(Equipo!$E$4&amp;"!B10:B1000"),$B22,INDIRECT(Equipo!$E$4&amp;"!"&amp;ADDRESS(10,COLUMN(I$9)-1)&amp;":"&amp;ADDRESS(1000,COLUMN(I$9)-1))),
SUMIF(INDIRECT(Equipo!$F$4&amp;"!B10:B1000"),$B22,INDIRECT(Equipo!$F$4&amp;"!"&amp;ADDRESS(10,COLUMN(I$9)-1)&amp;":"&amp;ADDRESS(1000,COLUMN(I$9)-1))),
SUMIF(INDIRECT(Equipo!$G$4&amp;"!B10:B1000"),$B22,INDIRECT(Equipo!$G$4&amp;"!"&amp;ADDRESS(10,COLUMN(I$9)-1)&amp;":"&amp;ADDRESS(1000,COLUMN(I$9)-1)))))</f>
        <v>0</v>
      </c>
      <c r="J22" s="19">
        <f t="array" ref="J22">IF(ISBLANK(Tareas!$B18),"-",SUM(
SUMIF(INDIRECT(Equipo!$C$4&amp;"!B10:B1000"),$B22,INDIRECT(Equipo!$C$4&amp;"!"&amp;ADDRESS(10,COLUMN(J$9)-1)&amp;":"&amp;ADDRESS(1000,COLUMN(J$9)-1))),
SUMIF(INDIRECT(Equipo!$D$4&amp;"!B10:B1000"),$B22,INDIRECT(Equipo!$D$4&amp;"!"&amp;ADDRESS(10,COLUMN(J$9)-1)&amp;":"&amp;ADDRESS(1000,COLUMN(J$9)-1))),
SUMIF(INDIRECT(Equipo!$E$4&amp;"!B10:B1000"),$B22,INDIRECT(Equipo!$E$4&amp;"!"&amp;ADDRESS(10,COLUMN(J$9)-1)&amp;":"&amp;ADDRESS(1000,COLUMN(J$9)-1))),
SUMIF(INDIRECT(Equipo!$F$4&amp;"!B10:B1000"),$B22,INDIRECT(Equipo!$F$4&amp;"!"&amp;ADDRESS(10,COLUMN(J$9)-1)&amp;":"&amp;ADDRESS(1000,COLUMN(J$9)-1))),
SUMIF(INDIRECT(Equipo!$G$4&amp;"!B10:B1000"),$B22,INDIRECT(Equipo!$G$4&amp;"!"&amp;ADDRESS(10,COLUMN(J$9)-1)&amp;":"&amp;ADDRESS(1000,COLUMN(J$9)-1)))))</f>
        <v>0</v>
      </c>
      <c r="K22" s="19">
        <f t="array" ref="K22">IF(ISBLANK(Tareas!$B18),"-",SUM(
SUMIF(INDIRECT(Equipo!$C$4&amp;"!B10:B1000"),$B22,INDIRECT(Equipo!$C$4&amp;"!"&amp;ADDRESS(10,COLUMN(K$9)-1)&amp;":"&amp;ADDRESS(1000,COLUMN(K$9)-1))),
SUMIF(INDIRECT(Equipo!$D$4&amp;"!B10:B1000"),$B22,INDIRECT(Equipo!$D$4&amp;"!"&amp;ADDRESS(10,COLUMN(K$9)-1)&amp;":"&amp;ADDRESS(1000,COLUMN(K$9)-1))),
SUMIF(INDIRECT(Equipo!$E$4&amp;"!B10:B1000"),$B22,INDIRECT(Equipo!$E$4&amp;"!"&amp;ADDRESS(10,COLUMN(K$9)-1)&amp;":"&amp;ADDRESS(1000,COLUMN(K$9)-1))),
SUMIF(INDIRECT(Equipo!$F$4&amp;"!B10:B1000"),$B22,INDIRECT(Equipo!$F$4&amp;"!"&amp;ADDRESS(10,COLUMN(K$9)-1)&amp;":"&amp;ADDRESS(1000,COLUMN(K$9)-1))),
SUMIF(INDIRECT(Equipo!$G$4&amp;"!B10:B1000"),$B22,INDIRECT(Equipo!$G$4&amp;"!"&amp;ADDRESS(10,COLUMN(K$9)-1)&amp;":"&amp;ADDRESS(1000,COLUMN(K$9)-1)))))</f>
        <v>0</v>
      </c>
    </row>
    <row r="23" ht="15.75" customHeight="1">
      <c r="B23" s="1" t="str">
        <f>IF(ISBLANK(Tareas!B19)," - ",Tareas!B19)</f>
        <v>14. Cálculo de los puntos de función</v>
      </c>
      <c r="D23" s="19">
        <f t="array" ref="D23">IF(ISBLANK(Tareas!$B19),"-",SUM(
SUMIF(INDIRECT(Equipo!$C$4&amp;"!B10:B1000"),$B23,INDIRECT(Equipo!$C$4&amp;"!"&amp;ADDRESS(10,COLUMN(D$9)-1)&amp;":"&amp;ADDRESS(1000,COLUMN(D$9)-1))),
SUMIF(INDIRECT(Equipo!$D$4&amp;"!B10:B1000"),$B23,INDIRECT(Equipo!$D$4&amp;"!"&amp;ADDRESS(10,COLUMN(D$9)-1)&amp;":"&amp;ADDRESS(1000,COLUMN(D$9)-1))),
SUMIF(INDIRECT(Equipo!$E$4&amp;"!B10:B1000"),$B23,INDIRECT(Equipo!$E$4&amp;"!"&amp;ADDRESS(10,COLUMN(D$9)-1)&amp;":"&amp;ADDRESS(1000,COLUMN(D$9)-1))),
SUMIF(INDIRECT(Equipo!$F$4&amp;"!B10:B1000"),$B23,INDIRECT(Equipo!$F$4&amp;"!"&amp;ADDRESS(10,COLUMN(D$9)-1)&amp;":"&amp;ADDRESS(1000,COLUMN(D$9)-1))),
SUMIF(INDIRECT(Equipo!$G$4&amp;"!B10:B1000"),$B23,INDIRECT(Equipo!$G$4&amp;"!"&amp;ADDRESS(10,COLUMN(D$9)-1)&amp;":"&amp;ADDRESS(1000,COLUMN(D$9)-1)))))</f>
        <v>0</v>
      </c>
      <c r="E23" s="19">
        <f t="array" ref="E23">IF(ISBLANK(Tareas!$B19),"-",SUM(
SUMIF(INDIRECT(Equipo!$C$4&amp;"!B10:B1000"),$B23,INDIRECT(Equipo!$C$4&amp;"!"&amp;ADDRESS(10,COLUMN(E$9)-1)&amp;":"&amp;ADDRESS(1000,COLUMN(E$9)-1))),
SUMIF(INDIRECT(Equipo!$D$4&amp;"!B10:B1000"),$B23,INDIRECT(Equipo!$D$4&amp;"!"&amp;ADDRESS(10,COLUMN(E$9)-1)&amp;":"&amp;ADDRESS(1000,COLUMN(E$9)-1))),
SUMIF(INDIRECT(Equipo!$E$4&amp;"!B10:B1000"),$B23,INDIRECT(Equipo!$E$4&amp;"!"&amp;ADDRESS(10,COLUMN(E$9)-1)&amp;":"&amp;ADDRESS(1000,COLUMN(E$9)-1))),
SUMIF(INDIRECT(Equipo!$F$4&amp;"!B10:B1000"),$B23,INDIRECT(Equipo!$F$4&amp;"!"&amp;ADDRESS(10,COLUMN(E$9)-1)&amp;":"&amp;ADDRESS(1000,COLUMN(E$9)-1))),
SUMIF(INDIRECT(Equipo!$G$4&amp;"!B10:B1000"),$B23,INDIRECT(Equipo!$G$4&amp;"!"&amp;ADDRESS(10,COLUMN(E$9)-1)&amp;":"&amp;ADDRESS(1000,COLUMN(E$9)-1)))))</f>
        <v>0</v>
      </c>
      <c r="F23" s="19">
        <f t="array" ref="F23">IF(ISBLANK(Tareas!$B19),"-",SUM(
SUMIF(INDIRECT(Equipo!$C$4&amp;"!B10:B1000"),$B23,INDIRECT(Equipo!$C$4&amp;"!"&amp;ADDRESS(10,COLUMN(F$9)-1)&amp;":"&amp;ADDRESS(1000,COLUMN(F$9)-1))),
SUMIF(INDIRECT(Equipo!$D$4&amp;"!B10:B1000"),$B23,INDIRECT(Equipo!$D$4&amp;"!"&amp;ADDRESS(10,COLUMN(F$9)-1)&amp;":"&amp;ADDRESS(1000,COLUMN(F$9)-1))),
SUMIF(INDIRECT(Equipo!$E$4&amp;"!B10:B1000"),$B23,INDIRECT(Equipo!$E$4&amp;"!"&amp;ADDRESS(10,COLUMN(F$9)-1)&amp;":"&amp;ADDRESS(1000,COLUMN(F$9)-1))),
SUMIF(INDIRECT(Equipo!$F$4&amp;"!B10:B1000"),$B23,INDIRECT(Equipo!$F$4&amp;"!"&amp;ADDRESS(10,COLUMN(F$9)-1)&amp;":"&amp;ADDRESS(1000,COLUMN(F$9)-1))),
SUMIF(INDIRECT(Equipo!$G$4&amp;"!B10:B1000"),$B23,INDIRECT(Equipo!$G$4&amp;"!"&amp;ADDRESS(10,COLUMN(F$9)-1)&amp;":"&amp;ADDRESS(1000,COLUMN(F$9)-1)))))</f>
        <v>2.5</v>
      </c>
      <c r="G23" s="19">
        <f t="array" ref="G23">IF(ISBLANK(Tareas!$B19),"-",SUM(
SUMIF(INDIRECT(Equipo!$C$4&amp;"!B10:B1000"),$B23,INDIRECT(Equipo!$C$4&amp;"!"&amp;ADDRESS(10,COLUMN(G$9)-1)&amp;":"&amp;ADDRESS(1000,COLUMN(G$9)-1))),
SUMIF(INDIRECT(Equipo!$D$4&amp;"!B10:B1000"),$B23,INDIRECT(Equipo!$D$4&amp;"!"&amp;ADDRESS(10,COLUMN(G$9)-1)&amp;":"&amp;ADDRESS(1000,COLUMN(G$9)-1))),
SUMIF(INDIRECT(Equipo!$E$4&amp;"!B10:B1000"),$B23,INDIRECT(Equipo!$E$4&amp;"!"&amp;ADDRESS(10,COLUMN(G$9)-1)&amp;":"&amp;ADDRESS(1000,COLUMN(G$9)-1))),
SUMIF(INDIRECT(Equipo!$F$4&amp;"!B10:B1000"),$B23,INDIRECT(Equipo!$F$4&amp;"!"&amp;ADDRESS(10,COLUMN(G$9)-1)&amp;":"&amp;ADDRESS(1000,COLUMN(G$9)-1))),
SUMIF(INDIRECT(Equipo!$G$4&amp;"!B10:B1000"),$B23,INDIRECT(Equipo!$G$4&amp;"!"&amp;ADDRESS(10,COLUMN(G$9)-1)&amp;":"&amp;ADDRESS(1000,COLUMN(G$9)-1)))))</f>
        <v>0.5</v>
      </c>
      <c r="H23" s="19">
        <f t="array" ref="H23">IF(ISBLANK(Tareas!$B19),"-",SUM(
SUMIF(INDIRECT(Equipo!$C$4&amp;"!B10:B1000"),$B23,INDIRECT(Equipo!$C$4&amp;"!"&amp;ADDRESS(10,COLUMN(H$9)-1)&amp;":"&amp;ADDRESS(1000,COLUMN(H$9)-1))),
SUMIF(INDIRECT(Equipo!$D$4&amp;"!B10:B1000"),$B23,INDIRECT(Equipo!$D$4&amp;"!"&amp;ADDRESS(10,COLUMN(H$9)-1)&amp;":"&amp;ADDRESS(1000,COLUMN(H$9)-1))),
SUMIF(INDIRECT(Equipo!$E$4&amp;"!B10:B1000"),$B23,INDIRECT(Equipo!$E$4&amp;"!"&amp;ADDRESS(10,COLUMN(H$9)-1)&amp;":"&amp;ADDRESS(1000,COLUMN(H$9)-1))),
SUMIF(INDIRECT(Equipo!$F$4&amp;"!B10:B1000"),$B23,INDIRECT(Equipo!$F$4&amp;"!"&amp;ADDRESS(10,COLUMN(H$9)-1)&amp;":"&amp;ADDRESS(1000,COLUMN(H$9)-1))),
SUMIF(INDIRECT(Equipo!$G$4&amp;"!B10:B1000"),$B23,INDIRECT(Equipo!$G$4&amp;"!"&amp;ADDRESS(10,COLUMN(H$9)-1)&amp;":"&amp;ADDRESS(1000,COLUMN(H$9)-1)))))</f>
        <v>0.3</v>
      </c>
      <c r="I23" s="19">
        <f t="array" ref="I23">IF(ISBLANK(Tareas!$B19),"-",SUM(
SUMIF(INDIRECT(Equipo!$C$4&amp;"!B10:B1000"),$B23,INDIRECT(Equipo!$C$4&amp;"!"&amp;ADDRESS(10,COLUMN(I$9)-1)&amp;":"&amp;ADDRESS(1000,COLUMN(I$9)-1))),
SUMIF(INDIRECT(Equipo!$D$4&amp;"!B10:B1000"),$B23,INDIRECT(Equipo!$D$4&amp;"!"&amp;ADDRESS(10,COLUMN(I$9)-1)&amp;":"&amp;ADDRESS(1000,COLUMN(I$9)-1))),
SUMIF(INDIRECT(Equipo!$E$4&amp;"!B10:B1000"),$B23,INDIRECT(Equipo!$E$4&amp;"!"&amp;ADDRESS(10,COLUMN(I$9)-1)&amp;":"&amp;ADDRESS(1000,COLUMN(I$9)-1))),
SUMIF(INDIRECT(Equipo!$F$4&amp;"!B10:B1000"),$B23,INDIRECT(Equipo!$F$4&amp;"!"&amp;ADDRESS(10,COLUMN(I$9)-1)&amp;":"&amp;ADDRESS(1000,COLUMN(I$9)-1))),
SUMIF(INDIRECT(Equipo!$G$4&amp;"!B10:B1000"),$B23,INDIRECT(Equipo!$G$4&amp;"!"&amp;ADDRESS(10,COLUMN(I$9)-1)&amp;":"&amp;ADDRESS(1000,COLUMN(I$9)-1)))))</f>
        <v>0</v>
      </c>
      <c r="J23" s="19">
        <f t="array" ref="J23">IF(ISBLANK(Tareas!$B19),"-",SUM(
SUMIF(INDIRECT(Equipo!$C$4&amp;"!B10:B1000"),$B23,INDIRECT(Equipo!$C$4&amp;"!"&amp;ADDRESS(10,COLUMN(J$9)-1)&amp;":"&amp;ADDRESS(1000,COLUMN(J$9)-1))),
SUMIF(INDIRECT(Equipo!$D$4&amp;"!B10:B1000"),$B23,INDIRECT(Equipo!$D$4&amp;"!"&amp;ADDRESS(10,COLUMN(J$9)-1)&amp;":"&amp;ADDRESS(1000,COLUMN(J$9)-1))),
SUMIF(INDIRECT(Equipo!$E$4&amp;"!B10:B1000"),$B23,INDIRECT(Equipo!$E$4&amp;"!"&amp;ADDRESS(10,COLUMN(J$9)-1)&amp;":"&amp;ADDRESS(1000,COLUMN(J$9)-1))),
SUMIF(INDIRECT(Equipo!$F$4&amp;"!B10:B1000"),$B23,INDIRECT(Equipo!$F$4&amp;"!"&amp;ADDRESS(10,COLUMN(J$9)-1)&amp;":"&amp;ADDRESS(1000,COLUMN(J$9)-1))),
SUMIF(INDIRECT(Equipo!$G$4&amp;"!B10:B1000"),$B23,INDIRECT(Equipo!$G$4&amp;"!"&amp;ADDRESS(10,COLUMN(J$9)-1)&amp;":"&amp;ADDRESS(1000,COLUMN(J$9)-1)))))</f>
        <v>0</v>
      </c>
      <c r="K23" s="19">
        <f t="array" ref="K23">IF(ISBLANK(Tareas!$B19),"-",SUM(
SUMIF(INDIRECT(Equipo!$C$4&amp;"!B10:B1000"),$B23,INDIRECT(Equipo!$C$4&amp;"!"&amp;ADDRESS(10,COLUMN(K$9)-1)&amp;":"&amp;ADDRESS(1000,COLUMN(K$9)-1))),
SUMIF(INDIRECT(Equipo!$D$4&amp;"!B10:B1000"),$B23,INDIRECT(Equipo!$D$4&amp;"!"&amp;ADDRESS(10,COLUMN(K$9)-1)&amp;":"&amp;ADDRESS(1000,COLUMN(K$9)-1))),
SUMIF(INDIRECT(Equipo!$E$4&amp;"!B10:B1000"),$B23,INDIRECT(Equipo!$E$4&amp;"!"&amp;ADDRESS(10,COLUMN(K$9)-1)&amp;":"&amp;ADDRESS(1000,COLUMN(K$9)-1))),
SUMIF(INDIRECT(Equipo!$F$4&amp;"!B10:B1000"),$B23,INDIRECT(Equipo!$F$4&amp;"!"&amp;ADDRESS(10,COLUMN(K$9)-1)&amp;":"&amp;ADDRESS(1000,COLUMN(K$9)-1))),
SUMIF(INDIRECT(Equipo!$G$4&amp;"!B10:B1000"),$B23,INDIRECT(Equipo!$G$4&amp;"!"&amp;ADDRESS(10,COLUMN(K$9)-1)&amp;":"&amp;ADDRESS(1000,COLUMN(K$9)-1)))))</f>
        <v>0</v>
      </c>
    </row>
    <row r="24" ht="15.75" customHeight="1">
      <c r="B24" s="1" t="str">
        <f>IF(ISBLANK(Tareas!B20)," - ",Tareas!B20)</f>
        <v>15. Realización del diagrama Gantt</v>
      </c>
      <c r="D24" s="19">
        <f t="array" ref="D24">IF(ISBLANK(Tareas!$B20),"-",SUM(
SUMIF(INDIRECT(Equipo!$C$4&amp;"!B10:B1000"),$B24,INDIRECT(Equipo!$C$4&amp;"!"&amp;ADDRESS(10,COLUMN(D$9)-1)&amp;":"&amp;ADDRESS(1000,COLUMN(D$9)-1))),
SUMIF(INDIRECT(Equipo!$D$4&amp;"!B10:B1000"),$B24,INDIRECT(Equipo!$D$4&amp;"!"&amp;ADDRESS(10,COLUMN(D$9)-1)&amp;":"&amp;ADDRESS(1000,COLUMN(D$9)-1))),
SUMIF(INDIRECT(Equipo!$E$4&amp;"!B10:B1000"),$B24,INDIRECT(Equipo!$E$4&amp;"!"&amp;ADDRESS(10,COLUMN(D$9)-1)&amp;":"&amp;ADDRESS(1000,COLUMN(D$9)-1))),
SUMIF(INDIRECT(Equipo!$F$4&amp;"!B10:B1000"),$B24,INDIRECT(Equipo!$F$4&amp;"!"&amp;ADDRESS(10,COLUMN(D$9)-1)&amp;":"&amp;ADDRESS(1000,COLUMN(D$9)-1))),
SUMIF(INDIRECT(Equipo!$G$4&amp;"!B10:B1000"),$B24,INDIRECT(Equipo!$G$4&amp;"!"&amp;ADDRESS(10,COLUMN(D$9)-1)&amp;":"&amp;ADDRESS(1000,COLUMN(D$9)-1)))))</f>
        <v>0</v>
      </c>
      <c r="E24" s="19">
        <f t="array" ref="E24">IF(ISBLANK(Tareas!$B20),"-",SUM(
SUMIF(INDIRECT(Equipo!$C$4&amp;"!B10:B1000"),$B24,INDIRECT(Equipo!$C$4&amp;"!"&amp;ADDRESS(10,COLUMN(E$9)-1)&amp;":"&amp;ADDRESS(1000,COLUMN(E$9)-1))),
SUMIF(INDIRECT(Equipo!$D$4&amp;"!B10:B1000"),$B24,INDIRECT(Equipo!$D$4&amp;"!"&amp;ADDRESS(10,COLUMN(E$9)-1)&amp;":"&amp;ADDRESS(1000,COLUMN(E$9)-1))),
SUMIF(INDIRECT(Equipo!$E$4&amp;"!B10:B1000"),$B24,INDIRECT(Equipo!$E$4&amp;"!"&amp;ADDRESS(10,COLUMN(E$9)-1)&amp;":"&amp;ADDRESS(1000,COLUMN(E$9)-1))),
SUMIF(INDIRECT(Equipo!$F$4&amp;"!B10:B1000"),$B24,INDIRECT(Equipo!$F$4&amp;"!"&amp;ADDRESS(10,COLUMN(E$9)-1)&amp;":"&amp;ADDRESS(1000,COLUMN(E$9)-1))),
SUMIF(INDIRECT(Equipo!$G$4&amp;"!B10:B1000"),$B24,INDIRECT(Equipo!$G$4&amp;"!"&amp;ADDRESS(10,COLUMN(E$9)-1)&amp;":"&amp;ADDRESS(1000,COLUMN(E$9)-1)))))</f>
        <v>0</v>
      </c>
      <c r="F24" s="19">
        <f t="array" ref="F24">IF(ISBLANK(Tareas!$B20),"-",SUM(
SUMIF(INDIRECT(Equipo!$C$4&amp;"!B10:B1000"),$B24,INDIRECT(Equipo!$C$4&amp;"!"&amp;ADDRESS(10,COLUMN(F$9)-1)&amp;":"&amp;ADDRESS(1000,COLUMN(F$9)-1))),
SUMIF(INDIRECT(Equipo!$D$4&amp;"!B10:B1000"),$B24,INDIRECT(Equipo!$D$4&amp;"!"&amp;ADDRESS(10,COLUMN(F$9)-1)&amp;":"&amp;ADDRESS(1000,COLUMN(F$9)-1))),
SUMIF(INDIRECT(Equipo!$E$4&amp;"!B10:B1000"),$B24,INDIRECT(Equipo!$E$4&amp;"!"&amp;ADDRESS(10,COLUMN(F$9)-1)&amp;":"&amp;ADDRESS(1000,COLUMN(F$9)-1))),
SUMIF(INDIRECT(Equipo!$F$4&amp;"!B10:B1000"),$B24,INDIRECT(Equipo!$F$4&amp;"!"&amp;ADDRESS(10,COLUMN(F$9)-1)&amp;":"&amp;ADDRESS(1000,COLUMN(F$9)-1))),
SUMIF(INDIRECT(Equipo!$G$4&amp;"!B10:B1000"),$B24,INDIRECT(Equipo!$G$4&amp;"!"&amp;ADDRESS(10,COLUMN(F$9)-1)&amp;":"&amp;ADDRESS(1000,COLUMN(F$9)-1)))))</f>
        <v>2.5</v>
      </c>
      <c r="G24" s="19">
        <f t="array" ref="G24">IF(ISBLANK(Tareas!$B20),"-",SUM(
SUMIF(INDIRECT(Equipo!$C$4&amp;"!B10:B1000"),$B24,INDIRECT(Equipo!$C$4&amp;"!"&amp;ADDRESS(10,COLUMN(G$9)-1)&amp;":"&amp;ADDRESS(1000,COLUMN(G$9)-1))),
SUMIF(INDIRECT(Equipo!$D$4&amp;"!B10:B1000"),$B24,INDIRECT(Equipo!$D$4&amp;"!"&amp;ADDRESS(10,COLUMN(G$9)-1)&amp;":"&amp;ADDRESS(1000,COLUMN(G$9)-1))),
SUMIF(INDIRECT(Equipo!$E$4&amp;"!B10:B1000"),$B24,INDIRECT(Equipo!$E$4&amp;"!"&amp;ADDRESS(10,COLUMN(G$9)-1)&amp;":"&amp;ADDRESS(1000,COLUMN(G$9)-1))),
SUMIF(INDIRECT(Equipo!$F$4&amp;"!B10:B1000"),$B24,INDIRECT(Equipo!$F$4&amp;"!"&amp;ADDRESS(10,COLUMN(G$9)-1)&amp;":"&amp;ADDRESS(1000,COLUMN(G$9)-1))),
SUMIF(INDIRECT(Equipo!$G$4&amp;"!B10:B1000"),$B24,INDIRECT(Equipo!$G$4&amp;"!"&amp;ADDRESS(10,COLUMN(G$9)-1)&amp;":"&amp;ADDRESS(1000,COLUMN(G$9)-1)))))</f>
        <v>0.3</v>
      </c>
      <c r="H24" s="19">
        <f t="array" ref="H24">IF(ISBLANK(Tareas!$B20),"-",SUM(
SUMIF(INDIRECT(Equipo!$C$4&amp;"!B10:B1000"),$B24,INDIRECT(Equipo!$C$4&amp;"!"&amp;ADDRESS(10,COLUMN(H$9)-1)&amp;":"&amp;ADDRESS(1000,COLUMN(H$9)-1))),
SUMIF(INDIRECT(Equipo!$D$4&amp;"!B10:B1000"),$B24,INDIRECT(Equipo!$D$4&amp;"!"&amp;ADDRESS(10,COLUMN(H$9)-1)&amp;":"&amp;ADDRESS(1000,COLUMN(H$9)-1))),
SUMIF(INDIRECT(Equipo!$E$4&amp;"!B10:B1000"),$B24,INDIRECT(Equipo!$E$4&amp;"!"&amp;ADDRESS(10,COLUMN(H$9)-1)&amp;":"&amp;ADDRESS(1000,COLUMN(H$9)-1))),
SUMIF(INDIRECT(Equipo!$F$4&amp;"!B10:B1000"),$B24,INDIRECT(Equipo!$F$4&amp;"!"&amp;ADDRESS(10,COLUMN(H$9)-1)&amp;":"&amp;ADDRESS(1000,COLUMN(H$9)-1))),
SUMIF(INDIRECT(Equipo!$G$4&amp;"!B10:B1000"),$B24,INDIRECT(Equipo!$G$4&amp;"!"&amp;ADDRESS(10,COLUMN(H$9)-1)&amp;":"&amp;ADDRESS(1000,COLUMN(H$9)-1)))))</f>
        <v>0.3</v>
      </c>
      <c r="I24" s="19">
        <f t="array" ref="I24">IF(ISBLANK(Tareas!$B20),"-",SUM(
SUMIF(INDIRECT(Equipo!$C$4&amp;"!B10:B1000"),$B24,INDIRECT(Equipo!$C$4&amp;"!"&amp;ADDRESS(10,COLUMN(I$9)-1)&amp;":"&amp;ADDRESS(1000,COLUMN(I$9)-1))),
SUMIF(INDIRECT(Equipo!$D$4&amp;"!B10:B1000"),$B24,INDIRECT(Equipo!$D$4&amp;"!"&amp;ADDRESS(10,COLUMN(I$9)-1)&amp;":"&amp;ADDRESS(1000,COLUMN(I$9)-1))),
SUMIF(INDIRECT(Equipo!$E$4&amp;"!B10:B1000"),$B24,INDIRECT(Equipo!$E$4&amp;"!"&amp;ADDRESS(10,COLUMN(I$9)-1)&amp;":"&amp;ADDRESS(1000,COLUMN(I$9)-1))),
SUMIF(INDIRECT(Equipo!$F$4&amp;"!B10:B1000"),$B24,INDIRECT(Equipo!$F$4&amp;"!"&amp;ADDRESS(10,COLUMN(I$9)-1)&amp;":"&amp;ADDRESS(1000,COLUMN(I$9)-1))),
SUMIF(INDIRECT(Equipo!$G$4&amp;"!B10:B1000"),$B24,INDIRECT(Equipo!$G$4&amp;"!"&amp;ADDRESS(10,COLUMN(I$9)-1)&amp;":"&amp;ADDRESS(1000,COLUMN(I$9)-1)))))</f>
        <v>0</v>
      </c>
      <c r="J24" s="19">
        <f t="array" ref="J24">IF(ISBLANK(Tareas!$B20),"-",SUM(
SUMIF(INDIRECT(Equipo!$C$4&amp;"!B10:B1000"),$B24,INDIRECT(Equipo!$C$4&amp;"!"&amp;ADDRESS(10,COLUMN(J$9)-1)&amp;":"&amp;ADDRESS(1000,COLUMN(J$9)-1))),
SUMIF(INDIRECT(Equipo!$D$4&amp;"!B10:B1000"),$B24,INDIRECT(Equipo!$D$4&amp;"!"&amp;ADDRESS(10,COLUMN(J$9)-1)&amp;":"&amp;ADDRESS(1000,COLUMN(J$9)-1))),
SUMIF(INDIRECT(Equipo!$E$4&amp;"!B10:B1000"),$B24,INDIRECT(Equipo!$E$4&amp;"!"&amp;ADDRESS(10,COLUMN(J$9)-1)&amp;":"&amp;ADDRESS(1000,COLUMN(J$9)-1))),
SUMIF(INDIRECT(Equipo!$F$4&amp;"!B10:B1000"),$B24,INDIRECT(Equipo!$F$4&amp;"!"&amp;ADDRESS(10,COLUMN(J$9)-1)&amp;":"&amp;ADDRESS(1000,COLUMN(J$9)-1))),
SUMIF(INDIRECT(Equipo!$G$4&amp;"!B10:B1000"),$B24,INDIRECT(Equipo!$G$4&amp;"!"&amp;ADDRESS(10,COLUMN(J$9)-1)&amp;":"&amp;ADDRESS(1000,COLUMN(J$9)-1)))))</f>
        <v>0</v>
      </c>
      <c r="K24" s="19">
        <f t="array" ref="K24">IF(ISBLANK(Tareas!$B20),"-",SUM(
SUMIF(INDIRECT(Equipo!$C$4&amp;"!B10:B1000"),$B24,INDIRECT(Equipo!$C$4&amp;"!"&amp;ADDRESS(10,COLUMN(K$9)-1)&amp;":"&amp;ADDRESS(1000,COLUMN(K$9)-1))),
SUMIF(INDIRECT(Equipo!$D$4&amp;"!B10:B1000"),$B24,INDIRECT(Equipo!$D$4&amp;"!"&amp;ADDRESS(10,COLUMN(K$9)-1)&amp;":"&amp;ADDRESS(1000,COLUMN(K$9)-1))),
SUMIF(INDIRECT(Equipo!$E$4&amp;"!B10:B1000"),$B24,INDIRECT(Equipo!$E$4&amp;"!"&amp;ADDRESS(10,COLUMN(K$9)-1)&amp;":"&amp;ADDRESS(1000,COLUMN(K$9)-1))),
SUMIF(INDIRECT(Equipo!$F$4&amp;"!B10:B1000"),$B24,INDIRECT(Equipo!$F$4&amp;"!"&amp;ADDRESS(10,COLUMN(K$9)-1)&amp;":"&amp;ADDRESS(1000,COLUMN(K$9)-1))),
SUMIF(INDIRECT(Equipo!$G$4&amp;"!B10:B1000"),$B24,INDIRECT(Equipo!$G$4&amp;"!"&amp;ADDRESS(10,COLUMN(K$9)-1)&amp;":"&amp;ADDRESS(1000,COLUMN(K$9)-1)))))</f>
        <v>0</v>
      </c>
    </row>
    <row r="25" ht="15.75" customHeight="1">
      <c r="B25" s="1" t="str">
        <f>IF(ISBLANK(Tareas!B21)," - ",Tareas!B21)</f>
        <v>16. Reunión 4</v>
      </c>
      <c r="D25" s="19">
        <f t="array" ref="D25">IF(ISBLANK(Tareas!$B21),"-",SUM(
SUMIF(INDIRECT(Equipo!$C$4&amp;"!B10:B1000"),$B25,INDIRECT(Equipo!$C$4&amp;"!"&amp;ADDRESS(10,COLUMN(D$9)-1)&amp;":"&amp;ADDRESS(1000,COLUMN(D$9)-1))),
SUMIF(INDIRECT(Equipo!$D$4&amp;"!B10:B1000"),$B25,INDIRECT(Equipo!$D$4&amp;"!"&amp;ADDRESS(10,COLUMN(D$9)-1)&amp;":"&amp;ADDRESS(1000,COLUMN(D$9)-1))),
SUMIF(INDIRECT(Equipo!$E$4&amp;"!B10:B1000"),$B25,INDIRECT(Equipo!$E$4&amp;"!"&amp;ADDRESS(10,COLUMN(D$9)-1)&amp;":"&amp;ADDRESS(1000,COLUMN(D$9)-1))),
SUMIF(INDIRECT(Equipo!$F$4&amp;"!B10:B1000"),$B25,INDIRECT(Equipo!$F$4&amp;"!"&amp;ADDRESS(10,COLUMN(D$9)-1)&amp;":"&amp;ADDRESS(1000,COLUMN(D$9)-1))),
SUMIF(INDIRECT(Equipo!$G$4&amp;"!B10:B1000"),$B25,INDIRECT(Equipo!$G$4&amp;"!"&amp;ADDRESS(10,COLUMN(D$9)-1)&amp;":"&amp;ADDRESS(1000,COLUMN(D$9)-1)))))</f>
        <v>0</v>
      </c>
      <c r="E25" s="19">
        <f t="array" ref="E25">IF(ISBLANK(Tareas!$B21),"-",SUM(
SUMIF(INDIRECT(Equipo!$C$4&amp;"!B10:B1000"),$B25,INDIRECT(Equipo!$C$4&amp;"!"&amp;ADDRESS(10,COLUMN(E$9)-1)&amp;":"&amp;ADDRESS(1000,COLUMN(E$9)-1))),
SUMIF(INDIRECT(Equipo!$D$4&amp;"!B10:B1000"),$B25,INDIRECT(Equipo!$D$4&amp;"!"&amp;ADDRESS(10,COLUMN(E$9)-1)&amp;":"&amp;ADDRESS(1000,COLUMN(E$9)-1))),
SUMIF(INDIRECT(Equipo!$E$4&amp;"!B10:B1000"),$B25,INDIRECT(Equipo!$E$4&amp;"!"&amp;ADDRESS(10,COLUMN(E$9)-1)&amp;":"&amp;ADDRESS(1000,COLUMN(E$9)-1))),
SUMIF(INDIRECT(Equipo!$F$4&amp;"!B10:B1000"),$B25,INDIRECT(Equipo!$F$4&amp;"!"&amp;ADDRESS(10,COLUMN(E$9)-1)&amp;":"&amp;ADDRESS(1000,COLUMN(E$9)-1))),
SUMIF(INDIRECT(Equipo!$G$4&amp;"!B10:B1000"),$B25,INDIRECT(Equipo!$G$4&amp;"!"&amp;ADDRESS(10,COLUMN(E$9)-1)&amp;":"&amp;ADDRESS(1000,COLUMN(E$9)-1)))))</f>
        <v>0</v>
      </c>
      <c r="F25" s="19">
        <f t="array" ref="F25">IF(ISBLANK(Tareas!$B21),"-",SUM(
SUMIF(INDIRECT(Equipo!$C$4&amp;"!B10:B1000"),$B25,INDIRECT(Equipo!$C$4&amp;"!"&amp;ADDRESS(10,COLUMN(F$9)-1)&amp;":"&amp;ADDRESS(1000,COLUMN(F$9)-1))),
SUMIF(INDIRECT(Equipo!$D$4&amp;"!B10:B1000"),$B25,INDIRECT(Equipo!$D$4&amp;"!"&amp;ADDRESS(10,COLUMN(F$9)-1)&amp;":"&amp;ADDRESS(1000,COLUMN(F$9)-1))),
SUMIF(INDIRECT(Equipo!$E$4&amp;"!B10:B1000"),$B25,INDIRECT(Equipo!$E$4&amp;"!"&amp;ADDRESS(10,COLUMN(F$9)-1)&amp;":"&amp;ADDRESS(1000,COLUMN(F$9)-1))),
SUMIF(INDIRECT(Equipo!$F$4&amp;"!B10:B1000"),$B25,INDIRECT(Equipo!$F$4&amp;"!"&amp;ADDRESS(10,COLUMN(F$9)-1)&amp;":"&amp;ADDRESS(1000,COLUMN(F$9)-1))),
SUMIF(INDIRECT(Equipo!$G$4&amp;"!B10:B1000"),$B25,INDIRECT(Equipo!$G$4&amp;"!"&amp;ADDRESS(10,COLUMN(F$9)-1)&amp;":"&amp;ADDRESS(1000,COLUMN(F$9)-1)))))</f>
        <v>0</v>
      </c>
      <c r="G25" s="19">
        <f t="array" ref="G25">IF(ISBLANK(Tareas!$B21),"-",SUM(
SUMIF(INDIRECT(Equipo!$C$4&amp;"!B10:B1000"),$B25,INDIRECT(Equipo!$C$4&amp;"!"&amp;ADDRESS(10,COLUMN(G$9)-1)&amp;":"&amp;ADDRESS(1000,COLUMN(G$9)-1))),
SUMIF(INDIRECT(Equipo!$D$4&amp;"!B10:B1000"),$B25,INDIRECT(Equipo!$D$4&amp;"!"&amp;ADDRESS(10,COLUMN(G$9)-1)&amp;":"&amp;ADDRESS(1000,COLUMN(G$9)-1))),
SUMIF(INDIRECT(Equipo!$E$4&amp;"!B10:B1000"),$B25,INDIRECT(Equipo!$E$4&amp;"!"&amp;ADDRESS(10,COLUMN(G$9)-1)&amp;":"&amp;ADDRESS(1000,COLUMN(G$9)-1))),
SUMIF(INDIRECT(Equipo!$F$4&amp;"!B10:B1000"),$B25,INDIRECT(Equipo!$F$4&amp;"!"&amp;ADDRESS(10,COLUMN(G$9)-1)&amp;":"&amp;ADDRESS(1000,COLUMN(G$9)-1))),
SUMIF(INDIRECT(Equipo!$G$4&amp;"!B10:B1000"),$B25,INDIRECT(Equipo!$G$4&amp;"!"&amp;ADDRESS(10,COLUMN(G$9)-1)&amp;":"&amp;ADDRESS(1000,COLUMN(G$9)-1)))))</f>
        <v>5</v>
      </c>
      <c r="H25" s="19">
        <f t="array" ref="H25">IF(ISBLANK(Tareas!$B21),"-",SUM(
SUMIF(INDIRECT(Equipo!$C$4&amp;"!B10:B1000"),$B25,INDIRECT(Equipo!$C$4&amp;"!"&amp;ADDRESS(10,COLUMN(H$9)-1)&amp;":"&amp;ADDRESS(1000,COLUMN(H$9)-1))),
SUMIF(INDIRECT(Equipo!$D$4&amp;"!B10:B1000"),$B25,INDIRECT(Equipo!$D$4&amp;"!"&amp;ADDRESS(10,COLUMN(H$9)-1)&amp;":"&amp;ADDRESS(1000,COLUMN(H$9)-1))),
SUMIF(INDIRECT(Equipo!$E$4&amp;"!B10:B1000"),$B25,INDIRECT(Equipo!$E$4&amp;"!"&amp;ADDRESS(10,COLUMN(H$9)-1)&amp;":"&amp;ADDRESS(1000,COLUMN(H$9)-1))),
SUMIF(INDIRECT(Equipo!$F$4&amp;"!B10:B1000"),$B25,INDIRECT(Equipo!$F$4&amp;"!"&amp;ADDRESS(10,COLUMN(H$9)-1)&amp;":"&amp;ADDRESS(1000,COLUMN(H$9)-1))),
SUMIF(INDIRECT(Equipo!$G$4&amp;"!B10:B1000"),$B25,INDIRECT(Equipo!$G$4&amp;"!"&amp;ADDRESS(10,COLUMN(H$9)-1)&amp;":"&amp;ADDRESS(1000,COLUMN(H$9)-1)))))</f>
        <v>0</v>
      </c>
      <c r="I25" s="19">
        <f t="array" ref="I25">IF(ISBLANK(Tareas!$B21),"-",SUM(
SUMIF(INDIRECT(Equipo!$C$4&amp;"!B10:B1000"),$B25,INDIRECT(Equipo!$C$4&amp;"!"&amp;ADDRESS(10,COLUMN(I$9)-1)&amp;":"&amp;ADDRESS(1000,COLUMN(I$9)-1))),
SUMIF(INDIRECT(Equipo!$D$4&amp;"!B10:B1000"),$B25,INDIRECT(Equipo!$D$4&amp;"!"&amp;ADDRESS(10,COLUMN(I$9)-1)&amp;":"&amp;ADDRESS(1000,COLUMN(I$9)-1))),
SUMIF(INDIRECT(Equipo!$E$4&amp;"!B10:B1000"),$B25,INDIRECT(Equipo!$E$4&amp;"!"&amp;ADDRESS(10,COLUMN(I$9)-1)&amp;":"&amp;ADDRESS(1000,COLUMN(I$9)-1))),
SUMIF(INDIRECT(Equipo!$F$4&amp;"!B10:B1000"),$B25,INDIRECT(Equipo!$F$4&amp;"!"&amp;ADDRESS(10,COLUMN(I$9)-1)&amp;":"&amp;ADDRESS(1000,COLUMN(I$9)-1))),
SUMIF(INDIRECT(Equipo!$G$4&amp;"!B10:B1000"),$B25,INDIRECT(Equipo!$G$4&amp;"!"&amp;ADDRESS(10,COLUMN(I$9)-1)&amp;":"&amp;ADDRESS(1000,COLUMN(I$9)-1)))))</f>
        <v>0</v>
      </c>
      <c r="J25" s="19">
        <f t="array" ref="J25">IF(ISBLANK(Tareas!$B21),"-",SUM(
SUMIF(INDIRECT(Equipo!$C$4&amp;"!B10:B1000"),$B25,INDIRECT(Equipo!$C$4&amp;"!"&amp;ADDRESS(10,COLUMN(J$9)-1)&amp;":"&amp;ADDRESS(1000,COLUMN(J$9)-1))),
SUMIF(INDIRECT(Equipo!$D$4&amp;"!B10:B1000"),$B25,INDIRECT(Equipo!$D$4&amp;"!"&amp;ADDRESS(10,COLUMN(J$9)-1)&amp;":"&amp;ADDRESS(1000,COLUMN(J$9)-1))),
SUMIF(INDIRECT(Equipo!$E$4&amp;"!B10:B1000"),$B25,INDIRECT(Equipo!$E$4&amp;"!"&amp;ADDRESS(10,COLUMN(J$9)-1)&amp;":"&amp;ADDRESS(1000,COLUMN(J$9)-1))),
SUMIF(INDIRECT(Equipo!$F$4&amp;"!B10:B1000"),$B25,INDIRECT(Equipo!$F$4&amp;"!"&amp;ADDRESS(10,COLUMN(J$9)-1)&amp;":"&amp;ADDRESS(1000,COLUMN(J$9)-1))),
SUMIF(INDIRECT(Equipo!$G$4&amp;"!B10:B1000"),$B25,INDIRECT(Equipo!$G$4&amp;"!"&amp;ADDRESS(10,COLUMN(J$9)-1)&amp;":"&amp;ADDRESS(1000,COLUMN(J$9)-1)))))</f>
        <v>0</v>
      </c>
      <c r="K25" s="19">
        <f t="array" ref="K25">IF(ISBLANK(Tareas!$B21),"-",SUM(
SUMIF(INDIRECT(Equipo!$C$4&amp;"!B10:B1000"),$B25,INDIRECT(Equipo!$C$4&amp;"!"&amp;ADDRESS(10,COLUMN(K$9)-1)&amp;":"&amp;ADDRESS(1000,COLUMN(K$9)-1))),
SUMIF(INDIRECT(Equipo!$D$4&amp;"!B10:B1000"),$B25,INDIRECT(Equipo!$D$4&amp;"!"&amp;ADDRESS(10,COLUMN(K$9)-1)&amp;":"&amp;ADDRESS(1000,COLUMN(K$9)-1))),
SUMIF(INDIRECT(Equipo!$E$4&amp;"!B10:B1000"),$B25,INDIRECT(Equipo!$E$4&amp;"!"&amp;ADDRESS(10,COLUMN(K$9)-1)&amp;":"&amp;ADDRESS(1000,COLUMN(K$9)-1))),
SUMIF(INDIRECT(Equipo!$F$4&amp;"!B10:B1000"),$B25,INDIRECT(Equipo!$F$4&amp;"!"&amp;ADDRESS(10,COLUMN(K$9)-1)&amp;":"&amp;ADDRESS(1000,COLUMN(K$9)-1))),
SUMIF(INDIRECT(Equipo!$G$4&amp;"!B10:B1000"),$B25,INDIRECT(Equipo!$G$4&amp;"!"&amp;ADDRESS(10,COLUMN(K$9)-1)&amp;":"&amp;ADDRESS(1000,COLUMN(K$9)-1)))))</f>
        <v>0</v>
      </c>
    </row>
    <row r="26" ht="15.75" customHeight="1">
      <c r="B26" s="1" t="str">
        <f>IF(ISBLANK(Tareas!B22)," - ",Tareas!B22)</f>
        <v>17. Definición del plan de gestión de configuración software (GCS)</v>
      </c>
      <c r="D26" s="19">
        <f t="array" ref="D26">IF(ISBLANK(Tareas!$B22),"-",SUM(
SUMIF(INDIRECT(Equipo!$C$4&amp;"!B10:B1000"),$B26,INDIRECT(Equipo!$C$4&amp;"!"&amp;ADDRESS(10,COLUMN(D$9)-1)&amp;":"&amp;ADDRESS(1000,COLUMN(D$9)-1))),
SUMIF(INDIRECT(Equipo!$D$4&amp;"!B10:B1000"),$B26,INDIRECT(Equipo!$D$4&amp;"!"&amp;ADDRESS(10,COLUMN(D$9)-1)&amp;":"&amp;ADDRESS(1000,COLUMN(D$9)-1))),
SUMIF(INDIRECT(Equipo!$E$4&amp;"!B10:B1000"),$B26,INDIRECT(Equipo!$E$4&amp;"!"&amp;ADDRESS(10,COLUMN(D$9)-1)&amp;":"&amp;ADDRESS(1000,COLUMN(D$9)-1))),
SUMIF(INDIRECT(Equipo!$F$4&amp;"!B10:B1000"),$B26,INDIRECT(Equipo!$F$4&amp;"!"&amp;ADDRESS(10,COLUMN(D$9)-1)&amp;":"&amp;ADDRESS(1000,COLUMN(D$9)-1))),
SUMIF(INDIRECT(Equipo!$G$4&amp;"!B10:B1000"),$B26,INDIRECT(Equipo!$G$4&amp;"!"&amp;ADDRESS(10,COLUMN(D$9)-1)&amp;":"&amp;ADDRESS(1000,COLUMN(D$9)-1)))))</f>
        <v>0</v>
      </c>
      <c r="E26" s="19">
        <f t="array" ref="E26">IF(ISBLANK(Tareas!$B22),"-",SUM(
SUMIF(INDIRECT(Equipo!$C$4&amp;"!B10:B1000"),$B26,INDIRECT(Equipo!$C$4&amp;"!"&amp;ADDRESS(10,COLUMN(E$9)-1)&amp;":"&amp;ADDRESS(1000,COLUMN(E$9)-1))),
SUMIF(INDIRECT(Equipo!$D$4&amp;"!B10:B1000"),$B26,INDIRECT(Equipo!$D$4&amp;"!"&amp;ADDRESS(10,COLUMN(E$9)-1)&amp;":"&amp;ADDRESS(1000,COLUMN(E$9)-1))),
SUMIF(INDIRECT(Equipo!$E$4&amp;"!B10:B1000"),$B26,INDIRECT(Equipo!$E$4&amp;"!"&amp;ADDRESS(10,COLUMN(E$9)-1)&amp;":"&amp;ADDRESS(1000,COLUMN(E$9)-1))),
SUMIF(INDIRECT(Equipo!$F$4&amp;"!B10:B1000"),$B26,INDIRECT(Equipo!$F$4&amp;"!"&amp;ADDRESS(10,COLUMN(E$9)-1)&amp;":"&amp;ADDRESS(1000,COLUMN(E$9)-1))),
SUMIF(INDIRECT(Equipo!$G$4&amp;"!B10:B1000"),$B26,INDIRECT(Equipo!$G$4&amp;"!"&amp;ADDRESS(10,COLUMN(E$9)-1)&amp;":"&amp;ADDRESS(1000,COLUMN(E$9)-1)))))</f>
        <v>0</v>
      </c>
      <c r="F26" s="19">
        <f t="array" ref="F26">IF(ISBLANK(Tareas!$B22),"-",SUM(
SUMIF(INDIRECT(Equipo!$C$4&amp;"!B10:B1000"),$B26,INDIRECT(Equipo!$C$4&amp;"!"&amp;ADDRESS(10,COLUMN(F$9)-1)&amp;":"&amp;ADDRESS(1000,COLUMN(F$9)-1))),
SUMIF(INDIRECT(Equipo!$D$4&amp;"!B10:B1000"),$B26,INDIRECT(Equipo!$D$4&amp;"!"&amp;ADDRESS(10,COLUMN(F$9)-1)&amp;":"&amp;ADDRESS(1000,COLUMN(F$9)-1))),
SUMIF(INDIRECT(Equipo!$E$4&amp;"!B10:B1000"),$B26,INDIRECT(Equipo!$E$4&amp;"!"&amp;ADDRESS(10,COLUMN(F$9)-1)&amp;":"&amp;ADDRESS(1000,COLUMN(F$9)-1))),
SUMIF(INDIRECT(Equipo!$F$4&amp;"!B10:B1000"),$B26,INDIRECT(Equipo!$F$4&amp;"!"&amp;ADDRESS(10,COLUMN(F$9)-1)&amp;":"&amp;ADDRESS(1000,COLUMN(F$9)-1))),
SUMIF(INDIRECT(Equipo!$G$4&amp;"!B10:B1000"),$B26,INDIRECT(Equipo!$G$4&amp;"!"&amp;ADDRESS(10,COLUMN(F$9)-1)&amp;":"&amp;ADDRESS(1000,COLUMN(F$9)-1)))))</f>
        <v>0</v>
      </c>
      <c r="G26" s="19">
        <f t="array" ref="G26">IF(ISBLANK(Tareas!$B22),"-",SUM(
SUMIF(INDIRECT(Equipo!$C$4&amp;"!B10:B1000"),$B26,INDIRECT(Equipo!$C$4&amp;"!"&amp;ADDRESS(10,COLUMN(G$9)-1)&amp;":"&amp;ADDRESS(1000,COLUMN(G$9)-1))),
SUMIF(INDIRECT(Equipo!$D$4&amp;"!B10:B1000"),$B26,INDIRECT(Equipo!$D$4&amp;"!"&amp;ADDRESS(10,COLUMN(G$9)-1)&amp;":"&amp;ADDRESS(1000,COLUMN(G$9)-1))),
SUMIF(INDIRECT(Equipo!$E$4&amp;"!B10:B1000"),$B26,INDIRECT(Equipo!$E$4&amp;"!"&amp;ADDRESS(10,COLUMN(G$9)-1)&amp;":"&amp;ADDRESS(1000,COLUMN(G$9)-1))),
SUMIF(INDIRECT(Equipo!$F$4&amp;"!B10:B1000"),$B26,INDIRECT(Equipo!$F$4&amp;"!"&amp;ADDRESS(10,COLUMN(G$9)-1)&amp;":"&amp;ADDRESS(1000,COLUMN(G$9)-1))),
SUMIF(INDIRECT(Equipo!$G$4&amp;"!B10:B1000"),$B26,INDIRECT(Equipo!$G$4&amp;"!"&amp;ADDRESS(10,COLUMN(G$9)-1)&amp;":"&amp;ADDRESS(1000,COLUMN(G$9)-1)))))</f>
        <v>3</v>
      </c>
      <c r="H26" s="19">
        <f t="array" ref="H26">IF(ISBLANK(Tareas!$B22),"-",SUM(
SUMIF(INDIRECT(Equipo!$C$4&amp;"!B10:B1000"),$B26,INDIRECT(Equipo!$C$4&amp;"!"&amp;ADDRESS(10,COLUMN(H$9)-1)&amp;":"&amp;ADDRESS(1000,COLUMN(H$9)-1))),
SUMIF(INDIRECT(Equipo!$D$4&amp;"!B10:B1000"),$B26,INDIRECT(Equipo!$D$4&amp;"!"&amp;ADDRESS(10,COLUMN(H$9)-1)&amp;":"&amp;ADDRESS(1000,COLUMN(H$9)-1))),
SUMIF(INDIRECT(Equipo!$E$4&amp;"!B10:B1000"),$B26,INDIRECT(Equipo!$E$4&amp;"!"&amp;ADDRESS(10,COLUMN(H$9)-1)&amp;":"&amp;ADDRESS(1000,COLUMN(H$9)-1))),
SUMIF(INDIRECT(Equipo!$F$4&amp;"!B10:B1000"),$B26,INDIRECT(Equipo!$F$4&amp;"!"&amp;ADDRESS(10,COLUMN(H$9)-1)&amp;":"&amp;ADDRESS(1000,COLUMN(H$9)-1))),
SUMIF(INDIRECT(Equipo!$G$4&amp;"!B10:B1000"),$B26,INDIRECT(Equipo!$G$4&amp;"!"&amp;ADDRESS(10,COLUMN(H$9)-1)&amp;":"&amp;ADDRESS(1000,COLUMN(H$9)-1)))))</f>
        <v>0.6</v>
      </c>
      <c r="I26" s="19">
        <f t="array" ref="I26">IF(ISBLANK(Tareas!$B22),"-",SUM(
SUMIF(INDIRECT(Equipo!$C$4&amp;"!B10:B1000"),$B26,INDIRECT(Equipo!$C$4&amp;"!"&amp;ADDRESS(10,COLUMN(I$9)-1)&amp;":"&amp;ADDRESS(1000,COLUMN(I$9)-1))),
SUMIF(INDIRECT(Equipo!$D$4&amp;"!B10:B1000"),$B26,INDIRECT(Equipo!$D$4&amp;"!"&amp;ADDRESS(10,COLUMN(I$9)-1)&amp;":"&amp;ADDRESS(1000,COLUMN(I$9)-1))),
SUMIF(INDIRECT(Equipo!$E$4&amp;"!B10:B1000"),$B26,INDIRECT(Equipo!$E$4&amp;"!"&amp;ADDRESS(10,COLUMN(I$9)-1)&amp;":"&amp;ADDRESS(1000,COLUMN(I$9)-1))),
SUMIF(INDIRECT(Equipo!$F$4&amp;"!B10:B1000"),$B26,INDIRECT(Equipo!$F$4&amp;"!"&amp;ADDRESS(10,COLUMN(I$9)-1)&amp;":"&amp;ADDRESS(1000,COLUMN(I$9)-1))),
SUMIF(INDIRECT(Equipo!$G$4&amp;"!B10:B1000"),$B26,INDIRECT(Equipo!$G$4&amp;"!"&amp;ADDRESS(10,COLUMN(I$9)-1)&amp;":"&amp;ADDRESS(1000,COLUMN(I$9)-1)))))</f>
        <v>0</v>
      </c>
      <c r="J26" s="19">
        <f t="array" ref="J26">IF(ISBLANK(Tareas!$B22),"-",SUM(
SUMIF(INDIRECT(Equipo!$C$4&amp;"!B10:B1000"),$B26,INDIRECT(Equipo!$C$4&amp;"!"&amp;ADDRESS(10,COLUMN(J$9)-1)&amp;":"&amp;ADDRESS(1000,COLUMN(J$9)-1))),
SUMIF(INDIRECT(Equipo!$D$4&amp;"!B10:B1000"),$B26,INDIRECT(Equipo!$D$4&amp;"!"&amp;ADDRESS(10,COLUMN(J$9)-1)&amp;":"&amp;ADDRESS(1000,COLUMN(J$9)-1))),
SUMIF(INDIRECT(Equipo!$E$4&amp;"!B10:B1000"),$B26,INDIRECT(Equipo!$E$4&amp;"!"&amp;ADDRESS(10,COLUMN(J$9)-1)&amp;":"&amp;ADDRESS(1000,COLUMN(J$9)-1))),
SUMIF(INDIRECT(Equipo!$F$4&amp;"!B10:B1000"),$B26,INDIRECT(Equipo!$F$4&amp;"!"&amp;ADDRESS(10,COLUMN(J$9)-1)&amp;":"&amp;ADDRESS(1000,COLUMN(J$9)-1))),
SUMIF(INDIRECT(Equipo!$G$4&amp;"!B10:B1000"),$B26,INDIRECT(Equipo!$G$4&amp;"!"&amp;ADDRESS(10,COLUMN(J$9)-1)&amp;":"&amp;ADDRESS(1000,COLUMN(J$9)-1)))))</f>
        <v>0</v>
      </c>
      <c r="K26" s="19">
        <f t="array" ref="K26">IF(ISBLANK(Tareas!$B22),"-",SUM(
SUMIF(INDIRECT(Equipo!$C$4&amp;"!B10:B1000"),$B26,INDIRECT(Equipo!$C$4&amp;"!"&amp;ADDRESS(10,COLUMN(K$9)-1)&amp;":"&amp;ADDRESS(1000,COLUMN(K$9)-1))),
SUMIF(INDIRECT(Equipo!$D$4&amp;"!B10:B1000"),$B26,INDIRECT(Equipo!$D$4&amp;"!"&amp;ADDRESS(10,COLUMN(K$9)-1)&amp;":"&amp;ADDRESS(1000,COLUMN(K$9)-1))),
SUMIF(INDIRECT(Equipo!$E$4&amp;"!B10:B1000"),$B26,INDIRECT(Equipo!$E$4&amp;"!"&amp;ADDRESS(10,COLUMN(K$9)-1)&amp;":"&amp;ADDRESS(1000,COLUMN(K$9)-1))),
SUMIF(INDIRECT(Equipo!$F$4&amp;"!B10:B1000"),$B26,INDIRECT(Equipo!$F$4&amp;"!"&amp;ADDRESS(10,COLUMN(K$9)-1)&amp;":"&amp;ADDRESS(1000,COLUMN(K$9)-1))),
SUMIF(INDIRECT(Equipo!$G$4&amp;"!B10:B1000"),$B26,INDIRECT(Equipo!$G$4&amp;"!"&amp;ADDRESS(10,COLUMN(K$9)-1)&amp;":"&amp;ADDRESS(1000,COLUMN(K$9)-1)))))</f>
        <v>0</v>
      </c>
    </row>
    <row r="27" ht="15.75" customHeight="1">
      <c r="B27" s="1" t="str">
        <f>IF(ISBLANK(Tareas!B23)," - ",Tareas!B23)</f>
        <v>18. Inicialización de la hoja de valor ganado (EVM)</v>
      </c>
      <c r="D27" s="19">
        <f t="array" ref="D27">IF(ISBLANK(Tareas!$B23),"-",SUM(
SUMIF(INDIRECT(Equipo!$C$4&amp;"!B10:B1000"),$B27,INDIRECT(Equipo!$C$4&amp;"!"&amp;ADDRESS(10,COLUMN(D$9)-1)&amp;":"&amp;ADDRESS(1000,COLUMN(D$9)-1))),
SUMIF(INDIRECT(Equipo!$D$4&amp;"!B10:B1000"),$B27,INDIRECT(Equipo!$D$4&amp;"!"&amp;ADDRESS(10,COLUMN(D$9)-1)&amp;":"&amp;ADDRESS(1000,COLUMN(D$9)-1))),
SUMIF(INDIRECT(Equipo!$E$4&amp;"!B10:B1000"),$B27,INDIRECT(Equipo!$E$4&amp;"!"&amp;ADDRESS(10,COLUMN(D$9)-1)&amp;":"&amp;ADDRESS(1000,COLUMN(D$9)-1))),
SUMIF(INDIRECT(Equipo!$F$4&amp;"!B10:B1000"),$B27,INDIRECT(Equipo!$F$4&amp;"!"&amp;ADDRESS(10,COLUMN(D$9)-1)&amp;":"&amp;ADDRESS(1000,COLUMN(D$9)-1))),
SUMIF(INDIRECT(Equipo!$G$4&amp;"!B10:B1000"),$B27,INDIRECT(Equipo!$G$4&amp;"!"&amp;ADDRESS(10,COLUMN(D$9)-1)&amp;":"&amp;ADDRESS(1000,COLUMN(D$9)-1)))))</f>
        <v>0</v>
      </c>
      <c r="E27" s="19">
        <f t="array" ref="E27">IF(ISBLANK(Tareas!$B23),"-",SUM(
SUMIF(INDIRECT(Equipo!$C$4&amp;"!B10:B1000"),$B27,INDIRECT(Equipo!$C$4&amp;"!"&amp;ADDRESS(10,COLUMN(E$9)-1)&amp;":"&amp;ADDRESS(1000,COLUMN(E$9)-1))),
SUMIF(INDIRECT(Equipo!$D$4&amp;"!B10:B1000"),$B27,INDIRECT(Equipo!$D$4&amp;"!"&amp;ADDRESS(10,COLUMN(E$9)-1)&amp;":"&amp;ADDRESS(1000,COLUMN(E$9)-1))),
SUMIF(INDIRECT(Equipo!$E$4&amp;"!B10:B1000"),$B27,INDIRECT(Equipo!$E$4&amp;"!"&amp;ADDRESS(10,COLUMN(E$9)-1)&amp;":"&amp;ADDRESS(1000,COLUMN(E$9)-1))),
SUMIF(INDIRECT(Equipo!$F$4&amp;"!B10:B1000"),$B27,INDIRECT(Equipo!$F$4&amp;"!"&amp;ADDRESS(10,COLUMN(E$9)-1)&amp;":"&amp;ADDRESS(1000,COLUMN(E$9)-1))),
SUMIF(INDIRECT(Equipo!$G$4&amp;"!B10:B1000"),$B27,INDIRECT(Equipo!$G$4&amp;"!"&amp;ADDRESS(10,COLUMN(E$9)-1)&amp;":"&amp;ADDRESS(1000,COLUMN(E$9)-1)))))</f>
        <v>0</v>
      </c>
      <c r="F27" s="19">
        <f t="array" ref="F27">IF(ISBLANK(Tareas!$B23),"-",SUM(
SUMIF(INDIRECT(Equipo!$C$4&amp;"!B10:B1000"),$B27,INDIRECT(Equipo!$C$4&amp;"!"&amp;ADDRESS(10,COLUMN(F$9)-1)&amp;":"&amp;ADDRESS(1000,COLUMN(F$9)-1))),
SUMIF(INDIRECT(Equipo!$D$4&amp;"!B10:B1000"),$B27,INDIRECT(Equipo!$D$4&amp;"!"&amp;ADDRESS(10,COLUMN(F$9)-1)&amp;":"&amp;ADDRESS(1000,COLUMN(F$9)-1))),
SUMIF(INDIRECT(Equipo!$E$4&amp;"!B10:B1000"),$B27,INDIRECT(Equipo!$E$4&amp;"!"&amp;ADDRESS(10,COLUMN(F$9)-1)&amp;":"&amp;ADDRESS(1000,COLUMN(F$9)-1))),
SUMIF(INDIRECT(Equipo!$F$4&amp;"!B10:B1000"),$B27,INDIRECT(Equipo!$F$4&amp;"!"&amp;ADDRESS(10,COLUMN(F$9)-1)&amp;":"&amp;ADDRESS(1000,COLUMN(F$9)-1))),
SUMIF(INDIRECT(Equipo!$G$4&amp;"!B10:B1000"),$B27,INDIRECT(Equipo!$G$4&amp;"!"&amp;ADDRESS(10,COLUMN(F$9)-1)&amp;":"&amp;ADDRESS(1000,COLUMN(F$9)-1)))))</f>
        <v>0</v>
      </c>
      <c r="G27" s="19">
        <f t="array" ref="G27">IF(ISBLANK(Tareas!$B23),"-",SUM(
SUMIF(INDIRECT(Equipo!$C$4&amp;"!B10:B1000"),$B27,INDIRECT(Equipo!$C$4&amp;"!"&amp;ADDRESS(10,COLUMN(G$9)-1)&amp;":"&amp;ADDRESS(1000,COLUMN(G$9)-1))),
SUMIF(INDIRECT(Equipo!$D$4&amp;"!B10:B1000"),$B27,INDIRECT(Equipo!$D$4&amp;"!"&amp;ADDRESS(10,COLUMN(G$9)-1)&amp;":"&amp;ADDRESS(1000,COLUMN(G$9)-1))),
SUMIF(INDIRECT(Equipo!$E$4&amp;"!B10:B1000"),$B27,INDIRECT(Equipo!$E$4&amp;"!"&amp;ADDRESS(10,COLUMN(G$9)-1)&amp;":"&amp;ADDRESS(1000,COLUMN(G$9)-1))),
SUMIF(INDIRECT(Equipo!$F$4&amp;"!B10:B1000"),$B27,INDIRECT(Equipo!$F$4&amp;"!"&amp;ADDRESS(10,COLUMN(G$9)-1)&amp;":"&amp;ADDRESS(1000,COLUMN(G$9)-1))),
SUMIF(INDIRECT(Equipo!$G$4&amp;"!B10:B1000"),$B27,INDIRECT(Equipo!$G$4&amp;"!"&amp;ADDRESS(10,COLUMN(G$9)-1)&amp;":"&amp;ADDRESS(1000,COLUMN(G$9)-1)))))</f>
        <v>1</v>
      </c>
      <c r="H27" s="19">
        <f t="array" ref="H27">IF(ISBLANK(Tareas!$B23),"-",SUM(
SUMIF(INDIRECT(Equipo!$C$4&amp;"!B10:B1000"),$B27,INDIRECT(Equipo!$C$4&amp;"!"&amp;ADDRESS(10,COLUMN(H$9)-1)&amp;":"&amp;ADDRESS(1000,COLUMN(H$9)-1))),
SUMIF(INDIRECT(Equipo!$D$4&amp;"!B10:B1000"),$B27,INDIRECT(Equipo!$D$4&amp;"!"&amp;ADDRESS(10,COLUMN(H$9)-1)&amp;":"&amp;ADDRESS(1000,COLUMN(H$9)-1))),
SUMIF(INDIRECT(Equipo!$E$4&amp;"!B10:B1000"),$B27,INDIRECT(Equipo!$E$4&amp;"!"&amp;ADDRESS(10,COLUMN(H$9)-1)&amp;":"&amp;ADDRESS(1000,COLUMN(H$9)-1))),
SUMIF(INDIRECT(Equipo!$F$4&amp;"!B10:B1000"),$B27,INDIRECT(Equipo!$F$4&amp;"!"&amp;ADDRESS(10,COLUMN(H$9)-1)&amp;":"&amp;ADDRESS(1000,COLUMN(H$9)-1))),
SUMIF(INDIRECT(Equipo!$G$4&amp;"!B10:B1000"),$B27,INDIRECT(Equipo!$G$4&amp;"!"&amp;ADDRESS(10,COLUMN(H$9)-1)&amp;":"&amp;ADDRESS(1000,COLUMN(H$9)-1)))))</f>
        <v>0</v>
      </c>
      <c r="I27" s="19">
        <f t="array" ref="I27">IF(ISBLANK(Tareas!$B23),"-",SUM(
SUMIF(INDIRECT(Equipo!$C$4&amp;"!B10:B1000"),$B27,INDIRECT(Equipo!$C$4&amp;"!"&amp;ADDRESS(10,COLUMN(I$9)-1)&amp;":"&amp;ADDRESS(1000,COLUMN(I$9)-1))),
SUMIF(INDIRECT(Equipo!$D$4&amp;"!B10:B1000"),$B27,INDIRECT(Equipo!$D$4&amp;"!"&amp;ADDRESS(10,COLUMN(I$9)-1)&amp;":"&amp;ADDRESS(1000,COLUMN(I$9)-1))),
SUMIF(INDIRECT(Equipo!$E$4&amp;"!B10:B1000"),$B27,INDIRECT(Equipo!$E$4&amp;"!"&amp;ADDRESS(10,COLUMN(I$9)-1)&amp;":"&amp;ADDRESS(1000,COLUMN(I$9)-1))),
SUMIF(INDIRECT(Equipo!$F$4&amp;"!B10:B1000"),$B27,INDIRECT(Equipo!$F$4&amp;"!"&amp;ADDRESS(10,COLUMN(I$9)-1)&amp;":"&amp;ADDRESS(1000,COLUMN(I$9)-1))),
SUMIF(INDIRECT(Equipo!$G$4&amp;"!B10:B1000"),$B27,INDIRECT(Equipo!$G$4&amp;"!"&amp;ADDRESS(10,COLUMN(I$9)-1)&amp;":"&amp;ADDRESS(1000,COLUMN(I$9)-1)))))</f>
        <v>0</v>
      </c>
      <c r="J27" s="19">
        <f t="array" ref="J27">IF(ISBLANK(Tareas!$B23),"-",SUM(
SUMIF(INDIRECT(Equipo!$C$4&amp;"!B10:B1000"),$B27,INDIRECT(Equipo!$C$4&amp;"!"&amp;ADDRESS(10,COLUMN(J$9)-1)&amp;":"&amp;ADDRESS(1000,COLUMN(J$9)-1))),
SUMIF(INDIRECT(Equipo!$D$4&amp;"!B10:B1000"),$B27,INDIRECT(Equipo!$D$4&amp;"!"&amp;ADDRESS(10,COLUMN(J$9)-1)&amp;":"&amp;ADDRESS(1000,COLUMN(J$9)-1))),
SUMIF(INDIRECT(Equipo!$E$4&amp;"!B10:B1000"),$B27,INDIRECT(Equipo!$E$4&amp;"!"&amp;ADDRESS(10,COLUMN(J$9)-1)&amp;":"&amp;ADDRESS(1000,COLUMN(J$9)-1))),
SUMIF(INDIRECT(Equipo!$F$4&amp;"!B10:B1000"),$B27,INDIRECT(Equipo!$F$4&amp;"!"&amp;ADDRESS(10,COLUMN(J$9)-1)&amp;":"&amp;ADDRESS(1000,COLUMN(J$9)-1))),
SUMIF(INDIRECT(Equipo!$G$4&amp;"!B10:B1000"),$B27,INDIRECT(Equipo!$G$4&amp;"!"&amp;ADDRESS(10,COLUMN(J$9)-1)&amp;":"&amp;ADDRESS(1000,COLUMN(J$9)-1)))))</f>
        <v>0</v>
      </c>
      <c r="K27" s="19">
        <f t="array" ref="K27">IF(ISBLANK(Tareas!$B23),"-",SUM(
SUMIF(INDIRECT(Equipo!$C$4&amp;"!B10:B1000"),$B27,INDIRECT(Equipo!$C$4&amp;"!"&amp;ADDRESS(10,COLUMN(K$9)-1)&amp;":"&amp;ADDRESS(1000,COLUMN(K$9)-1))),
SUMIF(INDIRECT(Equipo!$D$4&amp;"!B10:B1000"),$B27,INDIRECT(Equipo!$D$4&amp;"!"&amp;ADDRESS(10,COLUMN(K$9)-1)&amp;":"&amp;ADDRESS(1000,COLUMN(K$9)-1))),
SUMIF(INDIRECT(Equipo!$E$4&amp;"!B10:B1000"),$B27,INDIRECT(Equipo!$E$4&amp;"!"&amp;ADDRESS(10,COLUMN(K$9)-1)&amp;":"&amp;ADDRESS(1000,COLUMN(K$9)-1))),
SUMIF(INDIRECT(Equipo!$F$4&amp;"!B10:B1000"),$B27,INDIRECT(Equipo!$F$4&amp;"!"&amp;ADDRESS(10,COLUMN(K$9)-1)&amp;":"&amp;ADDRESS(1000,COLUMN(K$9)-1))),
SUMIF(INDIRECT(Equipo!$G$4&amp;"!B10:B1000"),$B27,INDIRECT(Equipo!$G$4&amp;"!"&amp;ADDRESS(10,COLUMN(K$9)-1)&amp;":"&amp;ADDRESS(1000,COLUMN(K$9)-1)))))</f>
        <v>0</v>
      </c>
    </row>
    <row r="28" ht="15.75" customHeight="1">
      <c r="B28" s="1" t="str">
        <f>IF(ISBLANK(Tareas!B24)," - ",Tareas!B24)</f>
        <v>19. Introducción de los datos en EVM</v>
      </c>
      <c r="D28" s="19">
        <f t="array" ref="D28">IF(ISBLANK(Tareas!$B24),"-",SUM(
SUMIF(INDIRECT(Equipo!$C$4&amp;"!B10:B1000"),$B28,INDIRECT(Equipo!$C$4&amp;"!"&amp;ADDRESS(10,COLUMN(D$9)-1)&amp;":"&amp;ADDRESS(1000,COLUMN(D$9)-1))),
SUMIF(INDIRECT(Equipo!$D$4&amp;"!B10:B1000"),$B28,INDIRECT(Equipo!$D$4&amp;"!"&amp;ADDRESS(10,COLUMN(D$9)-1)&amp;":"&amp;ADDRESS(1000,COLUMN(D$9)-1))),
SUMIF(INDIRECT(Equipo!$E$4&amp;"!B10:B1000"),$B28,INDIRECT(Equipo!$E$4&amp;"!"&amp;ADDRESS(10,COLUMN(D$9)-1)&amp;":"&amp;ADDRESS(1000,COLUMN(D$9)-1))),
SUMIF(INDIRECT(Equipo!$F$4&amp;"!B10:B1000"),$B28,INDIRECT(Equipo!$F$4&amp;"!"&amp;ADDRESS(10,COLUMN(D$9)-1)&amp;":"&amp;ADDRESS(1000,COLUMN(D$9)-1))),
SUMIF(INDIRECT(Equipo!$G$4&amp;"!B10:B1000"),$B28,INDIRECT(Equipo!$G$4&amp;"!"&amp;ADDRESS(10,COLUMN(D$9)-1)&amp;":"&amp;ADDRESS(1000,COLUMN(D$9)-1)))))</f>
        <v>0</v>
      </c>
      <c r="E28" s="19">
        <f t="array" ref="E28">IF(ISBLANK(Tareas!$B24),"-",SUM(
SUMIF(INDIRECT(Equipo!$C$4&amp;"!B10:B1000"),$B28,INDIRECT(Equipo!$C$4&amp;"!"&amp;ADDRESS(10,COLUMN(E$9)-1)&amp;":"&amp;ADDRESS(1000,COLUMN(E$9)-1))),
SUMIF(INDIRECT(Equipo!$D$4&amp;"!B10:B1000"),$B28,INDIRECT(Equipo!$D$4&amp;"!"&amp;ADDRESS(10,COLUMN(E$9)-1)&amp;":"&amp;ADDRESS(1000,COLUMN(E$9)-1))),
SUMIF(INDIRECT(Equipo!$E$4&amp;"!B10:B1000"),$B28,INDIRECT(Equipo!$E$4&amp;"!"&amp;ADDRESS(10,COLUMN(E$9)-1)&amp;":"&amp;ADDRESS(1000,COLUMN(E$9)-1))),
SUMIF(INDIRECT(Equipo!$F$4&amp;"!B10:B1000"),$B28,INDIRECT(Equipo!$F$4&amp;"!"&amp;ADDRESS(10,COLUMN(E$9)-1)&amp;":"&amp;ADDRESS(1000,COLUMN(E$9)-1))),
SUMIF(INDIRECT(Equipo!$G$4&amp;"!B10:B1000"),$B28,INDIRECT(Equipo!$G$4&amp;"!"&amp;ADDRESS(10,COLUMN(E$9)-1)&amp;":"&amp;ADDRESS(1000,COLUMN(E$9)-1)))))</f>
        <v>0</v>
      </c>
      <c r="F28" s="19">
        <f t="array" ref="F28">IF(ISBLANK(Tareas!$B24),"-",SUM(
SUMIF(INDIRECT(Equipo!$C$4&amp;"!B10:B1000"),$B28,INDIRECT(Equipo!$C$4&amp;"!"&amp;ADDRESS(10,COLUMN(F$9)-1)&amp;":"&amp;ADDRESS(1000,COLUMN(F$9)-1))),
SUMIF(INDIRECT(Equipo!$D$4&amp;"!B10:B1000"),$B28,INDIRECT(Equipo!$D$4&amp;"!"&amp;ADDRESS(10,COLUMN(F$9)-1)&amp;":"&amp;ADDRESS(1000,COLUMN(F$9)-1))),
SUMIF(INDIRECT(Equipo!$E$4&amp;"!B10:B1000"),$B28,INDIRECT(Equipo!$E$4&amp;"!"&amp;ADDRESS(10,COLUMN(F$9)-1)&amp;":"&amp;ADDRESS(1000,COLUMN(F$9)-1))),
SUMIF(INDIRECT(Equipo!$F$4&amp;"!B10:B1000"),$B28,INDIRECT(Equipo!$F$4&amp;"!"&amp;ADDRESS(10,COLUMN(F$9)-1)&amp;":"&amp;ADDRESS(1000,COLUMN(F$9)-1))),
SUMIF(INDIRECT(Equipo!$G$4&amp;"!B10:B1000"),$B28,INDIRECT(Equipo!$G$4&amp;"!"&amp;ADDRESS(10,COLUMN(F$9)-1)&amp;":"&amp;ADDRESS(1000,COLUMN(F$9)-1)))))</f>
        <v>0</v>
      </c>
      <c r="G28" s="19">
        <f t="array" ref="G28">IF(ISBLANK(Tareas!$B24),"-",SUM(
SUMIF(INDIRECT(Equipo!$C$4&amp;"!B10:B1000"),$B28,INDIRECT(Equipo!$C$4&amp;"!"&amp;ADDRESS(10,COLUMN(G$9)-1)&amp;":"&amp;ADDRESS(1000,COLUMN(G$9)-1))),
SUMIF(INDIRECT(Equipo!$D$4&amp;"!B10:B1000"),$B28,INDIRECT(Equipo!$D$4&amp;"!"&amp;ADDRESS(10,COLUMN(G$9)-1)&amp;":"&amp;ADDRESS(1000,COLUMN(G$9)-1))),
SUMIF(INDIRECT(Equipo!$E$4&amp;"!B10:B1000"),$B28,INDIRECT(Equipo!$E$4&amp;"!"&amp;ADDRESS(10,COLUMN(G$9)-1)&amp;":"&amp;ADDRESS(1000,COLUMN(G$9)-1))),
SUMIF(INDIRECT(Equipo!$F$4&amp;"!B10:B1000"),$B28,INDIRECT(Equipo!$F$4&amp;"!"&amp;ADDRESS(10,COLUMN(G$9)-1)&amp;":"&amp;ADDRESS(1000,COLUMN(G$9)-1))),
SUMIF(INDIRECT(Equipo!$G$4&amp;"!B10:B1000"),$B28,INDIRECT(Equipo!$G$4&amp;"!"&amp;ADDRESS(10,COLUMN(G$9)-1)&amp;":"&amp;ADDRESS(1000,COLUMN(G$9)-1)))))</f>
        <v>2.5</v>
      </c>
      <c r="H28" s="19">
        <f t="array" ref="H28">IF(ISBLANK(Tareas!$B24),"-",SUM(
SUMIF(INDIRECT(Equipo!$C$4&amp;"!B10:B1000"),$B28,INDIRECT(Equipo!$C$4&amp;"!"&amp;ADDRESS(10,COLUMN(H$9)-1)&amp;":"&amp;ADDRESS(1000,COLUMN(H$9)-1))),
SUMIF(INDIRECT(Equipo!$D$4&amp;"!B10:B1000"),$B28,INDIRECT(Equipo!$D$4&amp;"!"&amp;ADDRESS(10,COLUMN(H$9)-1)&amp;":"&amp;ADDRESS(1000,COLUMN(H$9)-1))),
SUMIF(INDIRECT(Equipo!$E$4&amp;"!B10:B1000"),$B28,INDIRECT(Equipo!$E$4&amp;"!"&amp;ADDRESS(10,COLUMN(H$9)-1)&amp;":"&amp;ADDRESS(1000,COLUMN(H$9)-1))),
SUMIF(INDIRECT(Equipo!$F$4&amp;"!B10:B1000"),$B28,INDIRECT(Equipo!$F$4&amp;"!"&amp;ADDRESS(10,COLUMN(H$9)-1)&amp;":"&amp;ADDRESS(1000,COLUMN(H$9)-1))),
SUMIF(INDIRECT(Equipo!$G$4&amp;"!B10:B1000"),$B28,INDIRECT(Equipo!$G$4&amp;"!"&amp;ADDRESS(10,COLUMN(H$9)-1)&amp;":"&amp;ADDRESS(1000,COLUMN(H$9)-1)))))</f>
        <v>0</v>
      </c>
      <c r="I28" s="19">
        <f t="array" ref="I28">IF(ISBLANK(Tareas!$B24),"-",SUM(
SUMIF(INDIRECT(Equipo!$C$4&amp;"!B10:B1000"),$B28,INDIRECT(Equipo!$C$4&amp;"!"&amp;ADDRESS(10,COLUMN(I$9)-1)&amp;":"&amp;ADDRESS(1000,COLUMN(I$9)-1))),
SUMIF(INDIRECT(Equipo!$D$4&amp;"!B10:B1000"),$B28,INDIRECT(Equipo!$D$4&amp;"!"&amp;ADDRESS(10,COLUMN(I$9)-1)&amp;":"&amp;ADDRESS(1000,COLUMN(I$9)-1))),
SUMIF(INDIRECT(Equipo!$E$4&amp;"!B10:B1000"),$B28,INDIRECT(Equipo!$E$4&amp;"!"&amp;ADDRESS(10,COLUMN(I$9)-1)&amp;":"&amp;ADDRESS(1000,COLUMN(I$9)-1))),
SUMIF(INDIRECT(Equipo!$F$4&amp;"!B10:B1000"),$B28,INDIRECT(Equipo!$F$4&amp;"!"&amp;ADDRESS(10,COLUMN(I$9)-1)&amp;":"&amp;ADDRESS(1000,COLUMN(I$9)-1))),
SUMIF(INDIRECT(Equipo!$G$4&amp;"!B10:B1000"),$B28,INDIRECT(Equipo!$G$4&amp;"!"&amp;ADDRESS(10,COLUMN(I$9)-1)&amp;":"&amp;ADDRESS(1000,COLUMN(I$9)-1)))))</f>
        <v>0</v>
      </c>
      <c r="J28" s="19">
        <f t="array" ref="J28">IF(ISBLANK(Tareas!$B24),"-",SUM(
SUMIF(INDIRECT(Equipo!$C$4&amp;"!B10:B1000"),$B28,INDIRECT(Equipo!$C$4&amp;"!"&amp;ADDRESS(10,COLUMN(J$9)-1)&amp;":"&amp;ADDRESS(1000,COLUMN(J$9)-1))),
SUMIF(INDIRECT(Equipo!$D$4&amp;"!B10:B1000"),$B28,INDIRECT(Equipo!$D$4&amp;"!"&amp;ADDRESS(10,COLUMN(J$9)-1)&amp;":"&amp;ADDRESS(1000,COLUMN(J$9)-1))),
SUMIF(INDIRECT(Equipo!$E$4&amp;"!B10:B1000"),$B28,INDIRECT(Equipo!$E$4&amp;"!"&amp;ADDRESS(10,COLUMN(J$9)-1)&amp;":"&amp;ADDRESS(1000,COLUMN(J$9)-1))),
SUMIF(INDIRECT(Equipo!$F$4&amp;"!B10:B1000"),$B28,INDIRECT(Equipo!$F$4&amp;"!"&amp;ADDRESS(10,COLUMN(J$9)-1)&amp;":"&amp;ADDRESS(1000,COLUMN(J$9)-1))),
SUMIF(INDIRECT(Equipo!$G$4&amp;"!B10:B1000"),$B28,INDIRECT(Equipo!$G$4&amp;"!"&amp;ADDRESS(10,COLUMN(J$9)-1)&amp;":"&amp;ADDRESS(1000,COLUMN(J$9)-1)))))</f>
        <v>0</v>
      </c>
      <c r="K28" s="19">
        <f t="array" ref="K28">IF(ISBLANK(Tareas!$B24),"-",SUM(
SUMIF(INDIRECT(Equipo!$C$4&amp;"!B10:B1000"),$B28,INDIRECT(Equipo!$C$4&amp;"!"&amp;ADDRESS(10,COLUMN(K$9)-1)&amp;":"&amp;ADDRESS(1000,COLUMN(K$9)-1))),
SUMIF(INDIRECT(Equipo!$D$4&amp;"!B10:B1000"),$B28,INDIRECT(Equipo!$D$4&amp;"!"&amp;ADDRESS(10,COLUMN(K$9)-1)&amp;":"&amp;ADDRESS(1000,COLUMN(K$9)-1))),
SUMIF(INDIRECT(Equipo!$E$4&amp;"!B10:B1000"),$B28,INDIRECT(Equipo!$E$4&amp;"!"&amp;ADDRESS(10,COLUMN(K$9)-1)&amp;":"&amp;ADDRESS(1000,COLUMN(K$9)-1))),
SUMIF(INDIRECT(Equipo!$F$4&amp;"!B10:B1000"),$B28,INDIRECT(Equipo!$F$4&amp;"!"&amp;ADDRESS(10,COLUMN(K$9)-1)&amp;":"&amp;ADDRESS(1000,COLUMN(K$9)-1))),
SUMIF(INDIRECT(Equipo!$G$4&amp;"!B10:B1000"),$B28,INDIRECT(Equipo!$G$4&amp;"!"&amp;ADDRESS(10,COLUMN(K$9)-1)&amp;":"&amp;ADDRESS(1000,COLUMN(K$9)-1)))))</f>
        <v>0</v>
      </c>
    </row>
    <row r="29" ht="15.75" customHeight="1">
      <c r="B29" s="1" t="str">
        <f>IF(ISBLANK(Tareas!B25)," - ",Tareas!B25)</f>
        <v>20. Definición del prototipo UI</v>
      </c>
      <c r="D29" s="19">
        <f t="array" ref="D29">IF(ISBLANK(Tareas!$B25),"-",SUM(
SUMIF(INDIRECT(Equipo!$C$4&amp;"!B10:B1000"),$B29,INDIRECT(Equipo!$C$4&amp;"!"&amp;ADDRESS(10,COLUMN(D$9)-1)&amp;":"&amp;ADDRESS(1000,COLUMN(D$9)-1))),
SUMIF(INDIRECT(Equipo!$D$4&amp;"!B10:B1000"),$B29,INDIRECT(Equipo!$D$4&amp;"!"&amp;ADDRESS(10,COLUMN(D$9)-1)&amp;":"&amp;ADDRESS(1000,COLUMN(D$9)-1))),
SUMIF(INDIRECT(Equipo!$E$4&amp;"!B10:B1000"),$B29,INDIRECT(Equipo!$E$4&amp;"!"&amp;ADDRESS(10,COLUMN(D$9)-1)&amp;":"&amp;ADDRESS(1000,COLUMN(D$9)-1))),
SUMIF(INDIRECT(Equipo!$F$4&amp;"!B10:B1000"),$B29,INDIRECT(Equipo!$F$4&amp;"!"&amp;ADDRESS(10,COLUMN(D$9)-1)&amp;":"&amp;ADDRESS(1000,COLUMN(D$9)-1))),
SUMIF(INDIRECT(Equipo!$G$4&amp;"!B10:B1000"),$B29,INDIRECT(Equipo!$G$4&amp;"!"&amp;ADDRESS(10,COLUMN(D$9)-1)&amp;":"&amp;ADDRESS(1000,COLUMN(D$9)-1)))))</f>
        <v>0</v>
      </c>
      <c r="E29" s="19">
        <f t="array" ref="E29">IF(ISBLANK(Tareas!$B25),"-",SUM(
SUMIF(INDIRECT(Equipo!$C$4&amp;"!B10:B1000"),$B29,INDIRECT(Equipo!$C$4&amp;"!"&amp;ADDRESS(10,COLUMN(E$9)-1)&amp;":"&amp;ADDRESS(1000,COLUMN(E$9)-1))),
SUMIF(INDIRECT(Equipo!$D$4&amp;"!B10:B1000"),$B29,INDIRECT(Equipo!$D$4&amp;"!"&amp;ADDRESS(10,COLUMN(E$9)-1)&amp;":"&amp;ADDRESS(1000,COLUMN(E$9)-1))),
SUMIF(INDIRECT(Equipo!$E$4&amp;"!B10:B1000"),$B29,INDIRECT(Equipo!$E$4&amp;"!"&amp;ADDRESS(10,COLUMN(E$9)-1)&amp;":"&amp;ADDRESS(1000,COLUMN(E$9)-1))),
SUMIF(INDIRECT(Equipo!$F$4&amp;"!B10:B1000"),$B29,INDIRECT(Equipo!$F$4&amp;"!"&amp;ADDRESS(10,COLUMN(E$9)-1)&amp;":"&amp;ADDRESS(1000,COLUMN(E$9)-1))),
SUMIF(INDIRECT(Equipo!$G$4&amp;"!B10:B1000"),$B29,INDIRECT(Equipo!$G$4&amp;"!"&amp;ADDRESS(10,COLUMN(E$9)-1)&amp;":"&amp;ADDRESS(1000,COLUMN(E$9)-1)))))</f>
        <v>0</v>
      </c>
      <c r="F29" s="19">
        <f t="array" ref="F29">IF(ISBLANK(Tareas!$B25),"-",SUM(
SUMIF(INDIRECT(Equipo!$C$4&amp;"!B10:B1000"),$B29,INDIRECT(Equipo!$C$4&amp;"!"&amp;ADDRESS(10,COLUMN(F$9)-1)&amp;":"&amp;ADDRESS(1000,COLUMN(F$9)-1))),
SUMIF(INDIRECT(Equipo!$D$4&amp;"!B10:B1000"),$B29,INDIRECT(Equipo!$D$4&amp;"!"&amp;ADDRESS(10,COLUMN(F$9)-1)&amp;":"&amp;ADDRESS(1000,COLUMN(F$9)-1))),
SUMIF(INDIRECT(Equipo!$E$4&amp;"!B10:B1000"),$B29,INDIRECT(Equipo!$E$4&amp;"!"&amp;ADDRESS(10,COLUMN(F$9)-1)&amp;":"&amp;ADDRESS(1000,COLUMN(F$9)-1))),
SUMIF(INDIRECT(Equipo!$F$4&amp;"!B10:B1000"),$B29,INDIRECT(Equipo!$F$4&amp;"!"&amp;ADDRESS(10,COLUMN(F$9)-1)&amp;":"&amp;ADDRESS(1000,COLUMN(F$9)-1))),
SUMIF(INDIRECT(Equipo!$G$4&amp;"!B10:B1000"),$B29,INDIRECT(Equipo!$G$4&amp;"!"&amp;ADDRESS(10,COLUMN(F$9)-1)&amp;":"&amp;ADDRESS(1000,COLUMN(F$9)-1)))))</f>
        <v>0</v>
      </c>
      <c r="G29" s="19">
        <f t="array" ref="G29">IF(ISBLANK(Tareas!$B25),"-",SUM(
SUMIF(INDIRECT(Equipo!$C$4&amp;"!B10:B1000"),$B29,INDIRECT(Equipo!$C$4&amp;"!"&amp;ADDRESS(10,COLUMN(G$9)-1)&amp;":"&amp;ADDRESS(1000,COLUMN(G$9)-1))),
SUMIF(INDIRECT(Equipo!$D$4&amp;"!B10:B1000"),$B29,INDIRECT(Equipo!$D$4&amp;"!"&amp;ADDRESS(10,COLUMN(G$9)-1)&amp;":"&amp;ADDRESS(1000,COLUMN(G$9)-1))),
SUMIF(INDIRECT(Equipo!$E$4&amp;"!B10:B1000"),$B29,INDIRECT(Equipo!$E$4&amp;"!"&amp;ADDRESS(10,COLUMN(G$9)-1)&amp;":"&amp;ADDRESS(1000,COLUMN(G$9)-1))),
SUMIF(INDIRECT(Equipo!$F$4&amp;"!B10:B1000"),$B29,INDIRECT(Equipo!$F$4&amp;"!"&amp;ADDRESS(10,COLUMN(G$9)-1)&amp;":"&amp;ADDRESS(1000,COLUMN(G$9)-1))),
SUMIF(INDIRECT(Equipo!$G$4&amp;"!B10:B1000"),$B29,INDIRECT(Equipo!$G$4&amp;"!"&amp;ADDRESS(10,COLUMN(G$9)-1)&amp;":"&amp;ADDRESS(1000,COLUMN(G$9)-1)))))</f>
        <v>1</v>
      </c>
      <c r="H29" s="19">
        <f t="array" ref="H29">IF(ISBLANK(Tareas!$B25),"-",SUM(
SUMIF(INDIRECT(Equipo!$C$4&amp;"!B10:B1000"),$B29,INDIRECT(Equipo!$C$4&amp;"!"&amp;ADDRESS(10,COLUMN(H$9)-1)&amp;":"&amp;ADDRESS(1000,COLUMN(H$9)-1))),
SUMIF(INDIRECT(Equipo!$D$4&amp;"!B10:B1000"),$B29,INDIRECT(Equipo!$D$4&amp;"!"&amp;ADDRESS(10,COLUMN(H$9)-1)&amp;":"&amp;ADDRESS(1000,COLUMN(H$9)-1))),
SUMIF(INDIRECT(Equipo!$E$4&amp;"!B10:B1000"),$B29,INDIRECT(Equipo!$E$4&amp;"!"&amp;ADDRESS(10,COLUMN(H$9)-1)&amp;":"&amp;ADDRESS(1000,COLUMN(H$9)-1))),
SUMIF(INDIRECT(Equipo!$F$4&amp;"!B10:B1000"),$B29,INDIRECT(Equipo!$F$4&amp;"!"&amp;ADDRESS(10,COLUMN(H$9)-1)&amp;":"&amp;ADDRESS(1000,COLUMN(H$9)-1))),
SUMIF(INDIRECT(Equipo!$G$4&amp;"!B10:B1000"),$B29,INDIRECT(Equipo!$G$4&amp;"!"&amp;ADDRESS(10,COLUMN(H$9)-1)&amp;":"&amp;ADDRESS(1000,COLUMN(H$9)-1)))))</f>
        <v>0.3</v>
      </c>
      <c r="I29" s="19">
        <f t="array" ref="I29">IF(ISBLANK(Tareas!$B25),"-",SUM(
SUMIF(INDIRECT(Equipo!$C$4&amp;"!B10:B1000"),$B29,INDIRECT(Equipo!$C$4&amp;"!"&amp;ADDRESS(10,COLUMN(I$9)-1)&amp;":"&amp;ADDRESS(1000,COLUMN(I$9)-1))),
SUMIF(INDIRECT(Equipo!$D$4&amp;"!B10:B1000"),$B29,INDIRECT(Equipo!$D$4&amp;"!"&amp;ADDRESS(10,COLUMN(I$9)-1)&amp;":"&amp;ADDRESS(1000,COLUMN(I$9)-1))),
SUMIF(INDIRECT(Equipo!$E$4&amp;"!B10:B1000"),$B29,INDIRECT(Equipo!$E$4&amp;"!"&amp;ADDRESS(10,COLUMN(I$9)-1)&amp;":"&amp;ADDRESS(1000,COLUMN(I$9)-1))),
SUMIF(INDIRECT(Equipo!$F$4&amp;"!B10:B1000"),$B29,INDIRECT(Equipo!$F$4&amp;"!"&amp;ADDRESS(10,COLUMN(I$9)-1)&amp;":"&amp;ADDRESS(1000,COLUMN(I$9)-1))),
SUMIF(INDIRECT(Equipo!$G$4&amp;"!B10:B1000"),$B29,INDIRECT(Equipo!$G$4&amp;"!"&amp;ADDRESS(10,COLUMN(I$9)-1)&amp;":"&amp;ADDRESS(1000,COLUMN(I$9)-1)))))</f>
        <v>0</v>
      </c>
      <c r="J29" s="19">
        <f t="array" ref="J29">IF(ISBLANK(Tareas!$B25),"-",SUM(
SUMIF(INDIRECT(Equipo!$C$4&amp;"!B10:B1000"),$B29,INDIRECT(Equipo!$C$4&amp;"!"&amp;ADDRESS(10,COLUMN(J$9)-1)&amp;":"&amp;ADDRESS(1000,COLUMN(J$9)-1))),
SUMIF(INDIRECT(Equipo!$D$4&amp;"!B10:B1000"),$B29,INDIRECT(Equipo!$D$4&amp;"!"&amp;ADDRESS(10,COLUMN(J$9)-1)&amp;":"&amp;ADDRESS(1000,COLUMN(J$9)-1))),
SUMIF(INDIRECT(Equipo!$E$4&amp;"!B10:B1000"),$B29,INDIRECT(Equipo!$E$4&amp;"!"&amp;ADDRESS(10,COLUMN(J$9)-1)&amp;":"&amp;ADDRESS(1000,COLUMN(J$9)-1))),
SUMIF(INDIRECT(Equipo!$F$4&amp;"!B10:B1000"),$B29,INDIRECT(Equipo!$F$4&amp;"!"&amp;ADDRESS(10,COLUMN(J$9)-1)&amp;":"&amp;ADDRESS(1000,COLUMN(J$9)-1))),
SUMIF(INDIRECT(Equipo!$G$4&amp;"!B10:B1000"),$B29,INDIRECT(Equipo!$G$4&amp;"!"&amp;ADDRESS(10,COLUMN(J$9)-1)&amp;":"&amp;ADDRESS(1000,COLUMN(J$9)-1)))))</f>
        <v>0</v>
      </c>
      <c r="K29" s="19">
        <f t="array" ref="K29">IF(ISBLANK(Tareas!$B25),"-",SUM(
SUMIF(INDIRECT(Equipo!$C$4&amp;"!B10:B1000"),$B29,INDIRECT(Equipo!$C$4&amp;"!"&amp;ADDRESS(10,COLUMN(K$9)-1)&amp;":"&amp;ADDRESS(1000,COLUMN(K$9)-1))),
SUMIF(INDIRECT(Equipo!$D$4&amp;"!B10:B1000"),$B29,INDIRECT(Equipo!$D$4&amp;"!"&amp;ADDRESS(10,COLUMN(K$9)-1)&amp;":"&amp;ADDRESS(1000,COLUMN(K$9)-1))),
SUMIF(INDIRECT(Equipo!$E$4&amp;"!B10:B1000"),$B29,INDIRECT(Equipo!$E$4&amp;"!"&amp;ADDRESS(10,COLUMN(K$9)-1)&amp;":"&amp;ADDRESS(1000,COLUMN(K$9)-1))),
SUMIF(INDIRECT(Equipo!$F$4&amp;"!B10:B1000"),$B29,INDIRECT(Equipo!$F$4&amp;"!"&amp;ADDRESS(10,COLUMN(K$9)-1)&amp;":"&amp;ADDRESS(1000,COLUMN(K$9)-1))),
SUMIF(INDIRECT(Equipo!$G$4&amp;"!B10:B1000"),$B29,INDIRECT(Equipo!$G$4&amp;"!"&amp;ADDRESS(10,COLUMN(K$9)-1)&amp;":"&amp;ADDRESS(1000,COLUMN(K$9)-1)))))</f>
        <v>0</v>
      </c>
    </row>
    <row r="30" ht="15.75" customHeight="1">
      <c r="B30" s="1" t="str">
        <f>IF(ISBLANK(Tareas!B26)," - ",Tareas!B26)</f>
        <v>21. Reunión 5</v>
      </c>
      <c r="D30" s="19">
        <f t="array" ref="D30">IF(ISBLANK(Tareas!$B26),"-",SUM(
SUMIF(INDIRECT(Equipo!$C$4&amp;"!B10:B1000"),$B30,INDIRECT(Equipo!$C$4&amp;"!"&amp;ADDRESS(10,COLUMN(D$9)-1)&amp;":"&amp;ADDRESS(1000,COLUMN(D$9)-1))),
SUMIF(INDIRECT(Equipo!$D$4&amp;"!B10:B1000"),$B30,INDIRECT(Equipo!$D$4&amp;"!"&amp;ADDRESS(10,COLUMN(D$9)-1)&amp;":"&amp;ADDRESS(1000,COLUMN(D$9)-1))),
SUMIF(INDIRECT(Equipo!$E$4&amp;"!B10:B1000"),$B30,INDIRECT(Equipo!$E$4&amp;"!"&amp;ADDRESS(10,COLUMN(D$9)-1)&amp;":"&amp;ADDRESS(1000,COLUMN(D$9)-1))),
SUMIF(INDIRECT(Equipo!$F$4&amp;"!B10:B1000"),$B30,INDIRECT(Equipo!$F$4&amp;"!"&amp;ADDRESS(10,COLUMN(D$9)-1)&amp;":"&amp;ADDRESS(1000,COLUMN(D$9)-1))),
SUMIF(INDIRECT(Equipo!$G$4&amp;"!B10:B1000"),$B30,INDIRECT(Equipo!$G$4&amp;"!"&amp;ADDRESS(10,COLUMN(D$9)-1)&amp;":"&amp;ADDRESS(1000,COLUMN(D$9)-1)))))</f>
        <v>0</v>
      </c>
      <c r="E30" s="19">
        <f t="array" ref="E30">IF(ISBLANK(Tareas!$B26),"-",SUM(
SUMIF(INDIRECT(Equipo!$C$4&amp;"!B10:B1000"),$B30,INDIRECT(Equipo!$C$4&amp;"!"&amp;ADDRESS(10,COLUMN(E$9)-1)&amp;":"&amp;ADDRESS(1000,COLUMN(E$9)-1))),
SUMIF(INDIRECT(Equipo!$D$4&amp;"!B10:B1000"),$B30,INDIRECT(Equipo!$D$4&amp;"!"&amp;ADDRESS(10,COLUMN(E$9)-1)&amp;":"&amp;ADDRESS(1000,COLUMN(E$9)-1))),
SUMIF(INDIRECT(Equipo!$E$4&amp;"!B10:B1000"),$B30,INDIRECT(Equipo!$E$4&amp;"!"&amp;ADDRESS(10,COLUMN(E$9)-1)&amp;":"&amp;ADDRESS(1000,COLUMN(E$9)-1))),
SUMIF(INDIRECT(Equipo!$F$4&amp;"!B10:B1000"),$B30,INDIRECT(Equipo!$F$4&amp;"!"&amp;ADDRESS(10,COLUMN(E$9)-1)&amp;":"&amp;ADDRESS(1000,COLUMN(E$9)-1))),
SUMIF(INDIRECT(Equipo!$G$4&amp;"!B10:B1000"),$B30,INDIRECT(Equipo!$G$4&amp;"!"&amp;ADDRESS(10,COLUMN(E$9)-1)&amp;":"&amp;ADDRESS(1000,COLUMN(E$9)-1)))))</f>
        <v>0</v>
      </c>
      <c r="F30" s="19">
        <f t="array" ref="F30">IF(ISBLANK(Tareas!$B26),"-",SUM(
SUMIF(INDIRECT(Equipo!$C$4&amp;"!B10:B1000"),$B30,INDIRECT(Equipo!$C$4&amp;"!"&amp;ADDRESS(10,COLUMN(F$9)-1)&amp;":"&amp;ADDRESS(1000,COLUMN(F$9)-1))),
SUMIF(INDIRECT(Equipo!$D$4&amp;"!B10:B1000"),$B30,INDIRECT(Equipo!$D$4&amp;"!"&amp;ADDRESS(10,COLUMN(F$9)-1)&amp;":"&amp;ADDRESS(1000,COLUMN(F$9)-1))),
SUMIF(INDIRECT(Equipo!$E$4&amp;"!B10:B1000"),$B30,INDIRECT(Equipo!$E$4&amp;"!"&amp;ADDRESS(10,COLUMN(F$9)-1)&amp;":"&amp;ADDRESS(1000,COLUMN(F$9)-1))),
SUMIF(INDIRECT(Equipo!$F$4&amp;"!B10:B1000"),$B30,INDIRECT(Equipo!$F$4&amp;"!"&amp;ADDRESS(10,COLUMN(F$9)-1)&amp;":"&amp;ADDRESS(1000,COLUMN(F$9)-1))),
SUMIF(INDIRECT(Equipo!$G$4&amp;"!B10:B1000"),$B30,INDIRECT(Equipo!$G$4&amp;"!"&amp;ADDRESS(10,COLUMN(F$9)-1)&amp;":"&amp;ADDRESS(1000,COLUMN(F$9)-1)))))</f>
        <v>0</v>
      </c>
      <c r="G30" s="19">
        <f t="array" ref="G30">IF(ISBLANK(Tareas!$B26),"-",SUM(
SUMIF(INDIRECT(Equipo!$C$4&amp;"!B10:B1000"),$B30,INDIRECT(Equipo!$C$4&amp;"!"&amp;ADDRESS(10,COLUMN(G$9)-1)&amp;":"&amp;ADDRESS(1000,COLUMN(G$9)-1))),
SUMIF(INDIRECT(Equipo!$D$4&amp;"!B10:B1000"),$B30,INDIRECT(Equipo!$D$4&amp;"!"&amp;ADDRESS(10,COLUMN(G$9)-1)&amp;":"&amp;ADDRESS(1000,COLUMN(G$9)-1))),
SUMIF(INDIRECT(Equipo!$E$4&amp;"!B10:B1000"),$B30,INDIRECT(Equipo!$E$4&amp;"!"&amp;ADDRESS(10,COLUMN(G$9)-1)&amp;":"&amp;ADDRESS(1000,COLUMN(G$9)-1))),
SUMIF(INDIRECT(Equipo!$F$4&amp;"!B10:B1000"),$B30,INDIRECT(Equipo!$F$4&amp;"!"&amp;ADDRESS(10,COLUMN(G$9)-1)&amp;":"&amp;ADDRESS(1000,COLUMN(G$9)-1))),
SUMIF(INDIRECT(Equipo!$G$4&amp;"!B10:B1000"),$B30,INDIRECT(Equipo!$G$4&amp;"!"&amp;ADDRESS(10,COLUMN(G$9)-1)&amp;":"&amp;ADDRESS(1000,COLUMN(G$9)-1)))))</f>
        <v>0</v>
      </c>
      <c r="H30" s="19">
        <f t="array" ref="H30">IF(ISBLANK(Tareas!$B26),"-",SUM(
SUMIF(INDIRECT(Equipo!$C$4&amp;"!B10:B1000"),$B30,INDIRECT(Equipo!$C$4&amp;"!"&amp;ADDRESS(10,COLUMN(H$9)-1)&amp;":"&amp;ADDRESS(1000,COLUMN(H$9)-1))),
SUMIF(INDIRECT(Equipo!$D$4&amp;"!B10:B1000"),$B30,INDIRECT(Equipo!$D$4&amp;"!"&amp;ADDRESS(10,COLUMN(H$9)-1)&amp;":"&amp;ADDRESS(1000,COLUMN(H$9)-1))),
SUMIF(INDIRECT(Equipo!$E$4&amp;"!B10:B1000"),$B30,INDIRECT(Equipo!$E$4&amp;"!"&amp;ADDRESS(10,COLUMN(H$9)-1)&amp;":"&amp;ADDRESS(1000,COLUMN(H$9)-1))),
SUMIF(INDIRECT(Equipo!$F$4&amp;"!B10:B1000"),$B30,INDIRECT(Equipo!$F$4&amp;"!"&amp;ADDRESS(10,COLUMN(H$9)-1)&amp;":"&amp;ADDRESS(1000,COLUMN(H$9)-1))),
SUMIF(INDIRECT(Equipo!$G$4&amp;"!B10:B1000"),$B30,INDIRECT(Equipo!$G$4&amp;"!"&amp;ADDRESS(10,COLUMN(H$9)-1)&amp;":"&amp;ADDRESS(1000,COLUMN(H$9)-1)))))</f>
        <v>3.5</v>
      </c>
      <c r="I30" s="19">
        <f t="array" ref="I30">IF(ISBLANK(Tareas!$B26),"-",SUM(
SUMIF(INDIRECT(Equipo!$C$4&amp;"!B10:B1000"),$B30,INDIRECT(Equipo!$C$4&amp;"!"&amp;ADDRESS(10,COLUMN(I$9)-1)&amp;":"&amp;ADDRESS(1000,COLUMN(I$9)-1))),
SUMIF(INDIRECT(Equipo!$D$4&amp;"!B10:B1000"),$B30,INDIRECT(Equipo!$D$4&amp;"!"&amp;ADDRESS(10,COLUMN(I$9)-1)&amp;":"&amp;ADDRESS(1000,COLUMN(I$9)-1))),
SUMIF(INDIRECT(Equipo!$E$4&amp;"!B10:B1000"),$B30,INDIRECT(Equipo!$E$4&amp;"!"&amp;ADDRESS(10,COLUMN(I$9)-1)&amp;":"&amp;ADDRESS(1000,COLUMN(I$9)-1))),
SUMIF(INDIRECT(Equipo!$F$4&amp;"!B10:B1000"),$B30,INDIRECT(Equipo!$F$4&amp;"!"&amp;ADDRESS(10,COLUMN(I$9)-1)&amp;":"&amp;ADDRESS(1000,COLUMN(I$9)-1))),
SUMIF(INDIRECT(Equipo!$G$4&amp;"!B10:B1000"),$B30,INDIRECT(Equipo!$G$4&amp;"!"&amp;ADDRESS(10,COLUMN(I$9)-1)&amp;":"&amp;ADDRESS(1000,COLUMN(I$9)-1)))))</f>
        <v>0</v>
      </c>
      <c r="J30" s="19">
        <f t="array" ref="J30">IF(ISBLANK(Tareas!$B26),"-",SUM(
SUMIF(INDIRECT(Equipo!$C$4&amp;"!B10:B1000"),$B30,INDIRECT(Equipo!$C$4&amp;"!"&amp;ADDRESS(10,COLUMN(J$9)-1)&amp;":"&amp;ADDRESS(1000,COLUMN(J$9)-1))),
SUMIF(INDIRECT(Equipo!$D$4&amp;"!B10:B1000"),$B30,INDIRECT(Equipo!$D$4&amp;"!"&amp;ADDRESS(10,COLUMN(J$9)-1)&amp;":"&amp;ADDRESS(1000,COLUMN(J$9)-1))),
SUMIF(INDIRECT(Equipo!$E$4&amp;"!B10:B1000"),$B30,INDIRECT(Equipo!$E$4&amp;"!"&amp;ADDRESS(10,COLUMN(J$9)-1)&amp;":"&amp;ADDRESS(1000,COLUMN(J$9)-1))),
SUMIF(INDIRECT(Equipo!$F$4&amp;"!B10:B1000"),$B30,INDIRECT(Equipo!$F$4&amp;"!"&amp;ADDRESS(10,COLUMN(J$9)-1)&amp;":"&amp;ADDRESS(1000,COLUMN(J$9)-1))),
SUMIF(INDIRECT(Equipo!$G$4&amp;"!B10:B1000"),$B30,INDIRECT(Equipo!$G$4&amp;"!"&amp;ADDRESS(10,COLUMN(J$9)-1)&amp;":"&amp;ADDRESS(1000,COLUMN(J$9)-1)))))</f>
        <v>0</v>
      </c>
      <c r="K30" s="19">
        <f t="array" ref="K30">IF(ISBLANK(Tareas!$B26),"-",SUM(
SUMIF(INDIRECT(Equipo!$C$4&amp;"!B10:B1000"),$B30,INDIRECT(Equipo!$C$4&amp;"!"&amp;ADDRESS(10,COLUMN(K$9)-1)&amp;":"&amp;ADDRESS(1000,COLUMN(K$9)-1))),
SUMIF(INDIRECT(Equipo!$D$4&amp;"!B10:B1000"),$B30,INDIRECT(Equipo!$D$4&amp;"!"&amp;ADDRESS(10,COLUMN(K$9)-1)&amp;":"&amp;ADDRESS(1000,COLUMN(K$9)-1))),
SUMIF(INDIRECT(Equipo!$E$4&amp;"!B10:B1000"),$B30,INDIRECT(Equipo!$E$4&amp;"!"&amp;ADDRESS(10,COLUMN(K$9)-1)&amp;":"&amp;ADDRESS(1000,COLUMN(K$9)-1))),
SUMIF(INDIRECT(Equipo!$F$4&amp;"!B10:B1000"),$B30,INDIRECT(Equipo!$F$4&amp;"!"&amp;ADDRESS(10,COLUMN(K$9)-1)&amp;":"&amp;ADDRESS(1000,COLUMN(K$9)-1))),
SUMIF(INDIRECT(Equipo!$G$4&amp;"!B10:B1000"),$B30,INDIRECT(Equipo!$G$4&amp;"!"&amp;ADDRESS(10,COLUMN(K$9)-1)&amp;":"&amp;ADDRESS(1000,COLUMN(K$9)-1)))))</f>
        <v>0</v>
      </c>
    </row>
    <row r="31" ht="15.75" customHeight="1">
      <c r="B31" s="1" t="str">
        <f>IF(ISBLANK(Tareas!B27)," - ",Tareas!B27)</f>
        <v>22. Actualización de EVM</v>
      </c>
      <c r="D31" s="19">
        <f t="array" ref="D31">IF(ISBLANK(Tareas!$B27),"-",SUM(
SUMIF(INDIRECT(Equipo!$C$4&amp;"!B10:B1000"),$B31,INDIRECT(Equipo!$C$4&amp;"!"&amp;ADDRESS(10,COLUMN(D$9)-1)&amp;":"&amp;ADDRESS(1000,COLUMN(D$9)-1))),
SUMIF(INDIRECT(Equipo!$D$4&amp;"!B10:B1000"),$B31,INDIRECT(Equipo!$D$4&amp;"!"&amp;ADDRESS(10,COLUMN(D$9)-1)&amp;":"&amp;ADDRESS(1000,COLUMN(D$9)-1))),
SUMIF(INDIRECT(Equipo!$E$4&amp;"!B10:B1000"),$B31,INDIRECT(Equipo!$E$4&amp;"!"&amp;ADDRESS(10,COLUMN(D$9)-1)&amp;":"&amp;ADDRESS(1000,COLUMN(D$9)-1))),
SUMIF(INDIRECT(Equipo!$F$4&amp;"!B10:B1000"),$B31,INDIRECT(Equipo!$F$4&amp;"!"&amp;ADDRESS(10,COLUMN(D$9)-1)&amp;":"&amp;ADDRESS(1000,COLUMN(D$9)-1))),
SUMIF(INDIRECT(Equipo!$G$4&amp;"!B10:B1000"),$B31,INDIRECT(Equipo!$G$4&amp;"!"&amp;ADDRESS(10,COLUMN(D$9)-1)&amp;":"&amp;ADDRESS(1000,COLUMN(D$9)-1)))))</f>
        <v>0</v>
      </c>
      <c r="E31" s="19">
        <f t="array" ref="E31">IF(ISBLANK(Tareas!$B27),"-",SUM(
SUMIF(INDIRECT(Equipo!$C$4&amp;"!B10:B1000"),$B31,INDIRECT(Equipo!$C$4&amp;"!"&amp;ADDRESS(10,COLUMN(E$9)-1)&amp;":"&amp;ADDRESS(1000,COLUMN(E$9)-1))),
SUMIF(INDIRECT(Equipo!$D$4&amp;"!B10:B1000"),$B31,INDIRECT(Equipo!$D$4&amp;"!"&amp;ADDRESS(10,COLUMN(E$9)-1)&amp;":"&amp;ADDRESS(1000,COLUMN(E$9)-1))),
SUMIF(INDIRECT(Equipo!$E$4&amp;"!B10:B1000"),$B31,INDIRECT(Equipo!$E$4&amp;"!"&amp;ADDRESS(10,COLUMN(E$9)-1)&amp;":"&amp;ADDRESS(1000,COLUMN(E$9)-1))),
SUMIF(INDIRECT(Equipo!$F$4&amp;"!B10:B1000"),$B31,INDIRECT(Equipo!$F$4&amp;"!"&amp;ADDRESS(10,COLUMN(E$9)-1)&amp;":"&amp;ADDRESS(1000,COLUMN(E$9)-1))),
SUMIF(INDIRECT(Equipo!$G$4&amp;"!B10:B1000"),$B31,INDIRECT(Equipo!$G$4&amp;"!"&amp;ADDRESS(10,COLUMN(E$9)-1)&amp;":"&amp;ADDRESS(1000,COLUMN(E$9)-1)))))</f>
        <v>0</v>
      </c>
      <c r="F31" s="19">
        <f t="array" ref="F31">IF(ISBLANK(Tareas!$B27),"-",SUM(
SUMIF(INDIRECT(Equipo!$C$4&amp;"!B10:B1000"),$B31,INDIRECT(Equipo!$C$4&amp;"!"&amp;ADDRESS(10,COLUMN(F$9)-1)&amp;":"&amp;ADDRESS(1000,COLUMN(F$9)-1))),
SUMIF(INDIRECT(Equipo!$D$4&amp;"!B10:B1000"),$B31,INDIRECT(Equipo!$D$4&amp;"!"&amp;ADDRESS(10,COLUMN(F$9)-1)&amp;":"&amp;ADDRESS(1000,COLUMN(F$9)-1))),
SUMIF(INDIRECT(Equipo!$E$4&amp;"!B10:B1000"),$B31,INDIRECT(Equipo!$E$4&amp;"!"&amp;ADDRESS(10,COLUMN(F$9)-1)&amp;":"&amp;ADDRESS(1000,COLUMN(F$9)-1))),
SUMIF(INDIRECT(Equipo!$F$4&amp;"!B10:B1000"),$B31,INDIRECT(Equipo!$F$4&amp;"!"&amp;ADDRESS(10,COLUMN(F$9)-1)&amp;":"&amp;ADDRESS(1000,COLUMN(F$9)-1))),
SUMIF(INDIRECT(Equipo!$G$4&amp;"!B10:B1000"),$B31,INDIRECT(Equipo!$G$4&amp;"!"&amp;ADDRESS(10,COLUMN(F$9)-1)&amp;":"&amp;ADDRESS(1000,COLUMN(F$9)-1)))))</f>
        <v>0</v>
      </c>
      <c r="G31" s="19">
        <f t="array" ref="G31">IF(ISBLANK(Tareas!$B27),"-",SUM(
SUMIF(INDIRECT(Equipo!$C$4&amp;"!B10:B1000"),$B31,INDIRECT(Equipo!$C$4&amp;"!"&amp;ADDRESS(10,COLUMN(G$9)-1)&amp;":"&amp;ADDRESS(1000,COLUMN(G$9)-1))),
SUMIF(INDIRECT(Equipo!$D$4&amp;"!B10:B1000"),$B31,INDIRECT(Equipo!$D$4&amp;"!"&amp;ADDRESS(10,COLUMN(G$9)-1)&amp;":"&amp;ADDRESS(1000,COLUMN(G$9)-1))),
SUMIF(INDIRECT(Equipo!$E$4&amp;"!B10:B1000"),$B31,INDIRECT(Equipo!$E$4&amp;"!"&amp;ADDRESS(10,COLUMN(G$9)-1)&amp;":"&amp;ADDRESS(1000,COLUMN(G$9)-1))),
SUMIF(INDIRECT(Equipo!$F$4&amp;"!B10:B1000"),$B31,INDIRECT(Equipo!$F$4&amp;"!"&amp;ADDRESS(10,COLUMN(G$9)-1)&amp;":"&amp;ADDRESS(1000,COLUMN(G$9)-1))),
SUMIF(INDIRECT(Equipo!$G$4&amp;"!B10:B1000"),$B31,INDIRECT(Equipo!$G$4&amp;"!"&amp;ADDRESS(10,COLUMN(G$9)-1)&amp;":"&amp;ADDRESS(1000,COLUMN(G$9)-1)))))</f>
        <v>0</v>
      </c>
      <c r="H31" s="19">
        <f t="array" ref="H31">IF(ISBLANK(Tareas!$B27),"-",SUM(
SUMIF(INDIRECT(Equipo!$C$4&amp;"!B10:B1000"),$B31,INDIRECT(Equipo!$C$4&amp;"!"&amp;ADDRESS(10,COLUMN(H$9)-1)&amp;":"&amp;ADDRESS(1000,COLUMN(H$9)-1))),
SUMIF(INDIRECT(Equipo!$D$4&amp;"!B10:B1000"),$B31,INDIRECT(Equipo!$D$4&amp;"!"&amp;ADDRESS(10,COLUMN(H$9)-1)&amp;":"&amp;ADDRESS(1000,COLUMN(H$9)-1))),
SUMIF(INDIRECT(Equipo!$E$4&amp;"!B10:B1000"),$B31,INDIRECT(Equipo!$E$4&amp;"!"&amp;ADDRESS(10,COLUMN(H$9)-1)&amp;":"&amp;ADDRESS(1000,COLUMN(H$9)-1))),
SUMIF(INDIRECT(Equipo!$F$4&amp;"!B10:B1000"),$B31,INDIRECT(Equipo!$F$4&amp;"!"&amp;ADDRESS(10,COLUMN(H$9)-1)&amp;":"&amp;ADDRESS(1000,COLUMN(H$9)-1))),
SUMIF(INDIRECT(Equipo!$G$4&amp;"!B10:B1000"),$B31,INDIRECT(Equipo!$G$4&amp;"!"&amp;ADDRESS(10,COLUMN(H$9)-1)&amp;":"&amp;ADDRESS(1000,COLUMN(H$9)-1)))))</f>
        <v>0.5</v>
      </c>
      <c r="I31" s="19">
        <f t="array" ref="I31">IF(ISBLANK(Tareas!$B27),"-",SUM(
SUMIF(INDIRECT(Equipo!$C$4&amp;"!B10:B1000"),$B31,INDIRECT(Equipo!$C$4&amp;"!"&amp;ADDRESS(10,COLUMN(I$9)-1)&amp;":"&amp;ADDRESS(1000,COLUMN(I$9)-1))),
SUMIF(INDIRECT(Equipo!$D$4&amp;"!B10:B1000"),$B31,INDIRECT(Equipo!$D$4&amp;"!"&amp;ADDRESS(10,COLUMN(I$9)-1)&amp;":"&amp;ADDRESS(1000,COLUMN(I$9)-1))),
SUMIF(INDIRECT(Equipo!$E$4&amp;"!B10:B1000"),$B31,INDIRECT(Equipo!$E$4&amp;"!"&amp;ADDRESS(10,COLUMN(I$9)-1)&amp;":"&amp;ADDRESS(1000,COLUMN(I$9)-1))),
SUMIF(INDIRECT(Equipo!$F$4&amp;"!B10:B1000"),$B31,INDIRECT(Equipo!$F$4&amp;"!"&amp;ADDRESS(10,COLUMN(I$9)-1)&amp;":"&amp;ADDRESS(1000,COLUMN(I$9)-1))),
SUMIF(INDIRECT(Equipo!$G$4&amp;"!B10:B1000"),$B31,INDIRECT(Equipo!$G$4&amp;"!"&amp;ADDRESS(10,COLUMN(I$9)-1)&amp;":"&amp;ADDRESS(1000,COLUMN(I$9)-1)))))</f>
        <v>0</v>
      </c>
      <c r="J31" s="19">
        <f t="array" ref="J31">IF(ISBLANK(Tareas!$B27),"-",SUM(
SUMIF(INDIRECT(Equipo!$C$4&amp;"!B10:B1000"),$B31,INDIRECT(Equipo!$C$4&amp;"!"&amp;ADDRESS(10,COLUMN(J$9)-1)&amp;":"&amp;ADDRESS(1000,COLUMN(J$9)-1))),
SUMIF(INDIRECT(Equipo!$D$4&amp;"!B10:B1000"),$B31,INDIRECT(Equipo!$D$4&amp;"!"&amp;ADDRESS(10,COLUMN(J$9)-1)&amp;":"&amp;ADDRESS(1000,COLUMN(J$9)-1))),
SUMIF(INDIRECT(Equipo!$E$4&amp;"!B10:B1000"),$B31,INDIRECT(Equipo!$E$4&amp;"!"&amp;ADDRESS(10,COLUMN(J$9)-1)&amp;":"&amp;ADDRESS(1000,COLUMN(J$9)-1))),
SUMIF(INDIRECT(Equipo!$F$4&amp;"!B10:B1000"),$B31,INDIRECT(Equipo!$F$4&amp;"!"&amp;ADDRESS(10,COLUMN(J$9)-1)&amp;":"&amp;ADDRESS(1000,COLUMN(J$9)-1))),
SUMIF(INDIRECT(Equipo!$G$4&amp;"!B10:B1000"),$B31,INDIRECT(Equipo!$G$4&amp;"!"&amp;ADDRESS(10,COLUMN(J$9)-1)&amp;":"&amp;ADDRESS(1000,COLUMN(J$9)-1)))))</f>
        <v>0</v>
      </c>
      <c r="K31" s="19">
        <f t="array" ref="K31">IF(ISBLANK(Tareas!$B27),"-",SUM(
SUMIF(INDIRECT(Equipo!$C$4&amp;"!B10:B1000"),$B31,INDIRECT(Equipo!$C$4&amp;"!"&amp;ADDRESS(10,COLUMN(K$9)-1)&amp;":"&amp;ADDRESS(1000,COLUMN(K$9)-1))),
SUMIF(INDIRECT(Equipo!$D$4&amp;"!B10:B1000"),$B31,INDIRECT(Equipo!$D$4&amp;"!"&amp;ADDRESS(10,COLUMN(K$9)-1)&amp;":"&amp;ADDRESS(1000,COLUMN(K$9)-1))),
SUMIF(INDIRECT(Equipo!$E$4&amp;"!B10:B1000"),$B31,INDIRECT(Equipo!$E$4&amp;"!"&amp;ADDRESS(10,COLUMN(K$9)-1)&amp;":"&amp;ADDRESS(1000,COLUMN(K$9)-1))),
SUMIF(INDIRECT(Equipo!$F$4&amp;"!B10:B1000"),$B31,INDIRECT(Equipo!$F$4&amp;"!"&amp;ADDRESS(10,COLUMN(K$9)-1)&amp;":"&amp;ADDRESS(1000,COLUMN(K$9)-1))),
SUMIF(INDIRECT(Equipo!$G$4&amp;"!B10:B1000"),$B31,INDIRECT(Equipo!$G$4&amp;"!"&amp;ADDRESS(10,COLUMN(K$9)-1)&amp;":"&amp;ADDRESS(1000,COLUMN(K$9)-1)))))</f>
        <v>0</v>
      </c>
    </row>
    <row r="32" ht="15.75" customHeight="1">
      <c r="B32" s="1" t="str">
        <f>IF(ISBLANK(Tareas!B28)," - ",Tareas!B28)</f>
        <v>23. Revisión intermedia del diseño</v>
      </c>
      <c r="D32" s="19">
        <f t="array" ref="D32">IF(ISBLANK(Tareas!$B28),"-",SUM(
SUMIF(INDIRECT(Equipo!$C$4&amp;"!B10:B1000"),$B32,INDIRECT(Equipo!$C$4&amp;"!"&amp;ADDRESS(10,COLUMN(D$9)-1)&amp;":"&amp;ADDRESS(1000,COLUMN(D$9)-1))),
SUMIF(INDIRECT(Equipo!$D$4&amp;"!B10:B1000"),$B32,INDIRECT(Equipo!$D$4&amp;"!"&amp;ADDRESS(10,COLUMN(D$9)-1)&amp;":"&amp;ADDRESS(1000,COLUMN(D$9)-1))),
SUMIF(INDIRECT(Equipo!$E$4&amp;"!B10:B1000"),$B32,INDIRECT(Equipo!$E$4&amp;"!"&amp;ADDRESS(10,COLUMN(D$9)-1)&amp;":"&amp;ADDRESS(1000,COLUMN(D$9)-1))),
SUMIF(INDIRECT(Equipo!$F$4&amp;"!B10:B1000"),$B32,INDIRECT(Equipo!$F$4&amp;"!"&amp;ADDRESS(10,COLUMN(D$9)-1)&amp;":"&amp;ADDRESS(1000,COLUMN(D$9)-1))),
SUMIF(INDIRECT(Equipo!$G$4&amp;"!B10:B1000"),$B32,INDIRECT(Equipo!$G$4&amp;"!"&amp;ADDRESS(10,COLUMN(D$9)-1)&amp;":"&amp;ADDRESS(1000,COLUMN(D$9)-1)))))</f>
        <v>0</v>
      </c>
      <c r="E32" s="19">
        <f t="array" ref="E32">IF(ISBLANK(Tareas!$B28),"-",SUM(
SUMIF(INDIRECT(Equipo!$C$4&amp;"!B10:B1000"),$B32,INDIRECT(Equipo!$C$4&amp;"!"&amp;ADDRESS(10,COLUMN(E$9)-1)&amp;":"&amp;ADDRESS(1000,COLUMN(E$9)-1))),
SUMIF(INDIRECT(Equipo!$D$4&amp;"!B10:B1000"),$B32,INDIRECT(Equipo!$D$4&amp;"!"&amp;ADDRESS(10,COLUMN(E$9)-1)&amp;":"&amp;ADDRESS(1000,COLUMN(E$9)-1))),
SUMIF(INDIRECT(Equipo!$E$4&amp;"!B10:B1000"),$B32,INDIRECT(Equipo!$E$4&amp;"!"&amp;ADDRESS(10,COLUMN(E$9)-1)&amp;":"&amp;ADDRESS(1000,COLUMN(E$9)-1))),
SUMIF(INDIRECT(Equipo!$F$4&amp;"!B10:B1000"),$B32,INDIRECT(Equipo!$F$4&amp;"!"&amp;ADDRESS(10,COLUMN(E$9)-1)&amp;":"&amp;ADDRESS(1000,COLUMN(E$9)-1))),
SUMIF(INDIRECT(Equipo!$G$4&amp;"!B10:B1000"),$B32,INDIRECT(Equipo!$G$4&amp;"!"&amp;ADDRESS(10,COLUMN(E$9)-1)&amp;":"&amp;ADDRESS(1000,COLUMN(E$9)-1)))))</f>
        <v>0</v>
      </c>
      <c r="F32" s="19">
        <f t="array" ref="F32">IF(ISBLANK(Tareas!$B28),"-",SUM(
SUMIF(INDIRECT(Equipo!$C$4&amp;"!B10:B1000"),$B32,INDIRECT(Equipo!$C$4&amp;"!"&amp;ADDRESS(10,COLUMN(F$9)-1)&amp;":"&amp;ADDRESS(1000,COLUMN(F$9)-1))),
SUMIF(INDIRECT(Equipo!$D$4&amp;"!B10:B1000"),$B32,INDIRECT(Equipo!$D$4&amp;"!"&amp;ADDRESS(10,COLUMN(F$9)-1)&amp;":"&amp;ADDRESS(1000,COLUMN(F$9)-1))),
SUMIF(INDIRECT(Equipo!$E$4&amp;"!B10:B1000"),$B32,INDIRECT(Equipo!$E$4&amp;"!"&amp;ADDRESS(10,COLUMN(F$9)-1)&amp;":"&amp;ADDRESS(1000,COLUMN(F$9)-1))),
SUMIF(INDIRECT(Equipo!$F$4&amp;"!B10:B1000"),$B32,INDIRECT(Equipo!$F$4&amp;"!"&amp;ADDRESS(10,COLUMN(F$9)-1)&amp;":"&amp;ADDRESS(1000,COLUMN(F$9)-1))),
SUMIF(INDIRECT(Equipo!$G$4&amp;"!B10:B1000"),$B32,INDIRECT(Equipo!$G$4&amp;"!"&amp;ADDRESS(10,COLUMN(F$9)-1)&amp;":"&amp;ADDRESS(1000,COLUMN(F$9)-1)))))</f>
        <v>0</v>
      </c>
      <c r="G32" s="19">
        <f t="array" ref="G32">IF(ISBLANK(Tareas!$B28),"-",SUM(
SUMIF(INDIRECT(Equipo!$C$4&amp;"!B10:B1000"),$B32,INDIRECT(Equipo!$C$4&amp;"!"&amp;ADDRESS(10,COLUMN(G$9)-1)&amp;":"&amp;ADDRESS(1000,COLUMN(G$9)-1))),
SUMIF(INDIRECT(Equipo!$D$4&amp;"!B10:B1000"),$B32,INDIRECT(Equipo!$D$4&amp;"!"&amp;ADDRESS(10,COLUMN(G$9)-1)&amp;":"&amp;ADDRESS(1000,COLUMN(G$9)-1))),
SUMIF(INDIRECT(Equipo!$E$4&amp;"!B10:B1000"),$B32,INDIRECT(Equipo!$E$4&amp;"!"&amp;ADDRESS(10,COLUMN(G$9)-1)&amp;":"&amp;ADDRESS(1000,COLUMN(G$9)-1))),
SUMIF(INDIRECT(Equipo!$F$4&amp;"!B10:B1000"),$B32,INDIRECT(Equipo!$F$4&amp;"!"&amp;ADDRESS(10,COLUMN(G$9)-1)&amp;":"&amp;ADDRESS(1000,COLUMN(G$9)-1))),
SUMIF(INDIRECT(Equipo!$G$4&amp;"!B10:B1000"),$B32,INDIRECT(Equipo!$G$4&amp;"!"&amp;ADDRESS(10,COLUMN(G$9)-1)&amp;":"&amp;ADDRESS(1000,COLUMN(G$9)-1)))))</f>
        <v>0</v>
      </c>
      <c r="H32" s="19">
        <f t="array" ref="H32">IF(ISBLANK(Tareas!$B28),"-",SUM(
SUMIF(INDIRECT(Equipo!$C$4&amp;"!B10:B1000"),$B32,INDIRECT(Equipo!$C$4&amp;"!"&amp;ADDRESS(10,COLUMN(H$9)-1)&amp;":"&amp;ADDRESS(1000,COLUMN(H$9)-1))),
SUMIF(INDIRECT(Equipo!$D$4&amp;"!B10:B1000"),$B32,INDIRECT(Equipo!$D$4&amp;"!"&amp;ADDRESS(10,COLUMN(H$9)-1)&amp;":"&amp;ADDRESS(1000,COLUMN(H$9)-1))),
SUMIF(INDIRECT(Equipo!$E$4&amp;"!B10:B1000"),$B32,INDIRECT(Equipo!$E$4&amp;"!"&amp;ADDRESS(10,COLUMN(H$9)-1)&amp;":"&amp;ADDRESS(1000,COLUMN(H$9)-1))),
SUMIF(INDIRECT(Equipo!$F$4&amp;"!B10:B1000"),$B32,INDIRECT(Equipo!$F$4&amp;"!"&amp;ADDRESS(10,COLUMN(H$9)-1)&amp;":"&amp;ADDRESS(1000,COLUMN(H$9)-1))),
SUMIF(INDIRECT(Equipo!$G$4&amp;"!B10:B1000"),$B32,INDIRECT(Equipo!$G$4&amp;"!"&amp;ADDRESS(10,COLUMN(H$9)-1)&amp;":"&amp;ADDRESS(1000,COLUMN(H$9)-1)))))</f>
        <v>0.5</v>
      </c>
      <c r="I32" s="19">
        <f t="array" ref="I32">IF(ISBLANK(Tareas!$B28),"-",SUM(
SUMIF(INDIRECT(Equipo!$C$4&amp;"!B10:B1000"),$B32,INDIRECT(Equipo!$C$4&amp;"!"&amp;ADDRESS(10,COLUMN(I$9)-1)&amp;":"&amp;ADDRESS(1000,COLUMN(I$9)-1))),
SUMIF(INDIRECT(Equipo!$D$4&amp;"!B10:B1000"),$B32,INDIRECT(Equipo!$D$4&amp;"!"&amp;ADDRESS(10,COLUMN(I$9)-1)&amp;":"&amp;ADDRESS(1000,COLUMN(I$9)-1))),
SUMIF(INDIRECT(Equipo!$E$4&amp;"!B10:B1000"),$B32,INDIRECT(Equipo!$E$4&amp;"!"&amp;ADDRESS(10,COLUMN(I$9)-1)&amp;":"&amp;ADDRESS(1000,COLUMN(I$9)-1))),
SUMIF(INDIRECT(Equipo!$F$4&amp;"!B10:B1000"),$B32,INDIRECT(Equipo!$F$4&amp;"!"&amp;ADDRESS(10,COLUMN(I$9)-1)&amp;":"&amp;ADDRESS(1000,COLUMN(I$9)-1))),
SUMIF(INDIRECT(Equipo!$G$4&amp;"!B10:B1000"),$B32,INDIRECT(Equipo!$G$4&amp;"!"&amp;ADDRESS(10,COLUMN(I$9)-1)&amp;":"&amp;ADDRESS(1000,COLUMN(I$9)-1)))))</f>
        <v>0</v>
      </c>
      <c r="J32" s="19">
        <f t="array" ref="J32">IF(ISBLANK(Tareas!$B28),"-",SUM(
SUMIF(INDIRECT(Equipo!$C$4&amp;"!B10:B1000"),$B32,INDIRECT(Equipo!$C$4&amp;"!"&amp;ADDRESS(10,COLUMN(J$9)-1)&amp;":"&amp;ADDRESS(1000,COLUMN(J$9)-1))),
SUMIF(INDIRECT(Equipo!$D$4&amp;"!B10:B1000"),$B32,INDIRECT(Equipo!$D$4&amp;"!"&amp;ADDRESS(10,COLUMN(J$9)-1)&amp;":"&amp;ADDRESS(1000,COLUMN(J$9)-1))),
SUMIF(INDIRECT(Equipo!$E$4&amp;"!B10:B1000"),$B32,INDIRECT(Equipo!$E$4&amp;"!"&amp;ADDRESS(10,COLUMN(J$9)-1)&amp;":"&amp;ADDRESS(1000,COLUMN(J$9)-1))),
SUMIF(INDIRECT(Equipo!$F$4&amp;"!B10:B1000"),$B32,INDIRECT(Equipo!$F$4&amp;"!"&amp;ADDRESS(10,COLUMN(J$9)-1)&amp;":"&amp;ADDRESS(1000,COLUMN(J$9)-1))),
SUMIF(INDIRECT(Equipo!$G$4&amp;"!B10:B1000"),$B32,INDIRECT(Equipo!$G$4&amp;"!"&amp;ADDRESS(10,COLUMN(J$9)-1)&amp;":"&amp;ADDRESS(1000,COLUMN(J$9)-1)))))</f>
        <v>0</v>
      </c>
      <c r="K32" s="19">
        <f t="array" ref="K32">IF(ISBLANK(Tareas!$B28),"-",SUM(
SUMIF(INDIRECT(Equipo!$C$4&amp;"!B10:B1000"),$B32,INDIRECT(Equipo!$C$4&amp;"!"&amp;ADDRESS(10,COLUMN(K$9)-1)&amp;":"&amp;ADDRESS(1000,COLUMN(K$9)-1))),
SUMIF(INDIRECT(Equipo!$D$4&amp;"!B10:B1000"),$B32,INDIRECT(Equipo!$D$4&amp;"!"&amp;ADDRESS(10,COLUMN(K$9)-1)&amp;":"&amp;ADDRESS(1000,COLUMN(K$9)-1))),
SUMIF(INDIRECT(Equipo!$E$4&amp;"!B10:B1000"),$B32,INDIRECT(Equipo!$E$4&amp;"!"&amp;ADDRESS(10,COLUMN(K$9)-1)&amp;":"&amp;ADDRESS(1000,COLUMN(K$9)-1))),
SUMIF(INDIRECT(Equipo!$F$4&amp;"!B10:B1000"),$B32,INDIRECT(Equipo!$F$4&amp;"!"&amp;ADDRESS(10,COLUMN(K$9)-1)&amp;":"&amp;ADDRESS(1000,COLUMN(K$9)-1))),
SUMIF(INDIRECT(Equipo!$G$4&amp;"!B10:B1000"),$B32,INDIRECT(Equipo!$G$4&amp;"!"&amp;ADDRESS(10,COLUMN(K$9)-1)&amp;":"&amp;ADDRESS(1000,COLUMN(K$9)-1)))))</f>
        <v>0</v>
      </c>
    </row>
    <row r="33" ht="15.75" customHeight="1">
      <c r="B33" s="1" t="str">
        <f>IF(ISBLANK(Tareas!B29)," - ",Tareas!B29)</f>
        <v>24. Implementación de la persistencia y estructura de datos</v>
      </c>
      <c r="D33" s="19">
        <f t="array" ref="D33">IF(ISBLANK(Tareas!$B29),"-",SUM(
SUMIF(INDIRECT(Equipo!$C$4&amp;"!B10:B1000"),$B33,INDIRECT(Equipo!$C$4&amp;"!"&amp;ADDRESS(10,COLUMN(D$9)-1)&amp;":"&amp;ADDRESS(1000,COLUMN(D$9)-1))),
SUMIF(INDIRECT(Equipo!$D$4&amp;"!B10:B1000"),$B33,INDIRECT(Equipo!$D$4&amp;"!"&amp;ADDRESS(10,COLUMN(D$9)-1)&amp;":"&amp;ADDRESS(1000,COLUMN(D$9)-1))),
SUMIF(INDIRECT(Equipo!$E$4&amp;"!B10:B1000"),$B33,INDIRECT(Equipo!$E$4&amp;"!"&amp;ADDRESS(10,COLUMN(D$9)-1)&amp;":"&amp;ADDRESS(1000,COLUMN(D$9)-1))),
SUMIF(INDIRECT(Equipo!$F$4&amp;"!B10:B1000"),$B33,INDIRECT(Equipo!$F$4&amp;"!"&amp;ADDRESS(10,COLUMN(D$9)-1)&amp;":"&amp;ADDRESS(1000,COLUMN(D$9)-1))),
SUMIF(INDIRECT(Equipo!$G$4&amp;"!B10:B1000"),$B33,INDIRECT(Equipo!$G$4&amp;"!"&amp;ADDRESS(10,COLUMN(D$9)-1)&amp;":"&amp;ADDRESS(1000,COLUMN(D$9)-1)))))</f>
        <v>0</v>
      </c>
      <c r="E33" s="19">
        <f t="array" ref="E33">IF(ISBLANK(Tareas!$B29),"-",SUM(
SUMIF(INDIRECT(Equipo!$C$4&amp;"!B10:B1000"),$B33,INDIRECT(Equipo!$C$4&amp;"!"&amp;ADDRESS(10,COLUMN(E$9)-1)&amp;":"&amp;ADDRESS(1000,COLUMN(E$9)-1))),
SUMIF(INDIRECT(Equipo!$D$4&amp;"!B10:B1000"),$B33,INDIRECT(Equipo!$D$4&amp;"!"&amp;ADDRESS(10,COLUMN(E$9)-1)&amp;":"&amp;ADDRESS(1000,COLUMN(E$9)-1))),
SUMIF(INDIRECT(Equipo!$E$4&amp;"!B10:B1000"),$B33,INDIRECT(Equipo!$E$4&amp;"!"&amp;ADDRESS(10,COLUMN(E$9)-1)&amp;":"&amp;ADDRESS(1000,COLUMN(E$9)-1))),
SUMIF(INDIRECT(Equipo!$F$4&amp;"!B10:B1000"),$B33,INDIRECT(Equipo!$F$4&amp;"!"&amp;ADDRESS(10,COLUMN(E$9)-1)&amp;":"&amp;ADDRESS(1000,COLUMN(E$9)-1))),
SUMIF(INDIRECT(Equipo!$G$4&amp;"!B10:B1000"),$B33,INDIRECT(Equipo!$G$4&amp;"!"&amp;ADDRESS(10,COLUMN(E$9)-1)&amp;":"&amp;ADDRESS(1000,COLUMN(E$9)-1)))))</f>
        <v>0</v>
      </c>
      <c r="F33" s="19">
        <f t="array" ref="F33">IF(ISBLANK(Tareas!$B29),"-",SUM(
SUMIF(INDIRECT(Equipo!$C$4&amp;"!B10:B1000"),$B33,INDIRECT(Equipo!$C$4&amp;"!"&amp;ADDRESS(10,COLUMN(F$9)-1)&amp;":"&amp;ADDRESS(1000,COLUMN(F$9)-1))),
SUMIF(INDIRECT(Equipo!$D$4&amp;"!B10:B1000"),$B33,INDIRECT(Equipo!$D$4&amp;"!"&amp;ADDRESS(10,COLUMN(F$9)-1)&amp;":"&amp;ADDRESS(1000,COLUMN(F$9)-1))),
SUMIF(INDIRECT(Equipo!$E$4&amp;"!B10:B1000"),$B33,INDIRECT(Equipo!$E$4&amp;"!"&amp;ADDRESS(10,COLUMN(F$9)-1)&amp;":"&amp;ADDRESS(1000,COLUMN(F$9)-1))),
SUMIF(INDIRECT(Equipo!$F$4&amp;"!B10:B1000"),$B33,INDIRECT(Equipo!$F$4&amp;"!"&amp;ADDRESS(10,COLUMN(F$9)-1)&amp;":"&amp;ADDRESS(1000,COLUMN(F$9)-1))),
SUMIF(INDIRECT(Equipo!$G$4&amp;"!B10:B1000"),$B33,INDIRECT(Equipo!$G$4&amp;"!"&amp;ADDRESS(10,COLUMN(F$9)-1)&amp;":"&amp;ADDRESS(1000,COLUMN(F$9)-1)))))</f>
        <v>0</v>
      </c>
      <c r="G33" s="19">
        <f t="array" ref="G33">IF(ISBLANK(Tareas!$B29),"-",SUM(
SUMIF(INDIRECT(Equipo!$C$4&amp;"!B10:B1000"),$B33,INDIRECT(Equipo!$C$4&amp;"!"&amp;ADDRESS(10,COLUMN(G$9)-1)&amp;":"&amp;ADDRESS(1000,COLUMN(G$9)-1))),
SUMIF(INDIRECT(Equipo!$D$4&amp;"!B10:B1000"),$B33,INDIRECT(Equipo!$D$4&amp;"!"&amp;ADDRESS(10,COLUMN(G$9)-1)&amp;":"&amp;ADDRESS(1000,COLUMN(G$9)-1))),
SUMIF(INDIRECT(Equipo!$E$4&amp;"!B10:B1000"),$B33,INDIRECT(Equipo!$E$4&amp;"!"&amp;ADDRESS(10,COLUMN(G$9)-1)&amp;":"&amp;ADDRESS(1000,COLUMN(G$9)-1))),
SUMIF(INDIRECT(Equipo!$F$4&amp;"!B10:B1000"),$B33,INDIRECT(Equipo!$F$4&amp;"!"&amp;ADDRESS(10,COLUMN(G$9)-1)&amp;":"&amp;ADDRESS(1000,COLUMN(G$9)-1))),
SUMIF(INDIRECT(Equipo!$G$4&amp;"!B10:B1000"),$B33,INDIRECT(Equipo!$G$4&amp;"!"&amp;ADDRESS(10,COLUMN(G$9)-1)&amp;":"&amp;ADDRESS(1000,COLUMN(G$9)-1)))))</f>
        <v>0</v>
      </c>
      <c r="H33" s="19">
        <f t="array" ref="H33">IF(ISBLANK(Tareas!$B29),"-",SUM(
SUMIF(INDIRECT(Equipo!$C$4&amp;"!B10:B1000"),$B33,INDIRECT(Equipo!$C$4&amp;"!"&amp;ADDRESS(10,COLUMN(H$9)-1)&amp;":"&amp;ADDRESS(1000,COLUMN(H$9)-1))),
SUMIF(INDIRECT(Equipo!$D$4&amp;"!B10:B1000"),$B33,INDIRECT(Equipo!$D$4&amp;"!"&amp;ADDRESS(10,COLUMN(H$9)-1)&amp;":"&amp;ADDRESS(1000,COLUMN(H$9)-1))),
SUMIF(INDIRECT(Equipo!$E$4&amp;"!B10:B1000"),$B33,INDIRECT(Equipo!$E$4&amp;"!"&amp;ADDRESS(10,COLUMN(H$9)-1)&amp;":"&amp;ADDRESS(1000,COLUMN(H$9)-1))),
SUMIF(INDIRECT(Equipo!$F$4&amp;"!B10:B1000"),$B33,INDIRECT(Equipo!$F$4&amp;"!"&amp;ADDRESS(10,COLUMN(H$9)-1)&amp;":"&amp;ADDRESS(1000,COLUMN(H$9)-1))),
SUMIF(INDIRECT(Equipo!$G$4&amp;"!B10:B1000"),$B33,INDIRECT(Equipo!$G$4&amp;"!"&amp;ADDRESS(10,COLUMN(H$9)-1)&amp;":"&amp;ADDRESS(1000,COLUMN(H$9)-1)))))</f>
        <v>1</v>
      </c>
      <c r="I33" s="19">
        <f t="array" ref="I33">IF(ISBLANK(Tareas!$B29),"-",SUM(
SUMIF(INDIRECT(Equipo!$C$4&amp;"!B10:B1000"),$B33,INDIRECT(Equipo!$C$4&amp;"!"&amp;ADDRESS(10,COLUMN(I$9)-1)&amp;":"&amp;ADDRESS(1000,COLUMN(I$9)-1))),
SUMIF(INDIRECT(Equipo!$D$4&amp;"!B10:B1000"),$B33,INDIRECT(Equipo!$D$4&amp;"!"&amp;ADDRESS(10,COLUMN(I$9)-1)&amp;":"&amp;ADDRESS(1000,COLUMN(I$9)-1))),
SUMIF(INDIRECT(Equipo!$E$4&amp;"!B10:B1000"),$B33,INDIRECT(Equipo!$E$4&amp;"!"&amp;ADDRESS(10,COLUMN(I$9)-1)&amp;":"&amp;ADDRESS(1000,COLUMN(I$9)-1))),
SUMIF(INDIRECT(Equipo!$F$4&amp;"!B10:B1000"),$B33,INDIRECT(Equipo!$F$4&amp;"!"&amp;ADDRESS(10,COLUMN(I$9)-1)&amp;":"&amp;ADDRESS(1000,COLUMN(I$9)-1))),
SUMIF(INDIRECT(Equipo!$G$4&amp;"!B10:B1000"),$B33,INDIRECT(Equipo!$G$4&amp;"!"&amp;ADDRESS(10,COLUMN(I$9)-1)&amp;":"&amp;ADDRESS(1000,COLUMN(I$9)-1)))))</f>
        <v>0</v>
      </c>
      <c r="J33" s="19">
        <f t="array" ref="J33">IF(ISBLANK(Tareas!$B29),"-",SUM(
SUMIF(INDIRECT(Equipo!$C$4&amp;"!B10:B1000"),$B33,INDIRECT(Equipo!$C$4&amp;"!"&amp;ADDRESS(10,COLUMN(J$9)-1)&amp;":"&amp;ADDRESS(1000,COLUMN(J$9)-1))),
SUMIF(INDIRECT(Equipo!$D$4&amp;"!B10:B1000"),$B33,INDIRECT(Equipo!$D$4&amp;"!"&amp;ADDRESS(10,COLUMN(J$9)-1)&amp;":"&amp;ADDRESS(1000,COLUMN(J$9)-1))),
SUMIF(INDIRECT(Equipo!$E$4&amp;"!B10:B1000"),$B33,INDIRECT(Equipo!$E$4&amp;"!"&amp;ADDRESS(10,COLUMN(J$9)-1)&amp;":"&amp;ADDRESS(1000,COLUMN(J$9)-1))),
SUMIF(INDIRECT(Equipo!$F$4&amp;"!B10:B1000"),$B33,INDIRECT(Equipo!$F$4&amp;"!"&amp;ADDRESS(10,COLUMN(J$9)-1)&amp;":"&amp;ADDRESS(1000,COLUMN(J$9)-1))),
SUMIF(INDIRECT(Equipo!$G$4&amp;"!B10:B1000"),$B33,INDIRECT(Equipo!$G$4&amp;"!"&amp;ADDRESS(10,COLUMN(J$9)-1)&amp;":"&amp;ADDRESS(1000,COLUMN(J$9)-1)))))</f>
        <v>0</v>
      </c>
      <c r="K33" s="19">
        <f t="array" ref="K33">IF(ISBLANK(Tareas!$B29),"-",SUM(
SUMIF(INDIRECT(Equipo!$C$4&amp;"!B10:B1000"),$B33,INDIRECT(Equipo!$C$4&amp;"!"&amp;ADDRESS(10,COLUMN(K$9)-1)&amp;":"&amp;ADDRESS(1000,COLUMN(K$9)-1))),
SUMIF(INDIRECT(Equipo!$D$4&amp;"!B10:B1000"),$B33,INDIRECT(Equipo!$D$4&amp;"!"&amp;ADDRESS(10,COLUMN(K$9)-1)&amp;":"&amp;ADDRESS(1000,COLUMN(K$9)-1))),
SUMIF(INDIRECT(Equipo!$E$4&amp;"!B10:B1000"),$B33,INDIRECT(Equipo!$E$4&amp;"!"&amp;ADDRESS(10,COLUMN(K$9)-1)&amp;":"&amp;ADDRESS(1000,COLUMN(K$9)-1))),
SUMIF(INDIRECT(Equipo!$F$4&amp;"!B10:B1000"),$B33,INDIRECT(Equipo!$F$4&amp;"!"&amp;ADDRESS(10,COLUMN(K$9)-1)&amp;":"&amp;ADDRESS(1000,COLUMN(K$9)-1))),
SUMIF(INDIRECT(Equipo!$G$4&amp;"!B10:B1000"),$B33,INDIRECT(Equipo!$G$4&amp;"!"&amp;ADDRESS(10,COLUMN(K$9)-1)&amp;":"&amp;ADDRESS(1000,COLUMN(K$9)-1)))))</f>
        <v>0</v>
      </c>
    </row>
    <row r="34" ht="15.75" customHeight="1">
      <c r="B34" s="1" t="str">
        <f>IF(ISBLANK(Tareas!B30)," - ",Tareas!B30)</f>
        <v>25. Implementación de la gestión de usuarios</v>
      </c>
      <c r="D34" s="19">
        <f t="array" ref="D34">IF(ISBLANK(Tareas!$B30),"-",SUM(
SUMIF(INDIRECT(Equipo!$C$4&amp;"!B10:B1000"),$B34,INDIRECT(Equipo!$C$4&amp;"!"&amp;ADDRESS(10,COLUMN(D$9)-1)&amp;":"&amp;ADDRESS(1000,COLUMN(D$9)-1))),
SUMIF(INDIRECT(Equipo!$D$4&amp;"!B10:B1000"),$B34,INDIRECT(Equipo!$D$4&amp;"!"&amp;ADDRESS(10,COLUMN(D$9)-1)&amp;":"&amp;ADDRESS(1000,COLUMN(D$9)-1))),
SUMIF(INDIRECT(Equipo!$E$4&amp;"!B10:B1000"),$B34,INDIRECT(Equipo!$E$4&amp;"!"&amp;ADDRESS(10,COLUMN(D$9)-1)&amp;":"&amp;ADDRESS(1000,COLUMN(D$9)-1))),
SUMIF(INDIRECT(Equipo!$F$4&amp;"!B10:B1000"),$B34,INDIRECT(Equipo!$F$4&amp;"!"&amp;ADDRESS(10,COLUMN(D$9)-1)&amp;":"&amp;ADDRESS(1000,COLUMN(D$9)-1))),
SUMIF(INDIRECT(Equipo!$G$4&amp;"!B10:B1000"),$B34,INDIRECT(Equipo!$G$4&amp;"!"&amp;ADDRESS(10,COLUMN(D$9)-1)&amp;":"&amp;ADDRESS(1000,COLUMN(D$9)-1)))))</f>
        <v>0</v>
      </c>
      <c r="E34" s="19">
        <f t="array" ref="E34">IF(ISBLANK(Tareas!$B30),"-",SUM(
SUMIF(INDIRECT(Equipo!$C$4&amp;"!B10:B1000"),$B34,INDIRECT(Equipo!$C$4&amp;"!"&amp;ADDRESS(10,COLUMN(E$9)-1)&amp;":"&amp;ADDRESS(1000,COLUMN(E$9)-1))),
SUMIF(INDIRECT(Equipo!$D$4&amp;"!B10:B1000"),$B34,INDIRECT(Equipo!$D$4&amp;"!"&amp;ADDRESS(10,COLUMN(E$9)-1)&amp;":"&amp;ADDRESS(1000,COLUMN(E$9)-1))),
SUMIF(INDIRECT(Equipo!$E$4&amp;"!B10:B1000"),$B34,INDIRECT(Equipo!$E$4&amp;"!"&amp;ADDRESS(10,COLUMN(E$9)-1)&amp;":"&amp;ADDRESS(1000,COLUMN(E$9)-1))),
SUMIF(INDIRECT(Equipo!$F$4&amp;"!B10:B1000"),$B34,INDIRECT(Equipo!$F$4&amp;"!"&amp;ADDRESS(10,COLUMN(E$9)-1)&amp;":"&amp;ADDRESS(1000,COLUMN(E$9)-1))),
SUMIF(INDIRECT(Equipo!$G$4&amp;"!B10:B1000"),$B34,INDIRECT(Equipo!$G$4&amp;"!"&amp;ADDRESS(10,COLUMN(E$9)-1)&amp;":"&amp;ADDRESS(1000,COLUMN(E$9)-1)))))</f>
        <v>0</v>
      </c>
      <c r="F34" s="19">
        <f t="array" ref="F34">IF(ISBLANK(Tareas!$B30),"-",SUM(
SUMIF(INDIRECT(Equipo!$C$4&amp;"!B10:B1000"),$B34,INDIRECT(Equipo!$C$4&amp;"!"&amp;ADDRESS(10,COLUMN(F$9)-1)&amp;":"&amp;ADDRESS(1000,COLUMN(F$9)-1))),
SUMIF(INDIRECT(Equipo!$D$4&amp;"!B10:B1000"),$B34,INDIRECT(Equipo!$D$4&amp;"!"&amp;ADDRESS(10,COLUMN(F$9)-1)&amp;":"&amp;ADDRESS(1000,COLUMN(F$9)-1))),
SUMIF(INDIRECT(Equipo!$E$4&amp;"!B10:B1000"),$B34,INDIRECT(Equipo!$E$4&amp;"!"&amp;ADDRESS(10,COLUMN(F$9)-1)&amp;":"&amp;ADDRESS(1000,COLUMN(F$9)-1))),
SUMIF(INDIRECT(Equipo!$F$4&amp;"!B10:B1000"),$B34,INDIRECT(Equipo!$F$4&amp;"!"&amp;ADDRESS(10,COLUMN(F$9)-1)&amp;":"&amp;ADDRESS(1000,COLUMN(F$9)-1))),
SUMIF(INDIRECT(Equipo!$G$4&amp;"!B10:B1000"),$B34,INDIRECT(Equipo!$G$4&amp;"!"&amp;ADDRESS(10,COLUMN(F$9)-1)&amp;":"&amp;ADDRESS(1000,COLUMN(F$9)-1)))))</f>
        <v>0</v>
      </c>
      <c r="G34" s="19">
        <f t="array" ref="G34">IF(ISBLANK(Tareas!$B30),"-",SUM(
SUMIF(INDIRECT(Equipo!$C$4&amp;"!B10:B1000"),$B34,INDIRECT(Equipo!$C$4&amp;"!"&amp;ADDRESS(10,COLUMN(G$9)-1)&amp;":"&amp;ADDRESS(1000,COLUMN(G$9)-1))),
SUMIF(INDIRECT(Equipo!$D$4&amp;"!B10:B1000"),$B34,INDIRECT(Equipo!$D$4&amp;"!"&amp;ADDRESS(10,COLUMN(G$9)-1)&amp;":"&amp;ADDRESS(1000,COLUMN(G$9)-1))),
SUMIF(INDIRECT(Equipo!$E$4&amp;"!B10:B1000"),$B34,INDIRECT(Equipo!$E$4&amp;"!"&amp;ADDRESS(10,COLUMN(G$9)-1)&amp;":"&amp;ADDRESS(1000,COLUMN(G$9)-1))),
SUMIF(INDIRECT(Equipo!$F$4&amp;"!B10:B1000"),$B34,INDIRECT(Equipo!$F$4&amp;"!"&amp;ADDRESS(10,COLUMN(G$9)-1)&amp;":"&amp;ADDRESS(1000,COLUMN(G$9)-1))),
SUMIF(INDIRECT(Equipo!$G$4&amp;"!B10:B1000"),$B34,INDIRECT(Equipo!$G$4&amp;"!"&amp;ADDRESS(10,COLUMN(G$9)-1)&amp;":"&amp;ADDRESS(1000,COLUMN(G$9)-1)))))</f>
        <v>0</v>
      </c>
      <c r="H34" s="19">
        <f t="array" ref="H34">IF(ISBLANK(Tareas!$B30),"-",SUM(
SUMIF(INDIRECT(Equipo!$C$4&amp;"!B10:B1000"),$B34,INDIRECT(Equipo!$C$4&amp;"!"&amp;ADDRESS(10,COLUMN(H$9)-1)&amp;":"&amp;ADDRESS(1000,COLUMN(H$9)-1))),
SUMIF(INDIRECT(Equipo!$D$4&amp;"!B10:B1000"),$B34,INDIRECT(Equipo!$D$4&amp;"!"&amp;ADDRESS(10,COLUMN(H$9)-1)&amp;":"&amp;ADDRESS(1000,COLUMN(H$9)-1))),
SUMIF(INDIRECT(Equipo!$E$4&amp;"!B10:B1000"),$B34,INDIRECT(Equipo!$E$4&amp;"!"&amp;ADDRESS(10,COLUMN(H$9)-1)&amp;":"&amp;ADDRESS(1000,COLUMN(H$9)-1))),
SUMIF(INDIRECT(Equipo!$F$4&amp;"!B10:B1000"),$B34,INDIRECT(Equipo!$F$4&amp;"!"&amp;ADDRESS(10,COLUMN(H$9)-1)&amp;":"&amp;ADDRESS(1000,COLUMN(H$9)-1))),
SUMIF(INDIRECT(Equipo!$G$4&amp;"!B10:B1000"),$B34,INDIRECT(Equipo!$G$4&amp;"!"&amp;ADDRESS(10,COLUMN(H$9)-1)&amp;":"&amp;ADDRESS(1000,COLUMN(H$9)-1)))))</f>
        <v>0.9</v>
      </c>
      <c r="I34" s="19">
        <f t="array" ref="I34">IF(ISBLANK(Tareas!$B30),"-",SUM(
SUMIF(INDIRECT(Equipo!$C$4&amp;"!B10:B1000"),$B34,INDIRECT(Equipo!$C$4&amp;"!"&amp;ADDRESS(10,COLUMN(I$9)-1)&amp;":"&amp;ADDRESS(1000,COLUMN(I$9)-1))),
SUMIF(INDIRECT(Equipo!$D$4&amp;"!B10:B1000"),$B34,INDIRECT(Equipo!$D$4&amp;"!"&amp;ADDRESS(10,COLUMN(I$9)-1)&amp;":"&amp;ADDRESS(1000,COLUMN(I$9)-1))),
SUMIF(INDIRECT(Equipo!$E$4&amp;"!B10:B1000"),$B34,INDIRECT(Equipo!$E$4&amp;"!"&amp;ADDRESS(10,COLUMN(I$9)-1)&amp;":"&amp;ADDRESS(1000,COLUMN(I$9)-1))),
SUMIF(INDIRECT(Equipo!$F$4&amp;"!B10:B1000"),$B34,INDIRECT(Equipo!$F$4&amp;"!"&amp;ADDRESS(10,COLUMN(I$9)-1)&amp;":"&amp;ADDRESS(1000,COLUMN(I$9)-1))),
SUMIF(INDIRECT(Equipo!$G$4&amp;"!B10:B1000"),$B34,INDIRECT(Equipo!$G$4&amp;"!"&amp;ADDRESS(10,COLUMN(I$9)-1)&amp;":"&amp;ADDRESS(1000,COLUMN(I$9)-1)))))</f>
        <v>0</v>
      </c>
      <c r="J34" s="19">
        <f t="array" ref="J34">IF(ISBLANK(Tareas!$B30),"-",SUM(
SUMIF(INDIRECT(Equipo!$C$4&amp;"!B10:B1000"),$B34,INDIRECT(Equipo!$C$4&amp;"!"&amp;ADDRESS(10,COLUMN(J$9)-1)&amp;":"&amp;ADDRESS(1000,COLUMN(J$9)-1))),
SUMIF(INDIRECT(Equipo!$D$4&amp;"!B10:B1000"),$B34,INDIRECT(Equipo!$D$4&amp;"!"&amp;ADDRESS(10,COLUMN(J$9)-1)&amp;":"&amp;ADDRESS(1000,COLUMN(J$9)-1))),
SUMIF(INDIRECT(Equipo!$E$4&amp;"!B10:B1000"),$B34,INDIRECT(Equipo!$E$4&amp;"!"&amp;ADDRESS(10,COLUMN(J$9)-1)&amp;":"&amp;ADDRESS(1000,COLUMN(J$9)-1))),
SUMIF(INDIRECT(Equipo!$F$4&amp;"!B10:B1000"),$B34,INDIRECT(Equipo!$F$4&amp;"!"&amp;ADDRESS(10,COLUMN(J$9)-1)&amp;":"&amp;ADDRESS(1000,COLUMN(J$9)-1))),
SUMIF(INDIRECT(Equipo!$G$4&amp;"!B10:B1000"),$B34,INDIRECT(Equipo!$G$4&amp;"!"&amp;ADDRESS(10,COLUMN(J$9)-1)&amp;":"&amp;ADDRESS(1000,COLUMN(J$9)-1)))))</f>
        <v>0</v>
      </c>
      <c r="K34" s="19">
        <f t="array" ref="K34">IF(ISBLANK(Tareas!$B30),"-",SUM(
SUMIF(INDIRECT(Equipo!$C$4&amp;"!B10:B1000"),$B34,INDIRECT(Equipo!$C$4&amp;"!"&amp;ADDRESS(10,COLUMN(K$9)-1)&amp;":"&amp;ADDRESS(1000,COLUMN(K$9)-1))),
SUMIF(INDIRECT(Equipo!$D$4&amp;"!B10:B1000"),$B34,INDIRECT(Equipo!$D$4&amp;"!"&amp;ADDRESS(10,COLUMN(K$9)-1)&amp;":"&amp;ADDRESS(1000,COLUMN(K$9)-1))),
SUMIF(INDIRECT(Equipo!$E$4&amp;"!B10:B1000"),$B34,INDIRECT(Equipo!$E$4&amp;"!"&amp;ADDRESS(10,COLUMN(K$9)-1)&amp;":"&amp;ADDRESS(1000,COLUMN(K$9)-1))),
SUMIF(INDIRECT(Equipo!$F$4&amp;"!B10:B1000"),$B34,INDIRECT(Equipo!$F$4&amp;"!"&amp;ADDRESS(10,COLUMN(K$9)-1)&amp;":"&amp;ADDRESS(1000,COLUMN(K$9)-1))),
SUMIF(INDIRECT(Equipo!$G$4&amp;"!B10:B1000"),$B34,INDIRECT(Equipo!$G$4&amp;"!"&amp;ADDRESS(10,COLUMN(K$9)-1)&amp;":"&amp;ADDRESS(1000,COLUMN(K$9)-1)))))</f>
        <v>0</v>
      </c>
    </row>
    <row r="35" ht="15.75" customHeight="1">
      <c r="B35" s="1" t="str">
        <f>IF(ISBLANK(Tareas!B31)," - ",Tareas!B31)</f>
        <v>26. Implementación de la gestión de perfiles</v>
      </c>
      <c r="D35" s="19">
        <f t="array" ref="D35">IF(ISBLANK(Tareas!$B31),"-",SUM(
SUMIF(INDIRECT(Equipo!$C$4&amp;"!B10:B1000"),$B35,INDIRECT(Equipo!$C$4&amp;"!"&amp;ADDRESS(10,COLUMN(D$9)-1)&amp;":"&amp;ADDRESS(1000,COLUMN(D$9)-1))),
SUMIF(INDIRECT(Equipo!$D$4&amp;"!B10:B1000"),$B35,INDIRECT(Equipo!$D$4&amp;"!"&amp;ADDRESS(10,COLUMN(D$9)-1)&amp;":"&amp;ADDRESS(1000,COLUMN(D$9)-1))),
SUMIF(INDIRECT(Equipo!$E$4&amp;"!B10:B1000"),$B35,INDIRECT(Equipo!$E$4&amp;"!"&amp;ADDRESS(10,COLUMN(D$9)-1)&amp;":"&amp;ADDRESS(1000,COLUMN(D$9)-1))),
SUMIF(INDIRECT(Equipo!$F$4&amp;"!B10:B1000"),$B35,INDIRECT(Equipo!$F$4&amp;"!"&amp;ADDRESS(10,COLUMN(D$9)-1)&amp;":"&amp;ADDRESS(1000,COLUMN(D$9)-1))),
SUMIF(INDIRECT(Equipo!$G$4&amp;"!B10:B1000"),$B35,INDIRECT(Equipo!$G$4&amp;"!"&amp;ADDRESS(10,COLUMN(D$9)-1)&amp;":"&amp;ADDRESS(1000,COLUMN(D$9)-1)))))</f>
        <v>0</v>
      </c>
      <c r="E35" s="19">
        <f t="array" ref="E35">IF(ISBLANK(Tareas!$B31),"-",SUM(
SUMIF(INDIRECT(Equipo!$C$4&amp;"!B10:B1000"),$B35,INDIRECT(Equipo!$C$4&amp;"!"&amp;ADDRESS(10,COLUMN(E$9)-1)&amp;":"&amp;ADDRESS(1000,COLUMN(E$9)-1))),
SUMIF(INDIRECT(Equipo!$D$4&amp;"!B10:B1000"),$B35,INDIRECT(Equipo!$D$4&amp;"!"&amp;ADDRESS(10,COLUMN(E$9)-1)&amp;":"&amp;ADDRESS(1000,COLUMN(E$9)-1))),
SUMIF(INDIRECT(Equipo!$E$4&amp;"!B10:B1000"),$B35,INDIRECT(Equipo!$E$4&amp;"!"&amp;ADDRESS(10,COLUMN(E$9)-1)&amp;":"&amp;ADDRESS(1000,COLUMN(E$9)-1))),
SUMIF(INDIRECT(Equipo!$F$4&amp;"!B10:B1000"),$B35,INDIRECT(Equipo!$F$4&amp;"!"&amp;ADDRESS(10,COLUMN(E$9)-1)&amp;":"&amp;ADDRESS(1000,COLUMN(E$9)-1))),
SUMIF(INDIRECT(Equipo!$G$4&amp;"!B10:B1000"),$B35,INDIRECT(Equipo!$G$4&amp;"!"&amp;ADDRESS(10,COLUMN(E$9)-1)&amp;":"&amp;ADDRESS(1000,COLUMN(E$9)-1)))))</f>
        <v>0</v>
      </c>
      <c r="F35" s="19">
        <f t="array" ref="F35">IF(ISBLANK(Tareas!$B31),"-",SUM(
SUMIF(INDIRECT(Equipo!$C$4&amp;"!B10:B1000"),$B35,INDIRECT(Equipo!$C$4&amp;"!"&amp;ADDRESS(10,COLUMN(F$9)-1)&amp;":"&amp;ADDRESS(1000,COLUMN(F$9)-1))),
SUMIF(INDIRECT(Equipo!$D$4&amp;"!B10:B1000"),$B35,INDIRECT(Equipo!$D$4&amp;"!"&amp;ADDRESS(10,COLUMN(F$9)-1)&amp;":"&amp;ADDRESS(1000,COLUMN(F$9)-1))),
SUMIF(INDIRECT(Equipo!$E$4&amp;"!B10:B1000"),$B35,INDIRECT(Equipo!$E$4&amp;"!"&amp;ADDRESS(10,COLUMN(F$9)-1)&amp;":"&amp;ADDRESS(1000,COLUMN(F$9)-1))),
SUMIF(INDIRECT(Equipo!$F$4&amp;"!B10:B1000"),$B35,INDIRECT(Equipo!$F$4&amp;"!"&amp;ADDRESS(10,COLUMN(F$9)-1)&amp;":"&amp;ADDRESS(1000,COLUMN(F$9)-1))),
SUMIF(INDIRECT(Equipo!$G$4&amp;"!B10:B1000"),$B35,INDIRECT(Equipo!$G$4&amp;"!"&amp;ADDRESS(10,COLUMN(F$9)-1)&amp;":"&amp;ADDRESS(1000,COLUMN(F$9)-1)))))</f>
        <v>0</v>
      </c>
      <c r="G35" s="19">
        <f t="array" ref="G35">IF(ISBLANK(Tareas!$B31),"-",SUM(
SUMIF(INDIRECT(Equipo!$C$4&amp;"!B10:B1000"),$B35,INDIRECT(Equipo!$C$4&amp;"!"&amp;ADDRESS(10,COLUMN(G$9)-1)&amp;":"&amp;ADDRESS(1000,COLUMN(G$9)-1))),
SUMIF(INDIRECT(Equipo!$D$4&amp;"!B10:B1000"),$B35,INDIRECT(Equipo!$D$4&amp;"!"&amp;ADDRESS(10,COLUMN(G$9)-1)&amp;":"&amp;ADDRESS(1000,COLUMN(G$9)-1))),
SUMIF(INDIRECT(Equipo!$E$4&amp;"!B10:B1000"),$B35,INDIRECT(Equipo!$E$4&amp;"!"&amp;ADDRESS(10,COLUMN(G$9)-1)&amp;":"&amp;ADDRESS(1000,COLUMN(G$9)-1))),
SUMIF(INDIRECT(Equipo!$F$4&amp;"!B10:B1000"),$B35,INDIRECT(Equipo!$F$4&amp;"!"&amp;ADDRESS(10,COLUMN(G$9)-1)&amp;":"&amp;ADDRESS(1000,COLUMN(G$9)-1))),
SUMIF(INDIRECT(Equipo!$G$4&amp;"!B10:B1000"),$B35,INDIRECT(Equipo!$G$4&amp;"!"&amp;ADDRESS(10,COLUMN(G$9)-1)&amp;":"&amp;ADDRESS(1000,COLUMN(G$9)-1)))))</f>
        <v>0.5</v>
      </c>
      <c r="H35" s="19">
        <f t="array" ref="H35">IF(ISBLANK(Tareas!$B31),"-",SUM(
SUMIF(INDIRECT(Equipo!$C$4&amp;"!B10:B1000"),$B35,INDIRECT(Equipo!$C$4&amp;"!"&amp;ADDRESS(10,COLUMN(H$9)-1)&amp;":"&amp;ADDRESS(1000,COLUMN(H$9)-1))),
SUMIF(INDIRECT(Equipo!$D$4&amp;"!B10:B1000"),$B35,INDIRECT(Equipo!$D$4&amp;"!"&amp;ADDRESS(10,COLUMN(H$9)-1)&amp;":"&amp;ADDRESS(1000,COLUMN(H$9)-1))),
SUMIF(INDIRECT(Equipo!$E$4&amp;"!B10:B1000"),$B35,INDIRECT(Equipo!$E$4&amp;"!"&amp;ADDRESS(10,COLUMN(H$9)-1)&amp;":"&amp;ADDRESS(1000,COLUMN(H$9)-1))),
SUMIF(INDIRECT(Equipo!$F$4&amp;"!B10:B1000"),$B35,INDIRECT(Equipo!$F$4&amp;"!"&amp;ADDRESS(10,COLUMN(H$9)-1)&amp;":"&amp;ADDRESS(1000,COLUMN(H$9)-1))),
SUMIF(INDIRECT(Equipo!$G$4&amp;"!B10:B1000"),$B35,INDIRECT(Equipo!$G$4&amp;"!"&amp;ADDRESS(10,COLUMN(H$9)-1)&amp;":"&amp;ADDRESS(1000,COLUMN(H$9)-1)))))</f>
        <v>0.2</v>
      </c>
      <c r="I35" s="19">
        <f t="array" ref="I35">IF(ISBLANK(Tareas!$B31),"-",SUM(
SUMIF(INDIRECT(Equipo!$C$4&amp;"!B10:B1000"),$B35,INDIRECT(Equipo!$C$4&amp;"!"&amp;ADDRESS(10,COLUMN(I$9)-1)&amp;":"&amp;ADDRESS(1000,COLUMN(I$9)-1))),
SUMIF(INDIRECT(Equipo!$D$4&amp;"!B10:B1000"),$B35,INDIRECT(Equipo!$D$4&amp;"!"&amp;ADDRESS(10,COLUMN(I$9)-1)&amp;":"&amp;ADDRESS(1000,COLUMN(I$9)-1))),
SUMIF(INDIRECT(Equipo!$E$4&amp;"!B10:B1000"),$B35,INDIRECT(Equipo!$E$4&amp;"!"&amp;ADDRESS(10,COLUMN(I$9)-1)&amp;":"&amp;ADDRESS(1000,COLUMN(I$9)-1))),
SUMIF(INDIRECT(Equipo!$F$4&amp;"!B10:B1000"),$B35,INDIRECT(Equipo!$F$4&amp;"!"&amp;ADDRESS(10,COLUMN(I$9)-1)&amp;":"&amp;ADDRESS(1000,COLUMN(I$9)-1))),
SUMIF(INDIRECT(Equipo!$G$4&amp;"!B10:B1000"),$B35,INDIRECT(Equipo!$G$4&amp;"!"&amp;ADDRESS(10,COLUMN(I$9)-1)&amp;":"&amp;ADDRESS(1000,COLUMN(I$9)-1)))))</f>
        <v>0</v>
      </c>
      <c r="J35" s="19">
        <f t="array" ref="J35">IF(ISBLANK(Tareas!$B31),"-",SUM(
SUMIF(INDIRECT(Equipo!$C$4&amp;"!B10:B1000"),$B35,INDIRECT(Equipo!$C$4&amp;"!"&amp;ADDRESS(10,COLUMN(J$9)-1)&amp;":"&amp;ADDRESS(1000,COLUMN(J$9)-1))),
SUMIF(INDIRECT(Equipo!$D$4&amp;"!B10:B1000"),$B35,INDIRECT(Equipo!$D$4&amp;"!"&amp;ADDRESS(10,COLUMN(J$9)-1)&amp;":"&amp;ADDRESS(1000,COLUMN(J$9)-1))),
SUMIF(INDIRECT(Equipo!$E$4&amp;"!B10:B1000"),$B35,INDIRECT(Equipo!$E$4&amp;"!"&amp;ADDRESS(10,COLUMN(J$9)-1)&amp;":"&amp;ADDRESS(1000,COLUMN(J$9)-1))),
SUMIF(INDIRECT(Equipo!$F$4&amp;"!B10:B1000"),$B35,INDIRECT(Equipo!$F$4&amp;"!"&amp;ADDRESS(10,COLUMN(J$9)-1)&amp;":"&amp;ADDRESS(1000,COLUMN(J$9)-1))),
SUMIF(INDIRECT(Equipo!$G$4&amp;"!B10:B1000"),$B35,INDIRECT(Equipo!$G$4&amp;"!"&amp;ADDRESS(10,COLUMN(J$9)-1)&amp;":"&amp;ADDRESS(1000,COLUMN(J$9)-1)))))</f>
        <v>0</v>
      </c>
      <c r="K35" s="19">
        <f t="array" ref="K35">IF(ISBLANK(Tareas!$B31),"-",SUM(
SUMIF(INDIRECT(Equipo!$C$4&amp;"!B10:B1000"),$B35,INDIRECT(Equipo!$C$4&amp;"!"&amp;ADDRESS(10,COLUMN(K$9)-1)&amp;":"&amp;ADDRESS(1000,COLUMN(K$9)-1))),
SUMIF(INDIRECT(Equipo!$D$4&amp;"!B10:B1000"),$B35,INDIRECT(Equipo!$D$4&amp;"!"&amp;ADDRESS(10,COLUMN(K$9)-1)&amp;":"&amp;ADDRESS(1000,COLUMN(K$9)-1))),
SUMIF(INDIRECT(Equipo!$E$4&amp;"!B10:B1000"),$B35,INDIRECT(Equipo!$E$4&amp;"!"&amp;ADDRESS(10,COLUMN(K$9)-1)&amp;":"&amp;ADDRESS(1000,COLUMN(K$9)-1))),
SUMIF(INDIRECT(Equipo!$F$4&amp;"!B10:B1000"),$B35,INDIRECT(Equipo!$F$4&amp;"!"&amp;ADDRESS(10,COLUMN(K$9)-1)&amp;":"&amp;ADDRESS(1000,COLUMN(K$9)-1))),
SUMIF(INDIRECT(Equipo!$G$4&amp;"!B10:B1000"),$B35,INDIRECT(Equipo!$G$4&amp;"!"&amp;ADDRESS(10,COLUMN(K$9)-1)&amp;":"&amp;ADDRESS(1000,COLUMN(K$9)-1)))))</f>
        <v>0</v>
      </c>
    </row>
    <row r="36" ht="15.75" customHeight="1">
      <c r="B36" s="1" t="str">
        <f>IF(ISBLANK(Tareas!B32)," - ",Tareas!B32)</f>
        <v>27. Definición del diseño con objetos y pantallas finales</v>
      </c>
      <c r="D36" s="19">
        <f t="array" ref="D36">IF(ISBLANK(Tareas!$B32),"-",SUM(
SUMIF(INDIRECT(Equipo!$C$4&amp;"!B10:B1000"),$B36,INDIRECT(Equipo!$C$4&amp;"!"&amp;ADDRESS(10,COLUMN(D$9)-1)&amp;":"&amp;ADDRESS(1000,COLUMN(D$9)-1))),
SUMIF(INDIRECT(Equipo!$D$4&amp;"!B10:B1000"),$B36,INDIRECT(Equipo!$D$4&amp;"!"&amp;ADDRESS(10,COLUMN(D$9)-1)&amp;":"&amp;ADDRESS(1000,COLUMN(D$9)-1))),
SUMIF(INDIRECT(Equipo!$E$4&amp;"!B10:B1000"),$B36,INDIRECT(Equipo!$E$4&amp;"!"&amp;ADDRESS(10,COLUMN(D$9)-1)&amp;":"&amp;ADDRESS(1000,COLUMN(D$9)-1))),
SUMIF(INDIRECT(Equipo!$F$4&amp;"!B10:B1000"),$B36,INDIRECT(Equipo!$F$4&amp;"!"&amp;ADDRESS(10,COLUMN(D$9)-1)&amp;":"&amp;ADDRESS(1000,COLUMN(D$9)-1))),
SUMIF(INDIRECT(Equipo!$G$4&amp;"!B10:B1000"),$B36,INDIRECT(Equipo!$G$4&amp;"!"&amp;ADDRESS(10,COLUMN(D$9)-1)&amp;":"&amp;ADDRESS(1000,COLUMN(D$9)-1)))))</f>
        <v>0</v>
      </c>
      <c r="E36" s="19">
        <f t="array" ref="E36">IF(ISBLANK(Tareas!$B32),"-",SUM(
SUMIF(INDIRECT(Equipo!$C$4&amp;"!B10:B1000"),$B36,INDIRECT(Equipo!$C$4&amp;"!"&amp;ADDRESS(10,COLUMN(E$9)-1)&amp;":"&amp;ADDRESS(1000,COLUMN(E$9)-1))),
SUMIF(INDIRECT(Equipo!$D$4&amp;"!B10:B1000"),$B36,INDIRECT(Equipo!$D$4&amp;"!"&amp;ADDRESS(10,COLUMN(E$9)-1)&amp;":"&amp;ADDRESS(1000,COLUMN(E$9)-1))),
SUMIF(INDIRECT(Equipo!$E$4&amp;"!B10:B1000"),$B36,INDIRECT(Equipo!$E$4&amp;"!"&amp;ADDRESS(10,COLUMN(E$9)-1)&amp;":"&amp;ADDRESS(1000,COLUMN(E$9)-1))),
SUMIF(INDIRECT(Equipo!$F$4&amp;"!B10:B1000"),$B36,INDIRECT(Equipo!$F$4&amp;"!"&amp;ADDRESS(10,COLUMN(E$9)-1)&amp;":"&amp;ADDRESS(1000,COLUMN(E$9)-1))),
SUMIF(INDIRECT(Equipo!$G$4&amp;"!B10:B1000"),$B36,INDIRECT(Equipo!$G$4&amp;"!"&amp;ADDRESS(10,COLUMN(E$9)-1)&amp;":"&amp;ADDRESS(1000,COLUMN(E$9)-1)))))</f>
        <v>0</v>
      </c>
      <c r="F36" s="19">
        <f t="array" ref="F36">IF(ISBLANK(Tareas!$B32),"-",SUM(
SUMIF(INDIRECT(Equipo!$C$4&amp;"!B10:B1000"),$B36,INDIRECT(Equipo!$C$4&amp;"!"&amp;ADDRESS(10,COLUMN(F$9)-1)&amp;":"&amp;ADDRESS(1000,COLUMN(F$9)-1))),
SUMIF(INDIRECT(Equipo!$D$4&amp;"!B10:B1000"),$B36,INDIRECT(Equipo!$D$4&amp;"!"&amp;ADDRESS(10,COLUMN(F$9)-1)&amp;":"&amp;ADDRESS(1000,COLUMN(F$9)-1))),
SUMIF(INDIRECT(Equipo!$E$4&amp;"!B10:B1000"),$B36,INDIRECT(Equipo!$E$4&amp;"!"&amp;ADDRESS(10,COLUMN(F$9)-1)&amp;":"&amp;ADDRESS(1000,COLUMN(F$9)-1))),
SUMIF(INDIRECT(Equipo!$F$4&amp;"!B10:B1000"),$B36,INDIRECT(Equipo!$F$4&amp;"!"&amp;ADDRESS(10,COLUMN(F$9)-1)&amp;":"&amp;ADDRESS(1000,COLUMN(F$9)-1))),
SUMIF(INDIRECT(Equipo!$G$4&amp;"!B10:B1000"),$B36,INDIRECT(Equipo!$G$4&amp;"!"&amp;ADDRESS(10,COLUMN(F$9)-1)&amp;":"&amp;ADDRESS(1000,COLUMN(F$9)-1)))))</f>
        <v>0</v>
      </c>
      <c r="G36" s="19">
        <f t="array" ref="G36">IF(ISBLANK(Tareas!$B32),"-",SUM(
SUMIF(INDIRECT(Equipo!$C$4&amp;"!B10:B1000"),$B36,INDIRECT(Equipo!$C$4&amp;"!"&amp;ADDRESS(10,COLUMN(G$9)-1)&amp;":"&amp;ADDRESS(1000,COLUMN(G$9)-1))),
SUMIF(INDIRECT(Equipo!$D$4&amp;"!B10:B1000"),$B36,INDIRECT(Equipo!$D$4&amp;"!"&amp;ADDRESS(10,COLUMN(G$9)-1)&amp;":"&amp;ADDRESS(1000,COLUMN(G$9)-1))),
SUMIF(INDIRECT(Equipo!$E$4&amp;"!B10:B1000"),$B36,INDIRECT(Equipo!$E$4&amp;"!"&amp;ADDRESS(10,COLUMN(G$9)-1)&amp;":"&amp;ADDRESS(1000,COLUMN(G$9)-1))),
SUMIF(INDIRECT(Equipo!$F$4&amp;"!B10:B1000"),$B36,INDIRECT(Equipo!$F$4&amp;"!"&amp;ADDRESS(10,COLUMN(G$9)-1)&amp;":"&amp;ADDRESS(1000,COLUMN(G$9)-1))),
SUMIF(INDIRECT(Equipo!$G$4&amp;"!B10:B1000"),$B36,INDIRECT(Equipo!$G$4&amp;"!"&amp;ADDRESS(10,COLUMN(G$9)-1)&amp;":"&amp;ADDRESS(1000,COLUMN(G$9)-1)))))</f>
        <v>0</v>
      </c>
      <c r="H36" s="19">
        <f t="array" ref="H36">IF(ISBLANK(Tareas!$B32),"-",SUM(
SUMIF(INDIRECT(Equipo!$C$4&amp;"!B10:B1000"),$B36,INDIRECT(Equipo!$C$4&amp;"!"&amp;ADDRESS(10,COLUMN(H$9)-1)&amp;":"&amp;ADDRESS(1000,COLUMN(H$9)-1))),
SUMIF(INDIRECT(Equipo!$D$4&amp;"!B10:B1000"),$B36,INDIRECT(Equipo!$D$4&amp;"!"&amp;ADDRESS(10,COLUMN(H$9)-1)&amp;":"&amp;ADDRESS(1000,COLUMN(H$9)-1))),
SUMIF(INDIRECT(Equipo!$E$4&amp;"!B10:B1000"),$B36,INDIRECT(Equipo!$E$4&amp;"!"&amp;ADDRESS(10,COLUMN(H$9)-1)&amp;":"&amp;ADDRESS(1000,COLUMN(H$9)-1))),
SUMIF(INDIRECT(Equipo!$F$4&amp;"!B10:B1000"),$B36,INDIRECT(Equipo!$F$4&amp;"!"&amp;ADDRESS(10,COLUMN(H$9)-1)&amp;":"&amp;ADDRESS(1000,COLUMN(H$9)-1))),
SUMIF(INDIRECT(Equipo!$G$4&amp;"!B10:B1000"),$B36,INDIRECT(Equipo!$G$4&amp;"!"&amp;ADDRESS(10,COLUMN(H$9)-1)&amp;":"&amp;ADDRESS(1000,COLUMN(H$9)-1)))))</f>
        <v>0.5</v>
      </c>
      <c r="I36" s="19">
        <f t="array" ref="I36">IF(ISBLANK(Tareas!$B32),"-",SUM(
SUMIF(INDIRECT(Equipo!$C$4&amp;"!B10:B1000"),$B36,INDIRECT(Equipo!$C$4&amp;"!"&amp;ADDRESS(10,COLUMN(I$9)-1)&amp;":"&amp;ADDRESS(1000,COLUMN(I$9)-1))),
SUMIF(INDIRECT(Equipo!$D$4&amp;"!B10:B1000"),$B36,INDIRECT(Equipo!$D$4&amp;"!"&amp;ADDRESS(10,COLUMN(I$9)-1)&amp;":"&amp;ADDRESS(1000,COLUMN(I$9)-1))),
SUMIF(INDIRECT(Equipo!$E$4&amp;"!B10:B1000"),$B36,INDIRECT(Equipo!$E$4&amp;"!"&amp;ADDRESS(10,COLUMN(I$9)-1)&amp;":"&amp;ADDRESS(1000,COLUMN(I$9)-1))),
SUMIF(INDIRECT(Equipo!$F$4&amp;"!B10:B1000"),$B36,INDIRECT(Equipo!$F$4&amp;"!"&amp;ADDRESS(10,COLUMN(I$9)-1)&amp;":"&amp;ADDRESS(1000,COLUMN(I$9)-1))),
SUMIF(INDIRECT(Equipo!$G$4&amp;"!B10:B1000"),$B36,INDIRECT(Equipo!$G$4&amp;"!"&amp;ADDRESS(10,COLUMN(I$9)-1)&amp;":"&amp;ADDRESS(1000,COLUMN(I$9)-1)))))</f>
        <v>0</v>
      </c>
      <c r="J36" s="19">
        <f t="array" ref="J36">IF(ISBLANK(Tareas!$B32),"-",SUM(
SUMIF(INDIRECT(Equipo!$C$4&amp;"!B10:B1000"),$B36,INDIRECT(Equipo!$C$4&amp;"!"&amp;ADDRESS(10,COLUMN(J$9)-1)&amp;":"&amp;ADDRESS(1000,COLUMN(J$9)-1))),
SUMIF(INDIRECT(Equipo!$D$4&amp;"!B10:B1000"),$B36,INDIRECT(Equipo!$D$4&amp;"!"&amp;ADDRESS(10,COLUMN(J$9)-1)&amp;":"&amp;ADDRESS(1000,COLUMN(J$9)-1))),
SUMIF(INDIRECT(Equipo!$E$4&amp;"!B10:B1000"),$B36,INDIRECT(Equipo!$E$4&amp;"!"&amp;ADDRESS(10,COLUMN(J$9)-1)&amp;":"&amp;ADDRESS(1000,COLUMN(J$9)-1))),
SUMIF(INDIRECT(Equipo!$F$4&amp;"!B10:B1000"),$B36,INDIRECT(Equipo!$F$4&amp;"!"&amp;ADDRESS(10,COLUMN(J$9)-1)&amp;":"&amp;ADDRESS(1000,COLUMN(J$9)-1))),
SUMIF(INDIRECT(Equipo!$G$4&amp;"!B10:B1000"),$B36,INDIRECT(Equipo!$G$4&amp;"!"&amp;ADDRESS(10,COLUMN(J$9)-1)&amp;":"&amp;ADDRESS(1000,COLUMN(J$9)-1)))))</f>
        <v>0</v>
      </c>
      <c r="K36" s="19">
        <f t="array" ref="K36">IF(ISBLANK(Tareas!$B32),"-",SUM(
SUMIF(INDIRECT(Equipo!$C$4&amp;"!B10:B1000"),$B36,INDIRECT(Equipo!$C$4&amp;"!"&amp;ADDRESS(10,COLUMN(K$9)-1)&amp;":"&amp;ADDRESS(1000,COLUMN(K$9)-1))),
SUMIF(INDIRECT(Equipo!$D$4&amp;"!B10:B1000"),$B36,INDIRECT(Equipo!$D$4&amp;"!"&amp;ADDRESS(10,COLUMN(K$9)-1)&amp;":"&amp;ADDRESS(1000,COLUMN(K$9)-1))),
SUMIF(INDIRECT(Equipo!$E$4&amp;"!B10:B1000"),$B36,INDIRECT(Equipo!$E$4&amp;"!"&amp;ADDRESS(10,COLUMN(K$9)-1)&amp;":"&amp;ADDRESS(1000,COLUMN(K$9)-1))),
SUMIF(INDIRECT(Equipo!$F$4&amp;"!B10:B1000"),$B36,INDIRECT(Equipo!$F$4&amp;"!"&amp;ADDRESS(10,COLUMN(K$9)-1)&amp;":"&amp;ADDRESS(1000,COLUMN(K$9)-1))),
SUMIF(INDIRECT(Equipo!$G$4&amp;"!B10:B1000"),$B36,INDIRECT(Equipo!$G$4&amp;"!"&amp;ADDRESS(10,COLUMN(K$9)-1)&amp;":"&amp;ADDRESS(1000,COLUMN(K$9)-1)))))</f>
        <v>0</v>
      </c>
    </row>
    <row r="37" ht="15.75" customHeight="1">
      <c r="B37" s="1" t="str">
        <f>IF(ISBLANK(Tareas!B33)," - ",Tareas!B33)</f>
        <v>28. Revisión intermedia del código</v>
      </c>
      <c r="D37" s="19">
        <f t="array" ref="D37">IF(ISBLANK(Tareas!$B33),"-",SUM(
SUMIF(INDIRECT(Equipo!$C$4&amp;"!B10:B1000"),$B37,INDIRECT(Equipo!$C$4&amp;"!"&amp;ADDRESS(10,COLUMN(D$9)-1)&amp;":"&amp;ADDRESS(1000,COLUMN(D$9)-1))),
SUMIF(INDIRECT(Equipo!$D$4&amp;"!B10:B1000"),$B37,INDIRECT(Equipo!$D$4&amp;"!"&amp;ADDRESS(10,COLUMN(D$9)-1)&amp;":"&amp;ADDRESS(1000,COLUMN(D$9)-1))),
SUMIF(INDIRECT(Equipo!$E$4&amp;"!B10:B1000"),$B37,INDIRECT(Equipo!$E$4&amp;"!"&amp;ADDRESS(10,COLUMN(D$9)-1)&amp;":"&amp;ADDRESS(1000,COLUMN(D$9)-1))),
SUMIF(INDIRECT(Equipo!$F$4&amp;"!B10:B1000"),$B37,INDIRECT(Equipo!$F$4&amp;"!"&amp;ADDRESS(10,COLUMN(D$9)-1)&amp;":"&amp;ADDRESS(1000,COLUMN(D$9)-1))),
SUMIF(INDIRECT(Equipo!$G$4&amp;"!B10:B1000"),$B37,INDIRECT(Equipo!$G$4&amp;"!"&amp;ADDRESS(10,COLUMN(D$9)-1)&amp;":"&amp;ADDRESS(1000,COLUMN(D$9)-1)))))</f>
        <v>0</v>
      </c>
      <c r="E37" s="19">
        <f t="array" ref="E37">IF(ISBLANK(Tareas!$B33),"-",SUM(
SUMIF(INDIRECT(Equipo!$C$4&amp;"!B10:B1000"),$B37,INDIRECT(Equipo!$C$4&amp;"!"&amp;ADDRESS(10,COLUMN(E$9)-1)&amp;":"&amp;ADDRESS(1000,COLUMN(E$9)-1))),
SUMIF(INDIRECT(Equipo!$D$4&amp;"!B10:B1000"),$B37,INDIRECT(Equipo!$D$4&amp;"!"&amp;ADDRESS(10,COLUMN(E$9)-1)&amp;":"&amp;ADDRESS(1000,COLUMN(E$9)-1))),
SUMIF(INDIRECT(Equipo!$E$4&amp;"!B10:B1000"),$B37,INDIRECT(Equipo!$E$4&amp;"!"&amp;ADDRESS(10,COLUMN(E$9)-1)&amp;":"&amp;ADDRESS(1000,COLUMN(E$9)-1))),
SUMIF(INDIRECT(Equipo!$F$4&amp;"!B10:B1000"),$B37,INDIRECT(Equipo!$F$4&amp;"!"&amp;ADDRESS(10,COLUMN(E$9)-1)&amp;":"&amp;ADDRESS(1000,COLUMN(E$9)-1))),
SUMIF(INDIRECT(Equipo!$G$4&amp;"!B10:B1000"),$B37,INDIRECT(Equipo!$G$4&amp;"!"&amp;ADDRESS(10,COLUMN(E$9)-1)&amp;":"&amp;ADDRESS(1000,COLUMN(E$9)-1)))))</f>
        <v>0</v>
      </c>
      <c r="F37" s="19">
        <f t="array" ref="F37">IF(ISBLANK(Tareas!$B33),"-",SUM(
SUMIF(INDIRECT(Equipo!$C$4&amp;"!B10:B1000"),$B37,INDIRECT(Equipo!$C$4&amp;"!"&amp;ADDRESS(10,COLUMN(F$9)-1)&amp;":"&amp;ADDRESS(1000,COLUMN(F$9)-1))),
SUMIF(INDIRECT(Equipo!$D$4&amp;"!B10:B1000"),$B37,INDIRECT(Equipo!$D$4&amp;"!"&amp;ADDRESS(10,COLUMN(F$9)-1)&amp;":"&amp;ADDRESS(1000,COLUMN(F$9)-1))),
SUMIF(INDIRECT(Equipo!$E$4&amp;"!B10:B1000"),$B37,INDIRECT(Equipo!$E$4&amp;"!"&amp;ADDRESS(10,COLUMN(F$9)-1)&amp;":"&amp;ADDRESS(1000,COLUMN(F$9)-1))),
SUMIF(INDIRECT(Equipo!$F$4&amp;"!B10:B1000"),$B37,INDIRECT(Equipo!$F$4&amp;"!"&amp;ADDRESS(10,COLUMN(F$9)-1)&amp;":"&amp;ADDRESS(1000,COLUMN(F$9)-1))),
SUMIF(INDIRECT(Equipo!$G$4&amp;"!B10:B1000"),$B37,INDIRECT(Equipo!$G$4&amp;"!"&amp;ADDRESS(10,COLUMN(F$9)-1)&amp;":"&amp;ADDRESS(1000,COLUMN(F$9)-1)))))</f>
        <v>0</v>
      </c>
      <c r="G37" s="19">
        <f t="array" ref="G37">IF(ISBLANK(Tareas!$B33),"-",SUM(
SUMIF(INDIRECT(Equipo!$C$4&amp;"!B10:B1000"),$B37,INDIRECT(Equipo!$C$4&amp;"!"&amp;ADDRESS(10,COLUMN(G$9)-1)&amp;":"&amp;ADDRESS(1000,COLUMN(G$9)-1))),
SUMIF(INDIRECT(Equipo!$D$4&amp;"!B10:B1000"),$B37,INDIRECT(Equipo!$D$4&amp;"!"&amp;ADDRESS(10,COLUMN(G$9)-1)&amp;":"&amp;ADDRESS(1000,COLUMN(G$9)-1))),
SUMIF(INDIRECT(Equipo!$E$4&amp;"!B10:B1000"),$B37,INDIRECT(Equipo!$E$4&amp;"!"&amp;ADDRESS(10,COLUMN(G$9)-1)&amp;":"&amp;ADDRESS(1000,COLUMN(G$9)-1))),
SUMIF(INDIRECT(Equipo!$F$4&amp;"!B10:B1000"),$B37,INDIRECT(Equipo!$F$4&amp;"!"&amp;ADDRESS(10,COLUMN(G$9)-1)&amp;":"&amp;ADDRESS(1000,COLUMN(G$9)-1))),
SUMIF(INDIRECT(Equipo!$G$4&amp;"!B10:B1000"),$B37,INDIRECT(Equipo!$G$4&amp;"!"&amp;ADDRESS(10,COLUMN(G$9)-1)&amp;":"&amp;ADDRESS(1000,COLUMN(G$9)-1)))))</f>
        <v>0</v>
      </c>
      <c r="H37" s="19">
        <f t="array" ref="H37">IF(ISBLANK(Tareas!$B33),"-",SUM(
SUMIF(INDIRECT(Equipo!$C$4&amp;"!B10:B1000"),$B37,INDIRECT(Equipo!$C$4&amp;"!"&amp;ADDRESS(10,COLUMN(H$9)-1)&amp;":"&amp;ADDRESS(1000,COLUMN(H$9)-1))),
SUMIF(INDIRECT(Equipo!$D$4&amp;"!B10:B1000"),$B37,INDIRECT(Equipo!$D$4&amp;"!"&amp;ADDRESS(10,COLUMN(H$9)-1)&amp;":"&amp;ADDRESS(1000,COLUMN(H$9)-1))),
SUMIF(INDIRECT(Equipo!$E$4&amp;"!B10:B1000"),$B37,INDIRECT(Equipo!$E$4&amp;"!"&amp;ADDRESS(10,COLUMN(H$9)-1)&amp;":"&amp;ADDRESS(1000,COLUMN(H$9)-1))),
SUMIF(INDIRECT(Equipo!$F$4&amp;"!B10:B1000"),$B37,INDIRECT(Equipo!$F$4&amp;"!"&amp;ADDRESS(10,COLUMN(H$9)-1)&amp;":"&amp;ADDRESS(1000,COLUMN(H$9)-1))),
SUMIF(INDIRECT(Equipo!$G$4&amp;"!B10:B1000"),$B37,INDIRECT(Equipo!$G$4&amp;"!"&amp;ADDRESS(10,COLUMN(H$9)-1)&amp;":"&amp;ADDRESS(1000,COLUMN(H$9)-1)))))</f>
        <v>1.1</v>
      </c>
      <c r="I37" s="19">
        <f t="array" ref="I37">IF(ISBLANK(Tareas!$B33),"-",SUM(
SUMIF(INDIRECT(Equipo!$C$4&amp;"!B10:B1000"),$B37,INDIRECT(Equipo!$C$4&amp;"!"&amp;ADDRESS(10,COLUMN(I$9)-1)&amp;":"&amp;ADDRESS(1000,COLUMN(I$9)-1))),
SUMIF(INDIRECT(Equipo!$D$4&amp;"!B10:B1000"),$B37,INDIRECT(Equipo!$D$4&amp;"!"&amp;ADDRESS(10,COLUMN(I$9)-1)&amp;":"&amp;ADDRESS(1000,COLUMN(I$9)-1))),
SUMIF(INDIRECT(Equipo!$E$4&amp;"!B10:B1000"),$B37,INDIRECT(Equipo!$E$4&amp;"!"&amp;ADDRESS(10,COLUMN(I$9)-1)&amp;":"&amp;ADDRESS(1000,COLUMN(I$9)-1))),
SUMIF(INDIRECT(Equipo!$F$4&amp;"!B10:B1000"),$B37,INDIRECT(Equipo!$F$4&amp;"!"&amp;ADDRESS(10,COLUMN(I$9)-1)&amp;":"&amp;ADDRESS(1000,COLUMN(I$9)-1))),
SUMIF(INDIRECT(Equipo!$G$4&amp;"!B10:B1000"),$B37,INDIRECT(Equipo!$G$4&amp;"!"&amp;ADDRESS(10,COLUMN(I$9)-1)&amp;":"&amp;ADDRESS(1000,COLUMN(I$9)-1)))))</f>
        <v>0</v>
      </c>
      <c r="J37" s="19">
        <f t="array" ref="J37">IF(ISBLANK(Tareas!$B33),"-",SUM(
SUMIF(INDIRECT(Equipo!$C$4&amp;"!B10:B1000"),$B37,INDIRECT(Equipo!$C$4&amp;"!"&amp;ADDRESS(10,COLUMN(J$9)-1)&amp;":"&amp;ADDRESS(1000,COLUMN(J$9)-1))),
SUMIF(INDIRECT(Equipo!$D$4&amp;"!B10:B1000"),$B37,INDIRECT(Equipo!$D$4&amp;"!"&amp;ADDRESS(10,COLUMN(J$9)-1)&amp;":"&amp;ADDRESS(1000,COLUMN(J$9)-1))),
SUMIF(INDIRECT(Equipo!$E$4&amp;"!B10:B1000"),$B37,INDIRECT(Equipo!$E$4&amp;"!"&amp;ADDRESS(10,COLUMN(J$9)-1)&amp;":"&amp;ADDRESS(1000,COLUMN(J$9)-1))),
SUMIF(INDIRECT(Equipo!$F$4&amp;"!B10:B1000"),$B37,INDIRECT(Equipo!$F$4&amp;"!"&amp;ADDRESS(10,COLUMN(J$9)-1)&amp;":"&amp;ADDRESS(1000,COLUMN(J$9)-1))),
SUMIF(INDIRECT(Equipo!$G$4&amp;"!B10:B1000"),$B37,INDIRECT(Equipo!$G$4&amp;"!"&amp;ADDRESS(10,COLUMN(J$9)-1)&amp;":"&amp;ADDRESS(1000,COLUMN(J$9)-1)))))</f>
        <v>0</v>
      </c>
      <c r="K37" s="19">
        <f t="array" ref="K37">IF(ISBLANK(Tareas!$B33),"-",SUM(
SUMIF(INDIRECT(Equipo!$C$4&amp;"!B10:B1000"),$B37,INDIRECT(Equipo!$C$4&amp;"!"&amp;ADDRESS(10,COLUMN(K$9)-1)&amp;":"&amp;ADDRESS(1000,COLUMN(K$9)-1))),
SUMIF(INDIRECT(Equipo!$D$4&amp;"!B10:B1000"),$B37,INDIRECT(Equipo!$D$4&amp;"!"&amp;ADDRESS(10,COLUMN(K$9)-1)&amp;":"&amp;ADDRESS(1000,COLUMN(K$9)-1))),
SUMIF(INDIRECT(Equipo!$E$4&amp;"!B10:B1000"),$B37,INDIRECT(Equipo!$E$4&amp;"!"&amp;ADDRESS(10,COLUMN(K$9)-1)&amp;":"&amp;ADDRESS(1000,COLUMN(K$9)-1))),
SUMIF(INDIRECT(Equipo!$F$4&amp;"!B10:B1000"),$B37,INDIRECT(Equipo!$F$4&amp;"!"&amp;ADDRESS(10,COLUMN(K$9)-1)&amp;":"&amp;ADDRESS(1000,COLUMN(K$9)-1))),
SUMIF(INDIRECT(Equipo!$G$4&amp;"!B10:B1000"),$B37,INDIRECT(Equipo!$G$4&amp;"!"&amp;ADDRESS(10,COLUMN(K$9)-1)&amp;":"&amp;ADDRESS(1000,COLUMN(K$9)-1)))))</f>
        <v>0</v>
      </c>
    </row>
    <row r="38" ht="15.75" customHeight="1">
      <c r="B38" s="1" t="str">
        <f>IF(ISBLANK(Tareas!B34)," - ",Tareas!B34)</f>
        <v>29. Reunión 6</v>
      </c>
      <c r="D38" s="19">
        <f t="array" ref="D38">IF(ISBLANK(Tareas!$B34),"-",SUM(
SUMIF(INDIRECT(Equipo!$C$4&amp;"!B10:B1000"),$B38,INDIRECT(Equipo!$C$4&amp;"!"&amp;ADDRESS(10,COLUMN(D$9)-1)&amp;":"&amp;ADDRESS(1000,COLUMN(D$9)-1))),
SUMIF(INDIRECT(Equipo!$D$4&amp;"!B10:B1000"),$B38,INDIRECT(Equipo!$D$4&amp;"!"&amp;ADDRESS(10,COLUMN(D$9)-1)&amp;":"&amp;ADDRESS(1000,COLUMN(D$9)-1))),
SUMIF(INDIRECT(Equipo!$E$4&amp;"!B10:B1000"),$B38,INDIRECT(Equipo!$E$4&amp;"!"&amp;ADDRESS(10,COLUMN(D$9)-1)&amp;":"&amp;ADDRESS(1000,COLUMN(D$9)-1))),
SUMIF(INDIRECT(Equipo!$F$4&amp;"!B10:B1000"),$B38,INDIRECT(Equipo!$F$4&amp;"!"&amp;ADDRESS(10,COLUMN(D$9)-1)&amp;":"&amp;ADDRESS(1000,COLUMN(D$9)-1))),
SUMIF(INDIRECT(Equipo!$G$4&amp;"!B10:B1000"),$B38,INDIRECT(Equipo!$G$4&amp;"!"&amp;ADDRESS(10,COLUMN(D$9)-1)&amp;":"&amp;ADDRESS(1000,COLUMN(D$9)-1)))))</f>
        <v>0</v>
      </c>
      <c r="E38" s="19">
        <f t="array" ref="E38">IF(ISBLANK(Tareas!$B34),"-",SUM(
SUMIF(INDIRECT(Equipo!$C$4&amp;"!B10:B1000"),$B38,INDIRECT(Equipo!$C$4&amp;"!"&amp;ADDRESS(10,COLUMN(E$9)-1)&amp;":"&amp;ADDRESS(1000,COLUMN(E$9)-1))),
SUMIF(INDIRECT(Equipo!$D$4&amp;"!B10:B1000"),$B38,INDIRECT(Equipo!$D$4&amp;"!"&amp;ADDRESS(10,COLUMN(E$9)-1)&amp;":"&amp;ADDRESS(1000,COLUMN(E$9)-1))),
SUMIF(INDIRECT(Equipo!$E$4&amp;"!B10:B1000"),$B38,INDIRECT(Equipo!$E$4&amp;"!"&amp;ADDRESS(10,COLUMN(E$9)-1)&amp;":"&amp;ADDRESS(1000,COLUMN(E$9)-1))),
SUMIF(INDIRECT(Equipo!$F$4&amp;"!B10:B1000"),$B38,INDIRECT(Equipo!$F$4&amp;"!"&amp;ADDRESS(10,COLUMN(E$9)-1)&amp;":"&amp;ADDRESS(1000,COLUMN(E$9)-1))),
SUMIF(INDIRECT(Equipo!$G$4&amp;"!B10:B1000"),$B38,INDIRECT(Equipo!$G$4&amp;"!"&amp;ADDRESS(10,COLUMN(E$9)-1)&amp;":"&amp;ADDRESS(1000,COLUMN(E$9)-1)))))</f>
        <v>0</v>
      </c>
      <c r="F38" s="19">
        <f t="array" ref="F38">IF(ISBLANK(Tareas!$B34),"-",SUM(
SUMIF(INDIRECT(Equipo!$C$4&amp;"!B10:B1000"),$B38,INDIRECT(Equipo!$C$4&amp;"!"&amp;ADDRESS(10,COLUMN(F$9)-1)&amp;":"&amp;ADDRESS(1000,COLUMN(F$9)-1))),
SUMIF(INDIRECT(Equipo!$D$4&amp;"!B10:B1000"),$B38,INDIRECT(Equipo!$D$4&amp;"!"&amp;ADDRESS(10,COLUMN(F$9)-1)&amp;":"&amp;ADDRESS(1000,COLUMN(F$9)-1))),
SUMIF(INDIRECT(Equipo!$E$4&amp;"!B10:B1000"),$B38,INDIRECT(Equipo!$E$4&amp;"!"&amp;ADDRESS(10,COLUMN(F$9)-1)&amp;":"&amp;ADDRESS(1000,COLUMN(F$9)-1))),
SUMIF(INDIRECT(Equipo!$F$4&amp;"!B10:B1000"),$B38,INDIRECT(Equipo!$F$4&amp;"!"&amp;ADDRESS(10,COLUMN(F$9)-1)&amp;":"&amp;ADDRESS(1000,COLUMN(F$9)-1))),
SUMIF(INDIRECT(Equipo!$G$4&amp;"!B10:B1000"),$B38,INDIRECT(Equipo!$G$4&amp;"!"&amp;ADDRESS(10,COLUMN(F$9)-1)&amp;":"&amp;ADDRESS(1000,COLUMN(F$9)-1)))))</f>
        <v>0</v>
      </c>
      <c r="G38" s="19">
        <f t="array" ref="G38">IF(ISBLANK(Tareas!$B34),"-",SUM(
SUMIF(INDIRECT(Equipo!$C$4&amp;"!B10:B1000"),$B38,INDIRECT(Equipo!$C$4&amp;"!"&amp;ADDRESS(10,COLUMN(G$9)-1)&amp;":"&amp;ADDRESS(1000,COLUMN(G$9)-1))),
SUMIF(INDIRECT(Equipo!$D$4&amp;"!B10:B1000"),$B38,INDIRECT(Equipo!$D$4&amp;"!"&amp;ADDRESS(10,COLUMN(G$9)-1)&amp;":"&amp;ADDRESS(1000,COLUMN(G$9)-1))),
SUMIF(INDIRECT(Equipo!$E$4&amp;"!B10:B1000"),$B38,INDIRECT(Equipo!$E$4&amp;"!"&amp;ADDRESS(10,COLUMN(G$9)-1)&amp;":"&amp;ADDRESS(1000,COLUMN(G$9)-1))),
SUMIF(INDIRECT(Equipo!$F$4&amp;"!B10:B1000"),$B38,INDIRECT(Equipo!$F$4&amp;"!"&amp;ADDRESS(10,COLUMN(G$9)-1)&amp;":"&amp;ADDRESS(1000,COLUMN(G$9)-1))),
SUMIF(INDIRECT(Equipo!$G$4&amp;"!B10:B1000"),$B38,INDIRECT(Equipo!$G$4&amp;"!"&amp;ADDRESS(10,COLUMN(G$9)-1)&amp;":"&amp;ADDRESS(1000,COLUMN(G$9)-1)))))</f>
        <v>0</v>
      </c>
      <c r="H38" s="19">
        <f t="array" ref="H38">IF(ISBLANK(Tareas!$B34),"-",SUM(
SUMIF(INDIRECT(Equipo!$C$4&amp;"!B10:B1000"),$B38,INDIRECT(Equipo!$C$4&amp;"!"&amp;ADDRESS(10,COLUMN(H$9)-1)&amp;":"&amp;ADDRESS(1000,COLUMN(H$9)-1))),
SUMIF(INDIRECT(Equipo!$D$4&amp;"!B10:B1000"),$B38,INDIRECT(Equipo!$D$4&amp;"!"&amp;ADDRESS(10,COLUMN(H$9)-1)&amp;":"&amp;ADDRESS(1000,COLUMN(H$9)-1))),
SUMIF(INDIRECT(Equipo!$E$4&amp;"!B10:B1000"),$B38,INDIRECT(Equipo!$E$4&amp;"!"&amp;ADDRESS(10,COLUMN(H$9)-1)&amp;":"&amp;ADDRESS(1000,COLUMN(H$9)-1))),
SUMIF(INDIRECT(Equipo!$F$4&amp;"!B10:B1000"),$B38,INDIRECT(Equipo!$F$4&amp;"!"&amp;ADDRESS(10,COLUMN(H$9)-1)&amp;":"&amp;ADDRESS(1000,COLUMN(H$9)-1))),
SUMIF(INDIRECT(Equipo!$G$4&amp;"!B10:B1000"),$B38,INDIRECT(Equipo!$G$4&amp;"!"&amp;ADDRESS(10,COLUMN(H$9)-1)&amp;":"&amp;ADDRESS(1000,COLUMN(H$9)-1)))))</f>
        <v>0</v>
      </c>
      <c r="I38" s="19">
        <f t="array" ref="I38">IF(ISBLANK(Tareas!$B34),"-",SUM(
SUMIF(INDIRECT(Equipo!$C$4&amp;"!B10:B1000"),$B38,INDIRECT(Equipo!$C$4&amp;"!"&amp;ADDRESS(10,COLUMN(I$9)-1)&amp;":"&amp;ADDRESS(1000,COLUMN(I$9)-1))),
SUMIF(INDIRECT(Equipo!$D$4&amp;"!B10:B1000"),$B38,INDIRECT(Equipo!$D$4&amp;"!"&amp;ADDRESS(10,COLUMN(I$9)-1)&amp;":"&amp;ADDRESS(1000,COLUMN(I$9)-1))),
SUMIF(INDIRECT(Equipo!$E$4&amp;"!B10:B1000"),$B38,INDIRECT(Equipo!$E$4&amp;"!"&amp;ADDRESS(10,COLUMN(I$9)-1)&amp;":"&amp;ADDRESS(1000,COLUMN(I$9)-1))),
SUMIF(INDIRECT(Equipo!$F$4&amp;"!B10:B1000"),$B38,INDIRECT(Equipo!$F$4&amp;"!"&amp;ADDRESS(10,COLUMN(I$9)-1)&amp;":"&amp;ADDRESS(1000,COLUMN(I$9)-1))),
SUMIF(INDIRECT(Equipo!$G$4&amp;"!B10:B1000"),$B38,INDIRECT(Equipo!$G$4&amp;"!"&amp;ADDRESS(10,COLUMN(I$9)-1)&amp;":"&amp;ADDRESS(1000,COLUMN(I$9)-1)))))</f>
        <v>1.5</v>
      </c>
      <c r="J38" s="19">
        <f t="array" ref="J38">IF(ISBLANK(Tareas!$B34),"-",SUM(
SUMIF(INDIRECT(Equipo!$C$4&amp;"!B10:B1000"),$B38,INDIRECT(Equipo!$C$4&amp;"!"&amp;ADDRESS(10,COLUMN(J$9)-1)&amp;":"&amp;ADDRESS(1000,COLUMN(J$9)-1))),
SUMIF(INDIRECT(Equipo!$D$4&amp;"!B10:B1000"),$B38,INDIRECT(Equipo!$D$4&amp;"!"&amp;ADDRESS(10,COLUMN(J$9)-1)&amp;":"&amp;ADDRESS(1000,COLUMN(J$9)-1))),
SUMIF(INDIRECT(Equipo!$E$4&amp;"!B10:B1000"),$B38,INDIRECT(Equipo!$E$4&amp;"!"&amp;ADDRESS(10,COLUMN(J$9)-1)&amp;":"&amp;ADDRESS(1000,COLUMN(J$9)-1))),
SUMIF(INDIRECT(Equipo!$F$4&amp;"!B10:B1000"),$B38,INDIRECT(Equipo!$F$4&amp;"!"&amp;ADDRESS(10,COLUMN(J$9)-1)&amp;":"&amp;ADDRESS(1000,COLUMN(J$9)-1))),
SUMIF(INDIRECT(Equipo!$G$4&amp;"!B10:B1000"),$B38,INDIRECT(Equipo!$G$4&amp;"!"&amp;ADDRESS(10,COLUMN(J$9)-1)&amp;":"&amp;ADDRESS(1000,COLUMN(J$9)-1)))))</f>
        <v>0</v>
      </c>
      <c r="K38" s="19">
        <f t="array" ref="K38">IF(ISBLANK(Tareas!$B34),"-",SUM(
SUMIF(INDIRECT(Equipo!$C$4&amp;"!B10:B1000"),$B38,INDIRECT(Equipo!$C$4&amp;"!"&amp;ADDRESS(10,COLUMN(K$9)-1)&amp;":"&amp;ADDRESS(1000,COLUMN(K$9)-1))),
SUMIF(INDIRECT(Equipo!$D$4&amp;"!B10:B1000"),$B38,INDIRECT(Equipo!$D$4&amp;"!"&amp;ADDRESS(10,COLUMN(K$9)-1)&amp;":"&amp;ADDRESS(1000,COLUMN(K$9)-1))),
SUMIF(INDIRECT(Equipo!$E$4&amp;"!B10:B1000"),$B38,INDIRECT(Equipo!$E$4&amp;"!"&amp;ADDRESS(10,COLUMN(K$9)-1)&amp;":"&amp;ADDRESS(1000,COLUMN(K$9)-1))),
SUMIF(INDIRECT(Equipo!$F$4&amp;"!B10:B1000"),$B38,INDIRECT(Equipo!$F$4&amp;"!"&amp;ADDRESS(10,COLUMN(K$9)-1)&amp;":"&amp;ADDRESS(1000,COLUMN(K$9)-1))),
SUMIF(INDIRECT(Equipo!$G$4&amp;"!B10:B1000"),$B38,INDIRECT(Equipo!$G$4&amp;"!"&amp;ADDRESS(10,COLUMN(K$9)-1)&amp;":"&amp;ADDRESS(1000,COLUMN(K$9)-1)))))</f>
        <v>0</v>
      </c>
    </row>
    <row r="39" ht="15.75" customHeight="1">
      <c r="B39" s="1" t="str">
        <f>IF(ISBLANK(Tareas!B35)," - ",Tareas!B35)</f>
        <v>30. Actualización de EVM</v>
      </c>
      <c r="D39" s="19">
        <f t="array" ref="D39">IF(ISBLANK(Tareas!$B35),"-",SUM(
SUMIF(INDIRECT(Equipo!$C$4&amp;"!B10:B1000"),$B39,INDIRECT(Equipo!$C$4&amp;"!"&amp;ADDRESS(10,COLUMN(D$9)-1)&amp;":"&amp;ADDRESS(1000,COLUMN(D$9)-1))),
SUMIF(INDIRECT(Equipo!$D$4&amp;"!B10:B1000"),$B39,INDIRECT(Equipo!$D$4&amp;"!"&amp;ADDRESS(10,COLUMN(D$9)-1)&amp;":"&amp;ADDRESS(1000,COLUMN(D$9)-1))),
SUMIF(INDIRECT(Equipo!$E$4&amp;"!B10:B1000"),$B39,INDIRECT(Equipo!$E$4&amp;"!"&amp;ADDRESS(10,COLUMN(D$9)-1)&amp;":"&amp;ADDRESS(1000,COLUMN(D$9)-1))),
SUMIF(INDIRECT(Equipo!$F$4&amp;"!B10:B1000"),$B39,INDIRECT(Equipo!$F$4&amp;"!"&amp;ADDRESS(10,COLUMN(D$9)-1)&amp;":"&amp;ADDRESS(1000,COLUMN(D$9)-1))),
SUMIF(INDIRECT(Equipo!$G$4&amp;"!B10:B1000"),$B39,INDIRECT(Equipo!$G$4&amp;"!"&amp;ADDRESS(10,COLUMN(D$9)-1)&amp;":"&amp;ADDRESS(1000,COLUMN(D$9)-1)))))</f>
        <v>0</v>
      </c>
      <c r="E39" s="19">
        <f t="array" ref="E39">IF(ISBLANK(Tareas!$B35),"-",SUM(
SUMIF(INDIRECT(Equipo!$C$4&amp;"!B10:B1000"),$B39,INDIRECT(Equipo!$C$4&amp;"!"&amp;ADDRESS(10,COLUMN(E$9)-1)&amp;":"&amp;ADDRESS(1000,COLUMN(E$9)-1))),
SUMIF(INDIRECT(Equipo!$D$4&amp;"!B10:B1000"),$B39,INDIRECT(Equipo!$D$4&amp;"!"&amp;ADDRESS(10,COLUMN(E$9)-1)&amp;":"&amp;ADDRESS(1000,COLUMN(E$9)-1))),
SUMIF(INDIRECT(Equipo!$E$4&amp;"!B10:B1000"),$B39,INDIRECT(Equipo!$E$4&amp;"!"&amp;ADDRESS(10,COLUMN(E$9)-1)&amp;":"&amp;ADDRESS(1000,COLUMN(E$9)-1))),
SUMIF(INDIRECT(Equipo!$F$4&amp;"!B10:B1000"),$B39,INDIRECT(Equipo!$F$4&amp;"!"&amp;ADDRESS(10,COLUMN(E$9)-1)&amp;":"&amp;ADDRESS(1000,COLUMN(E$9)-1))),
SUMIF(INDIRECT(Equipo!$G$4&amp;"!B10:B1000"),$B39,INDIRECT(Equipo!$G$4&amp;"!"&amp;ADDRESS(10,COLUMN(E$9)-1)&amp;":"&amp;ADDRESS(1000,COLUMN(E$9)-1)))))</f>
        <v>0</v>
      </c>
      <c r="F39" s="19">
        <f t="array" ref="F39">IF(ISBLANK(Tareas!$B35),"-",SUM(
SUMIF(INDIRECT(Equipo!$C$4&amp;"!B10:B1000"),$B39,INDIRECT(Equipo!$C$4&amp;"!"&amp;ADDRESS(10,COLUMN(F$9)-1)&amp;":"&amp;ADDRESS(1000,COLUMN(F$9)-1))),
SUMIF(INDIRECT(Equipo!$D$4&amp;"!B10:B1000"),$B39,INDIRECT(Equipo!$D$4&amp;"!"&amp;ADDRESS(10,COLUMN(F$9)-1)&amp;":"&amp;ADDRESS(1000,COLUMN(F$9)-1))),
SUMIF(INDIRECT(Equipo!$E$4&amp;"!B10:B1000"),$B39,INDIRECT(Equipo!$E$4&amp;"!"&amp;ADDRESS(10,COLUMN(F$9)-1)&amp;":"&amp;ADDRESS(1000,COLUMN(F$9)-1))),
SUMIF(INDIRECT(Equipo!$F$4&amp;"!B10:B1000"),$B39,INDIRECT(Equipo!$F$4&amp;"!"&amp;ADDRESS(10,COLUMN(F$9)-1)&amp;":"&amp;ADDRESS(1000,COLUMN(F$9)-1))),
SUMIF(INDIRECT(Equipo!$G$4&amp;"!B10:B1000"),$B39,INDIRECT(Equipo!$G$4&amp;"!"&amp;ADDRESS(10,COLUMN(F$9)-1)&amp;":"&amp;ADDRESS(1000,COLUMN(F$9)-1)))))</f>
        <v>0</v>
      </c>
      <c r="G39" s="19">
        <f t="array" ref="G39">IF(ISBLANK(Tareas!$B35),"-",SUM(
SUMIF(INDIRECT(Equipo!$C$4&amp;"!B10:B1000"),$B39,INDIRECT(Equipo!$C$4&amp;"!"&amp;ADDRESS(10,COLUMN(G$9)-1)&amp;":"&amp;ADDRESS(1000,COLUMN(G$9)-1))),
SUMIF(INDIRECT(Equipo!$D$4&amp;"!B10:B1000"),$B39,INDIRECT(Equipo!$D$4&amp;"!"&amp;ADDRESS(10,COLUMN(G$9)-1)&amp;":"&amp;ADDRESS(1000,COLUMN(G$9)-1))),
SUMIF(INDIRECT(Equipo!$E$4&amp;"!B10:B1000"),$B39,INDIRECT(Equipo!$E$4&amp;"!"&amp;ADDRESS(10,COLUMN(G$9)-1)&amp;":"&amp;ADDRESS(1000,COLUMN(G$9)-1))),
SUMIF(INDIRECT(Equipo!$F$4&amp;"!B10:B1000"),$B39,INDIRECT(Equipo!$F$4&amp;"!"&amp;ADDRESS(10,COLUMN(G$9)-1)&amp;":"&amp;ADDRESS(1000,COLUMN(G$9)-1))),
SUMIF(INDIRECT(Equipo!$G$4&amp;"!B10:B1000"),$B39,INDIRECT(Equipo!$G$4&amp;"!"&amp;ADDRESS(10,COLUMN(G$9)-1)&amp;":"&amp;ADDRESS(1000,COLUMN(G$9)-1)))))</f>
        <v>0</v>
      </c>
      <c r="H39" s="19">
        <f t="array" ref="H39">IF(ISBLANK(Tareas!$B35),"-",SUM(
SUMIF(INDIRECT(Equipo!$C$4&amp;"!B10:B1000"),$B39,INDIRECT(Equipo!$C$4&amp;"!"&amp;ADDRESS(10,COLUMN(H$9)-1)&amp;":"&amp;ADDRESS(1000,COLUMN(H$9)-1))),
SUMIF(INDIRECT(Equipo!$D$4&amp;"!B10:B1000"),$B39,INDIRECT(Equipo!$D$4&amp;"!"&amp;ADDRESS(10,COLUMN(H$9)-1)&amp;":"&amp;ADDRESS(1000,COLUMN(H$9)-1))),
SUMIF(INDIRECT(Equipo!$E$4&amp;"!B10:B1000"),$B39,INDIRECT(Equipo!$E$4&amp;"!"&amp;ADDRESS(10,COLUMN(H$9)-1)&amp;":"&amp;ADDRESS(1000,COLUMN(H$9)-1))),
SUMIF(INDIRECT(Equipo!$F$4&amp;"!B10:B1000"),$B39,INDIRECT(Equipo!$F$4&amp;"!"&amp;ADDRESS(10,COLUMN(H$9)-1)&amp;":"&amp;ADDRESS(1000,COLUMN(H$9)-1))),
SUMIF(INDIRECT(Equipo!$G$4&amp;"!B10:B1000"),$B39,INDIRECT(Equipo!$G$4&amp;"!"&amp;ADDRESS(10,COLUMN(H$9)-1)&amp;":"&amp;ADDRESS(1000,COLUMN(H$9)-1)))))</f>
        <v>0</v>
      </c>
      <c r="I39" s="19">
        <f t="array" ref="I39">IF(ISBLANK(Tareas!$B35),"-",SUM(
SUMIF(INDIRECT(Equipo!$C$4&amp;"!B10:B1000"),$B39,INDIRECT(Equipo!$C$4&amp;"!"&amp;ADDRESS(10,COLUMN(I$9)-1)&amp;":"&amp;ADDRESS(1000,COLUMN(I$9)-1))),
SUMIF(INDIRECT(Equipo!$D$4&amp;"!B10:B1000"),$B39,INDIRECT(Equipo!$D$4&amp;"!"&amp;ADDRESS(10,COLUMN(I$9)-1)&amp;":"&amp;ADDRESS(1000,COLUMN(I$9)-1))),
SUMIF(INDIRECT(Equipo!$E$4&amp;"!B10:B1000"),$B39,INDIRECT(Equipo!$E$4&amp;"!"&amp;ADDRESS(10,COLUMN(I$9)-1)&amp;":"&amp;ADDRESS(1000,COLUMN(I$9)-1))),
SUMIF(INDIRECT(Equipo!$F$4&amp;"!B10:B1000"),$B39,INDIRECT(Equipo!$F$4&amp;"!"&amp;ADDRESS(10,COLUMN(I$9)-1)&amp;":"&amp;ADDRESS(1000,COLUMN(I$9)-1))),
SUMIF(INDIRECT(Equipo!$G$4&amp;"!B10:B1000"),$B39,INDIRECT(Equipo!$G$4&amp;"!"&amp;ADDRESS(10,COLUMN(I$9)-1)&amp;":"&amp;ADDRESS(1000,COLUMN(I$9)-1)))))</f>
        <v>0.3</v>
      </c>
      <c r="J39" s="19">
        <f t="array" ref="J39">IF(ISBLANK(Tareas!$B35),"-",SUM(
SUMIF(INDIRECT(Equipo!$C$4&amp;"!B10:B1000"),$B39,INDIRECT(Equipo!$C$4&amp;"!"&amp;ADDRESS(10,COLUMN(J$9)-1)&amp;":"&amp;ADDRESS(1000,COLUMN(J$9)-1))),
SUMIF(INDIRECT(Equipo!$D$4&amp;"!B10:B1000"),$B39,INDIRECT(Equipo!$D$4&amp;"!"&amp;ADDRESS(10,COLUMN(J$9)-1)&amp;":"&amp;ADDRESS(1000,COLUMN(J$9)-1))),
SUMIF(INDIRECT(Equipo!$E$4&amp;"!B10:B1000"),$B39,INDIRECT(Equipo!$E$4&amp;"!"&amp;ADDRESS(10,COLUMN(J$9)-1)&amp;":"&amp;ADDRESS(1000,COLUMN(J$9)-1))),
SUMIF(INDIRECT(Equipo!$F$4&amp;"!B10:B1000"),$B39,INDIRECT(Equipo!$F$4&amp;"!"&amp;ADDRESS(10,COLUMN(J$9)-1)&amp;":"&amp;ADDRESS(1000,COLUMN(J$9)-1))),
SUMIF(INDIRECT(Equipo!$G$4&amp;"!B10:B1000"),$B39,INDIRECT(Equipo!$G$4&amp;"!"&amp;ADDRESS(10,COLUMN(J$9)-1)&amp;":"&amp;ADDRESS(1000,COLUMN(J$9)-1)))))</f>
        <v>0</v>
      </c>
      <c r="K39" s="19">
        <f t="array" ref="K39">IF(ISBLANK(Tareas!$B35),"-",SUM(
SUMIF(INDIRECT(Equipo!$C$4&amp;"!B10:B1000"),$B39,INDIRECT(Equipo!$C$4&amp;"!"&amp;ADDRESS(10,COLUMN(K$9)-1)&amp;":"&amp;ADDRESS(1000,COLUMN(K$9)-1))),
SUMIF(INDIRECT(Equipo!$D$4&amp;"!B10:B1000"),$B39,INDIRECT(Equipo!$D$4&amp;"!"&amp;ADDRESS(10,COLUMN(K$9)-1)&amp;":"&amp;ADDRESS(1000,COLUMN(K$9)-1))),
SUMIF(INDIRECT(Equipo!$E$4&amp;"!B10:B1000"),$B39,INDIRECT(Equipo!$E$4&amp;"!"&amp;ADDRESS(10,COLUMN(K$9)-1)&amp;":"&amp;ADDRESS(1000,COLUMN(K$9)-1))),
SUMIF(INDIRECT(Equipo!$F$4&amp;"!B10:B1000"),$B39,INDIRECT(Equipo!$F$4&amp;"!"&amp;ADDRESS(10,COLUMN(K$9)-1)&amp;":"&amp;ADDRESS(1000,COLUMN(K$9)-1))),
SUMIF(INDIRECT(Equipo!$G$4&amp;"!B10:B1000"),$B39,INDIRECT(Equipo!$G$4&amp;"!"&amp;ADDRESS(10,COLUMN(K$9)-1)&amp;":"&amp;ADDRESS(1000,COLUMN(K$9)-1)))))</f>
        <v>0</v>
      </c>
    </row>
    <row r="40" ht="15.75" customHeight="1">
      <c r="B40" s="1" t="str">
        <f>IF(ISBLANK(Tareas!B36)," - ",Tareas!B36)</f>
        <v>31. Implementación de la gestión de amistades</v>
      </c>
      <c r="D40" s="19">
        <f t="array" ref="D40">IF(ISBLANK(Tareas!$B36),"-",SUM(
SUMIF(INDIRECT(Equipo!$C$4&amp;"!B10:B1000"),$B40,INDIRECT(Equipo!$C$4&amp;"!"&amp;ADDRESS(10,COLUMN(D$9)-1)&amp;":"&amp;ADDRESS(1000,COLUMN(D$9)-1))),
SUMIF(INDIRECT(Equipo!$D$4&amp;"!B10:B1000"),$B40,INDIRECT(Equipo!$D$4&amp;"!"&amp;ADDRESS(10,COLUMN(D$9)-1)&amp;":"&amp;ADDRESS(1000,COLUMN(D$9)-1))),
SUMIF(INDIRECT(Equipo!$E$4&amp;"!B10:B1000"),$B40,INDIRECT(Equipo!$E$4&amp;"!"&amp;ADDRESS(10,COLUMN(D$9)-1)&amp;":"&amp;ADDRESS(1000,COLUMN(D$9)-1))),
SUMIF(INDIRECT(Equipo!$F$4&amp;"!B10:B1000"),$B40,INDIRECT(Equipo!$F$4&amp;"!"&amp;ADDRESS(10,COLUMN(D$9)-1)&amp;":"&amp;ADDRESS(1000,COLUMN(D$9)-1))),
SUMIF(INDIRECT(Equipo!$G$4&amp;"!B10:B1000"),$B40,INDIRECT(Equipo!$G$4&amp;"!"&amp;ADDRESS(10,COLUMN(D$9)-1)&amp;":"&amp;ADDRESS(1000,COLUMN(D$9)-1)))))</f>
        <v>0</v>
      </c>
      <c r="E40" s="19">
        <f t="array" ref="E40">IF(ISBLANK(Tareas!$B36),"-",SUM(
SUMIF(INDIRECT(Equipo!$C$4&amp;"!B10:B1000"),$B40,INDIRECT(Equipo!$C$4&amp;"!"&amp;ADDRESS(10,COLUMN(E$9)-1)&amp;":"&amp;ADDRESS(1000,COLUMN(E$9)-1))),
SUMIF(INDIRECT(Equipo!$D$4&amp;"!B10:B1000"),$B40,INDIRECT(Equipo!$D$4&amp;"!"&amp;ADDRESS(10,COLUMN(E$9)-1)&amp;":"&amp;ADDRESS(1000,COLUMN(E$9)-1))),
SUMIF(INDIRECT(Equipo!$E$4&amp;"!B10:B1000"),$B40,INDIRECT(Equipo!$E$4&amp;"!"&amp;ADDRESS(10,COLUMN(E$9)-1)&amp;":"&amp;ADDRESS(1000,COLUMN(E$9)-1))),
SUMIF(INDIRECT(Equipo!$F$4&amp;"!B10:B1000"),$B40,INDIRECT(Equipo!$F$4&amp;"!"&amp;ADDRESS(10,COLUMN(E$9)-1)&amp;":"&amp;ADDRESS(1000,COLUMN(E$9)-1))),
SUMIF(INDIRECT(Equipo!$G$4&amp;"!B10:B1000"),$B40,INDIRECT(Equipo!$G$4&amp;"!"&amp;ADDRESS(10,COLUMN(E$9)-1)&amp;":"&amp;ADDRESS(1000,COLUMN(E$9)-1)))))</f>
        <v>0</v>
      </c>
      <c r="F40" s="19">
        <f t="array" ref="F40">IF(ISBLANK(Tareas!$B36),"-",SUM(
SUMIF(INDIRECT(Equipo!$C$4&amp;"!B10:B1000"),$B40,INDIRECT(Equipo!$C$4&amp;"!"&amp;ADDRESS(10,COLUMN(F$9)-1)&amp;":"&amp;ADDRESS(1000,COLUMN(F$9)-1))),
SUMIF(INDIRECT(Equipo!$D$4&amp;"!B10:B1000"),$B40,INDIRECT(Equipo!$D$4&amp;"!"&amp;ADDRESS(10,COLUMN(F$9)-1)&amp;":"&amp;ADDRESS(1000,COLUMN(F$9)-1))),
SUMIF(INDIRECT(Equipo!$E$4&amp;"!B10:B1000"),$B40,INDIRECT(Equipo!$E$4&amp;"!"&amp;ADDRESS(10,COLUMN(F$9)-1)&amp;":"&amp;ADDRESS(1000,COLUMN(F$9)-1))),
SUMIF(INDIRECT(Equipo!$F$4&amp;"!B10:B1000"),$B40,INDIRECT(Equipo!$F$4&amp;"!"&amp;ADDRESS(10,COLUMN(F$9)-1)&amp;":"&amp;ADDRESS(1000,COLUMN(F$9)-1))),
SUMIF(INDIRECT(Equipo!$G$4&amp;"!B10:B1000"),$B40,INDIRECT(Equipo!$G$4&amp;"!"&amp;ADDRESS(10,COLUMN(F$9)-1)&amp;":"&amp;ADDRESS(1000,COLUMN(F$9)-1)))))</f>
        <v>0</v>
      </c>
      <c r="G40" s="19">
        <f t="array" ref="G40">IF(ISBLANK(Tareas!$B36),"-",SUM(
SUMIF(INDIRECT(Equipo!$C$4&amp;"!B10:B1000"),$B40,INDIRECT(Equipo!$C$4&amp;"!"&amp;ADDRESS(10,COLUMN(G$9)-1)&amp;":"&amp;ADDRESS(1000,COLUMN(G$9)-1))),
SUMIF(INDIRECT(Equipo!$D$4&amp;"!B10:B1000"),$B40,INDIRECT(Equipo!$D$4&amp;"!"&amp;ADDRESS(10,COLUMN(G$9)-1)&amp;":"&amp;ADDRESS(1000,COLUMN(G$9)-1))),
SUMIF(INDIRECT(Equipo!$E$4&amp;"!B10:B1000"),$B40,INDIRECT(Equipo!$E$4&amp;"!"&amp;ADDRESS(10,COLUMN(G$9)-1)&amp;":"&amp;ADDRESS(1000,COLUMN(G$9)-1))),
SUMIF(INDIRECT(Equipo!$F$4&amp;"!B10:B1000"),$B40,INDIRECT(Equipo!$F$4&amp;"!"&amp;ADDRESS(10,COLUMN(G$9)-1)&amp;":"&amp;ADDRESS(1000,COLUMN(G$9)-1))),
SUMIF(INDIRECT(Equipo!$G$4&amp;"!B10:B1000"),$B40,INDIRECT(Equipo!$G$4&amp;"!"&amp;ADDRESS(10,COLUMN(G$9)-1)&amp;":"&amp;ADDRESS(1000,COLUMN(G$9)-1)))))</f>
        <v>0</v>
      </c>
      <c r="H40" s="19">
        <f t="array" ref="H40">IF(ISBLANK(Tareas!$B36),"-",SUM(
SUMIF(INDIRECT(Equipo!$C$4&amp;"!B10:B1000"),$B40,INDIRECT(Equipo!$C$4&amp;"!"&amp;ADDRESS(10,COLUMN(H$9)-1)&amp;":"&amp;ADDRESS(1000,COLUMN(H$9)-1))),
SUMIF(INDIRECT(Equipo!$D$4&amp;"!B10:B1000"),$B40,INDIRECT(Equipo!$D$4&amp;"!"&amp;ADDRESS(10,COLUMN(H$9)-1)&amp;":"&amp;ADDRESS(1000,COLUMN(H$9)-1))),
SUMIF(INDIRECT(Equipo!$E$4&amp;"!B10:B1000"),$B40,INDIRECT(Equipo!$E$4&amp;"!"&amp;ADDRESS(10,COLUMN(H$9)-1)&amp;":"&amp;ADDRESS(1000,COLUMN(H$9)-1))),
SUMIF(INDIRECT(Equipo!$F$4&amp;"!B10:B1000"),$B40,INDIRECT(Equipo!$F$4&amp;"!"&amp;ADDRESS(10,COLUMN(H$9)-1)&amp;":"&amp;ADDRESS(1000,COLUMN(H$9)-1))),
SUMIF(INDIRECT(Equipo!$G$4&amp;"!B10:B1000"),$B40,INDIRECT(Equipo!$G$4&amp;"!"&amp;ADDRESS(10,COLUMN(H$9)-1)&amp;":"&amp;ADDRESS(1000,COLUMN(H$9)-1)))))</f>
        <v>0</v>
      </c>
      <c r="I40" s="19">
        <f t="array" ref="I40">IF(ISBLANK(Tareas!$B36),"-",SUM(
SUMIF(INDIRECT(Equipo!$C$4&amp;"!B10:B1000"),$B40,INDIRECT(Equipo!$C$4&amp;"!"&amp;ADDRESS(10,COLUMN(I$9)-1)&amp;":"&amp;ADDRESS(1000,COLUMN(I$9)-1))),
SUMIF(INDIRECT(Equipo!$D$4&amp;"!B10:B1000"),$B40,INDIRECT(Equipo!$D$4&amp;"!"&amp;ADDRESS(10,COLUMN(I$9)-1)&amp;":"&amp;ADDRESS(1000,COLUMN(I$9)-1))),
SUMIF(INDIRECT(Equipo!$E$4&amp;"!B10:B1000"),$B40,INDIRECT(Equipo!$E$4&amp;"!"&amp;ADDRESS(10,COLUMN(I$9)-1)&amp;":"&amp;ADDRESS(1000,COLUMN(I$9)-1))),
SUMIF(INDIRECT(Equipo!$F$4&amp;"!B10:B1000"),$B40,INDIRECT(Equipo!$F$4&amp;"!"&amp;ADDRESS(10,COLUMN(I$9)-1)&amp;":"&amp;ADDRESS(1000,COLUMN(I$9)-1))),
SUMIF(INDIRECT(Equipo!$G$4&amp;"!B10:B1000"),$B40,INDIRECT(Equipo!$G$4&amp;"!"&amp;ADDRESS(10,COLUMN(I$9)-1)&amp;":"&amp;ADDRESS(1000,COLUMN(I$9)-1)))))</f>
        <v>1</v>
      </c>
      <c r="J40" s="19">
        <f t="array" ref="J40">IF(ISBLANK(Tareas!$B36),"-",SUM(
SUMIF(INDIRECT(Equipo!$C$4&amp;"!B10:B1000"),$B40,INDIRECT(Equipo!$C$4&amp;"!"&amp;ADDRESS(10,COLUMN(J$9)-1)&amp;":"&amp;ADDRESS(1000,COLUMN(J$9)-1))),
SUMIF(INDIRECT(Equipo!$D$4&amp;"!B10:B1000"),$B40,INDIRECT(Equipo!$D$4&amp;"!"&amp;ADDRESS(10,COLUMN(J$9)-1)&amp;":"&amp;ADDRESS(1000,COLUMN(J$9)-1))),
SUMIF(INDIRECT(Equipo!$E$4&amp;"!B10:B1000"),$B40,INDIRECT(Equipo!$E$4&amp;"!"&amp;ADDRESS(10,COLUMN(J$9)-1)&amp;":"&amp;ADDRESS(1000,COLUMN(J$9)-1))),
SUMIF(INDIRECT(Equipo!$F$4&amp;"!B10:B1000"),$B40,INDIRECT(Equipo!$F$4&amp;"!"&amp;ADDRESS(10,COLUMN(J$9)-1)&amp;":"&amp;ADDRESS(1000,COLUMN(J$9)-1))),
SUMIF(INDIRECT(Equipo!$G$4&amp;"!B10:B1000"),$B40,INDIRECT(Equipo!$G$4&amp;"!"&amp;ADDRESS(10,COLUMN(J$9)-1)&amp;":"&amp;ADDRESS(1000,COLUMN(J$9)-1)))))</f>
        <v>0</v>
      </c>
      <c r="K40" s="19">
        <f t="array" ref="K40">IF(ISBLANK(Tareas!$B36),"-",SUM(
SUMIF(INDIRECT(Equipo!$C$4&amp;"!B10:B1000"),$B40,INDIRECT(Equipo!$C$4&amp;"!"&amp;ADDRESS(10,COLUMN(K$9)-1)&amp;":"&amp;ADDRESS(1000,COLUMN(K$9)-1))),
SUMIF(INDIRECT(Equipo!$D$4&amp;"!B10:B1000"),$B40,INDIRECT(Equipo!$D$4&amp;"!"&amp;ADDRESS(10,COLUMN(K$9)-1)&amp;":"&amp;ADDRESS(1000,COLUMN(K$9)-1))),
SUMIF(INDIRECT(Equipo!$E$4&amp;"!B10:B1000"),$B40,INDIRECT(Equipo!$E$4&amp;"!"&amp;ADDRESS(10,COLUMN(K$9)-1)&amp;":"&amp;ADDRESS(1000,COLUMN(K$9)-1))),
SUMIF(INDIRECT(Equipo!$F$4&amp;"!B10:B1000"),$B40,INDIRECT(Equipo!$F$4&amp;"!"&amp;ADDRESS(10,COLUMN(K$9)-1)&amp;":"&amp;ADDRESS(1000,COLUMN(K$9)-1))),
SUMIF(INDIRECT(Equipo!$G$4&amp;"!B10:B1000"),$B40,INDIRECT(Equipo!$G$4&amp;"!"&amp;ADDRESS(10,COLUMN(K$9)-1)&amp;":"&amp;ADDRESS(1000,COLUMN(K$9)-1)))))</f>
        <v>0</v>
      </c>
    </row>
    <row r="41" ht="15.75" customHeight="1">
      <c r="B41" s="1" t="str">
        <f>IF(ISBLANK(Tareas!B37)," - ",Tareas!B37)</f>
        <v>32. Implementación de la gestión de cervezas</v>
      </c>
      <c r="D41" s="19">
        <f t="array" ref="D41">IF(ISBLANK(Tareas!$B37),"-",SUM(
SUMIF(INDIRECT(Equipo!$C$4&amp;"!B10:B1000"),$B41,INDIRECT(Equipo!$C$4&amp;"!"&amp;ADDRESS(10,COLUMN(D$9)-1)&amp;":"&amp;ADDRESS(1000,COLUMN(D$9)-1))),
SUMIF(INDIRECT(Equipo!$D$4&amp;"!B10:B1000"),$B41,INDIRECT(Equipo!$D$4&amp;"!"&amp;ADDRESS(10,COLUMN(D$9)-1)&amp;":"&amp;ADDRESS(1000,COLUMN(D$9)-1))),
SUMIF(INDIRECT(Equipo!$E$4&amp;"!B10:B1000"),$B41,INDIRECT(Equipo!$E$4&amp;"!"&amp;ADDRESS(10,COLUMN(D$9)-1)&amp;":"&amp;ADDRESS(1000,COLUMN(D$9)-1))),
SUMIF(INDIRECT(Equipo!$F$4&amp;"!B10:B1000"),$B41,INDIRECT(Equipo!$F$4&amp;"!"&amp;ADDRESS(10,COLUMN(D$9)-1)&amp;":"&amp;ADDRESS(1000,COLUMN(D$9)-1))),
SUMIF(INDIRECT(Equipo!$G$4&amp;"!B10:B1000"),$B41,INDIRECT(Equipo!$G$4&amp;"!"&amp;ADDRESS(10,COLUMN(D$9)-1)&amp;":"&amp;ADDRESS(1000,COLUMN(D$9)-1)))))</f>
        <v>0</v>
      </c>
      <c r="E41" s="19">
        <f t="array" ref="E41">IF(ISBLANK(Tareas!$B37),"-",SUM(
SUMIF(INDIRECT(Equipo!$C$4&amp;"!B10:B1000"),$B41,INDIRECT(Equipo!$C$4&amp;"!"&amp;ADDRESS(10,COLUMN(E$9)-1)&amp;":"&amp;ADDRESS(1000,COLUMN(E$9)-1))),
SUMIF(INDIRECT(Equipo!$D$4&amp;"!B10:B1000"),$B41,INDIRECT(Equipo!$D$4&amp;"!"&amp;ADDRESS(10,COLUMN(E$9)-1)&amp;":"&amp;ADDRESS(1000,COLUMN(E$9)-1))),
SUMIF(INDIRECT(Equipo!$E$4&amp;"!B10:B1000"),$B41,INDIRECT(Equipo!$E$4&amp;"!"&amp;ADDRESS(10,COLUMN(E$9)-1)&amp;":"&amp;ADDRESS(1000,COLUMN(E$9)-1))),
SUMIF(INDIRECT(Equipo!$F$4&amp;"!B10:B1000"),$B41,INDIRECT(Equipo!$F$4&amp;"!"&amp;ADDRESS(10,COLUMN(E$9)-1)&amp;":"&amp;ADDRESS(1000,COLUMN(E$9)-1))),
SUMIF(INDIRECT(Equipo!$G$4&amp;"!B10:B1000"),$B41,INDIRECT(Equipo!$G$4&amp;"!"&amp;ADDRESS(10,COLUMN(E$9)-1)&amp;":"&amp;ADDRESS(1000,COLUMN(E$9)-1)))))</f>
        <v>0</v>
      </c>
      <c r="F41" s="19">
        <f t="array" ref="F41">IF(ISBLANK(Tareas!$B37),"-",SUM(
SUMIF(INDIRECT(Equipo!$C$4&amp;"!B10:B1000"),$B41,INDIRECT(Equipo!$C$4&amp;"!"&amp;ADDRESS(10,COLUMN(F$9)-1)&amp;":"&amp;ADDRESS(1000,COLUMN(F$9)-1))),
SUMIF(INDIRECT(Equipo!$D$4&amp;"!B10:B1000"),$B41,INDIRECT(Equipo!$D$4&amp;"!"&amp;ADDRESS(10,COLUMN(F$9)-1)&amp;":"&amp;ADDRESS(1000,COLUMN(F$9)-1))),
SUMIF(INDIRECT(Equipo!$E$4&amp;"!B10:B1000"),$B41,INDIRECT(Equipo!$E$4&amp;"!"&amp;ADDRESS(10,COLUMN(F$9)-1)&amp;":"&amp;ADDRESS(1000,COLUMN(F$9)-1))),
SUMIF(INDIRECT(Equipo!$F$4&amp;"!B10:B1000"),$B41,INDIRECT(Equipo!$F$4&amp;"!"&amp;ADDRESS(10,COLUMN(F$9)-1)&amp;":"&amp;ADDRESS(1000,COLUMN(F$9)-1))),
SUMIF(INDIRECT(Equipo!$G$4&amp;"!B10:B1000"),$B41,INDIRECT(Equipo!$G$4&amp;"!"&amp;ADDRESS(10,COLUMN(F$9)-1)&amp;":"&amp;ADDRESS(1000,COLUMN(F$9)-1)))))</f>
        <v>0</v>
      </c>
      <c r="G41" s="19">
        <f t="array" ref="G41">IF(ISBLANK(Tareas!$B37),"-",SUM(
SUMIF(INDIRECT(Equipo!$C$4&amp;"!B10:B1000"),$B41,INDIRECT(Equipo!$C$4&amp;"!"&amp;ADDRESS(10,COLUMN(G$9)-1)&amp;":"&amp;ADDRESS(1000,COLUMN(G$9)-1))),
SUMIF(INDIRECT(Equipo!$D$4&amp;"!B10:B1000"),$B41,INDIRECT(Equipo!$D$4&amp;"!"&amp;ADDRESS(10,COLUMN(G$9)-1)&amp;":"&amp;ADDRESS(1000,COLUMN(G$9)-1))),
SUMIF(INDIRECT(Equipo!$E$4&amp;"!B10:B1000"),$B41,INDIRECT(Equipo!$E$4&amp;"!"&amp;ADDRESS(10,COLUMN(G$9)-1)&amp;":"&amp;ADDRESS(1000,COLUMN(G$9)-1))),
SUMIF(INDIRECT(Equipo!$F$4&amp;"!B10:B1000"),$B41,INDIRECT(Equipo!$F$4&amp;"!"&amp;ADDRESS(10,COLUMN(G$9)-1)&amp;":"&amp;ADDRESS(1000,COLUMN(G$9)-1))),
SUMIF(INDIRECT(Equipo!$G$4&amp;"!B10:B1000"),$B41,INDIRECT(Equipo!$G$4&amp;"!"&amp;ADDRESS(10,COLUMN(G$9)-1)&amp;":"&amp;ADDRESS(1000,COLUMN(G$9)-1)))))</f>
        <v>0</v>
      </c>
      <c r="H41" s="19">
        <f t="array" ref="H41">IF(ISBLANK(Tareas!$B37),"-",SUM(
SUMIF(INDIRECT(Equipo!$C$4&amp;"!B10:B1000"),$B41,INDIRECT(Equipo!$C$4&amp;"!"&amp;ADDRESS(10,COLUMN(H$9)-1)&amp;":"&amp;ADDRESS(1000,COLUMN(H$9)-1))),
SUMIF(INDIRECT(Equipo!$D$4&amp;"!B10:B1000"),$B41,INDIRECT(Equipo!$D$4&amp;"!"&amp;ADDRESS(10,COLUMN(H$9)-1)&amp;":"&amp;ADDRESS(1000,COLUMN(H$9)-1))),
SUMIF(INDIRECT(Equipo!$E$4&amp;"!B10:B1000"),$B41,INDIRECT(Equipo!$E$4&amp;"!"&amp;ADDRESS(10,COLUMN(H$9)-1)&amp;":"&amp;ADDRESS(1000,COLUMN(H$9)-1))),
SUMIF(INDIRECT(Equipo!$F$4&amp;"!B10:B1000"),$B41,INDIRECT(Equipo!$F$4&amp;"!"&amp;ADDRESS(10,COLUMN(H$9)-1)&amp;":"&amp;ADDRESS(1000,COLUMN(H$9)-1))),
SUMIF(INDIRECT(Equipo!$G$4&amp;"!B10:B1000"),$B41,INDIRECT(Equipo!$G$4&amp;"!"&amp;ADDRESS(10,COLUMN(H$9)-1)&amp;":"&amp;ADDRESS(1000,COLUMN(H$9)-1)))))</f>
        <v>0</v>
      </c>
      <c r="I41" s="19">
        <f t="array" ref="I41">IF(ISBLANK(Tareas!$B37),"-",SUM(
SUMIF(INDIRECT(Equipo!$C$4&amp;"!B10:B1000"),$B41,INDIRECT(Equipo!$C$4&amp;"!"&amp;ADDRESS(10,COLUMN(I$9)-1)&amp;":"&amp;ADDRESS(1000,COLUMN(I$9)-1))),
SUMIF(INDIRECT(Equipo!$D$4&amp;"!B10:B1000"),$B41,INDIRECT(Equipo!$D$4&amp;"!"&amp;ADDRESS(10,COLUMN(I$9)-1)&amp;":"&amp;ADDRESS(1000,COLUMN(I$9)-1))),
SUMIF(INDIRECT(Equipo!$E$4&amp;"!B10:B1000"),$B41,INDIRECT(Equipo!$E$4&amp;"!"&amp;ADDRESS(10,COLUMN(I$9)-1)&amp;":"&amp;ADDRESS(1000,COLUMN(I$9)-1))),
SUMIF(INDIRECT(Equipo!$F$4&amp;"!B10:B1000"),$B41,INDIRECT(Equipo!$F$4&amp;"!"&amp;ADDRESS(10,COLUMN(I$9)-1)&amp;":"&amp;ADDRESS(1000,COLUMN(I$9)-1))),
SUMIF(INDIRECT(Equipo!$G$4&amp;"!B10:B1000"),$B41,INDIRECT(Equipo!$G$4&amp;"!"&amp;ADDRESS(10,COLUMN(I$9)-1)&amp;":"&amp;ADDRESS(1000,COLUMN(I$9)-1)))))</f>
        <v>0.5</v>
      </c>
      <c r="J41" s="19">
        <f t="array" ref="J41">IF(ISBLANK(Tareas!$B37),"-",SUM(
SUMIF(INDIRECT(Equipo!$C$4&amp;"!B10:B1000"),$B41,INDIRECT(Equipo!$C$4&amp;"!"&amp;ADDRESS(10,COLUMN(J$9)-1)&amp;":"&amp;ADDRESS(1000,COLUMN(J$9)-1))),
SUMIF(INDIRECT(Equipo!$D$4&amp;"!B10:B1000"),$B41,INDIRECT(Equipo!$D$4&amp;"!"&amp;ADDRESS(10,COLUMN(J$9)-1)&amp;":"&amp;ADDRESS(1000,COLUMN(J$9)-1))),
SUMIF(INDIRECT(Equipo!$E$4&amp;"!B10:B1000"),$B41,INDIRECT(Equipo!$E$4&amp;"!"&amp;ADDRESS(10,COLUMN(J$9)-1)&amp;":"&amp;ADDRESS(1000,COLUMN(J$9)-1))),
SUMIF(INDIRECT(Equipo!$F$4&amp;"!B10:B1000"),$B41,INDIRECT(Equipo!$F$4&amp;"!"&amp;ADDRESS(10,COLUMN(J$9)-1)&amp;":"&amp;ADDRESS(1000,COLUMN(J$9)-1))),
SUMIF(INDIRECT(Equipo!$G$4&amp;"!B10:B1000"),$B41,INDIRECT(Equipo!$G$4&amp;"!"&amp;ADDRESS(10,COLUMN(J$9)-1)&amp;":"&amp;ADDRESS(1000,COLUMN(J$9)-1)))))</f>
        <v>0</v>
      </c>
      <c r="K41" s="19">
        <f t="array" ref="K41">IF(ISBLANK(Tareas!$B37),"-",SUM(
SUMIF(INDIRECT(Equipo!$C$4&amp;"!B10:B1000"),$B41,INDIRECT(Equipo!$C$4&amp;"!"&amp;ADDRESS(10,COLUMN(K$9)-1)&amp;":"&amp;ADDRESS(1000,COLUMN(K$9)-1))),
SUMIF(INDIRECT(Equipo!$D$4&amp;"!B10:B1000"),$B41,INDIRECT(Equipo!$D$4&amp;"!"&amp;ADDRESS(10,COLUMN(K$9)-1)&amp;":"&amp;ADDRESS(1000,COLUMN(K$9)-1))),
SUMIF(INDIRECT(Equipo!$E$4&amp;"!B10:B1000"),$B41,INDIRECT(Equipo!$E$4&amp;"!"&amp;ADDRESS(10,COLUMN(K$9)-1)&amp;":"&amp;ADDRESS(1000,COLUMN(K$9)-1))),
SUMIF(INDIRECT(Equipo!$F$4&amp;"!B10:B1000"),$B41,INDIRECT(Equipo!$F$4&amp;"!"&amp;ADDRESS(10,COLUMN(K$9)-1)&amp;":"&amp;ADDRESS(1000,COLUMN(K$9)-1))),
SUMIF(INDIRECT(Equipo!$G$4&amp;"!B10:B1000"),$B41,INDIRECT(Equipo!$G$4&amp;"!"&amp;ADDRESS(10,COLUMN(K$9)-1)&amp;":"&amp;ADDRESS(1000,COLUMN(K$9)-1)))))</f>
        <v>0</v>
      </c>
    </row>
    <row r="42" ht="15.75" customHeight="1">
      <c r="B42" s="1" t="str">
        <f>IF(ISBLANK(Tareas!B38)," - ",Tareas!B38)</f>
        <v>33. Actualización de los planes de GCS y calidad</v>
      </c>
      <c r="D42" s="19">
        <f t="array" ref="D42">IF(ISBLANK(Tareas!$B38),"-",SUM(
SUMIF(INDIRECT(Equipo!$C$4&amp;"!B10:B1000"),$B42,INDIRECT(Equipo!$C$4&amp;"!"&amp;ADDRESS(10,COLUMN(D$9)-1)&amp;":"&amp;ADDRESS(1000,COLUMN(D$9)-1))),
SUMIF(INDIRECT(Equipo!$D$4&amp;"!B10:B1000"),$B42,INDIRECT(Equipo!$D$4&amp;"!"&amp;ADDRESS(10,COLUMN(D$9)-1)&amp;":"&amp;ADDRESS(1000,COLUMN(D$9)-1))),
SUMIF(INDIRECT(Equipo!$E$4&amp;"!B10:B1000"),$B42,INDIRECT(Equipo!$E$4&amp;"!"&amp;ADDRESS(10,COLUMN(D$9)-1)&amp;":"&amp;ADDRESS(1000,COLUMN(D$9)-1))),
SUMIF(INDIRECT(Equipo!$F$4&amp;"!B10:B1000"),$B42,INDIRECT(Equipo!$F$4&amp;"!"&amp;ADDRESS(10,COLUMN(D$9)-1)&amp;":"&amp;ADDRESS(1000,COLUMN(D$9)-1))),
SUMIF(INDIRECT(Equipo!$G$4&amp;"!B10:B1000"),$B42,INDIRECT(Equipo!$G$4&amp;"!"&amp;ADDRESS(10,COLUMN(D$9)-1)&amp;":"&amp;ADDRESS(1000,COLUMN(D$9)-1)))))</f>
        <v>0</v>
      </c>
      <c r="E42" s="19">
        <f t="array" ref="E42">IF(ISBLANK(Tareas!$B38),"-",SUM(
SUMIF(INDIRECT(Equipo!$C$4&amp;"!B10:B1000"),$B42,INDIRECT(Equipo!$C$4&amp;"!"&amp;ADDRESS(10,COLUMN(E$9)-1)&amp;":"&amp;ADDRESS(1000,COLUMN(E$9)-1))),
SUMIF(INDIRECT(Equipo!$D$4&amp;"!B10:B1000"),$B42,INDIRECT(Equipo!$D$4&amp;"!"&amp;ADDRESS(10,COLUMN(E$9)-1)&amp;":"&amp;ADDRESS(1000,COLUMN(E$9)-1))),
SUMIF(INDIRECT(Equipo!$E$4&amp;"!B10:B1000"),$B42,INDIRECT(Equipo!$E$4&amp;"!"&amp;ADDRESS(10,COLUMN(E$9)-1)&amp;":"&amp;ADDRESS(1000,COLUMN(E$9)-1))),
SUMIF(INDIRECT(Equipo!$F$4&amp;"!B10:B1000"),$B42,INDIRECT(Equipo!$F$4&amp;"!"&amp;ADDRESS(10,COLUMN(E$9)-1)&amp;":"&amp;ADDRESS(1000,COLUMN(E$9)-1))),
SUMIF(INDIRECT(Equipo!$G$4&amp;"!B10:B1000"),$B42,INDIRECT(Equipo!$G$4&amp;"!"&amp;ADDRESS(10,COLUMN(E$9)-1)&amp;":"&amp;ADDRESS(1000,COLUMN(E$9)-1)))))</f>
        <v>0</v>
      </c>
      <c r="F42" s="19">
        <f t="array" ref="F42">IF(ISBLANK(Tareas!$B38),"-",SUM(
SUMIF(INDIRECT(Equipo!$C$4&amp;"!B10:B1000"),$B42,INDIRECT(Equipo!$C$4&amp;"!"&amp;ADDRESS(10,COLUMN(F$9)-1)&amp;":"&amp;ADDRESS(1000,COLUMN(F$9)-1))),
SUMIF(INDIRECT(Equipo!$D$4&amp;"!B10:B1000"),$B42,INDIRECT(Equipo!$D$4&amp;"!"&amp;ADDRESS(10,COLUMN(F$9)-1)&amp;":"&amp;ADDRESS(1000,COLUMN(F$9)-1))),
SUMIF(INDIRECT(Equipo!$E$4&amp;"!B10:B1000"),$B42,INDIRECT(Equipo!$E$4&amp;"!"&amp;ADDRESS(10,COLUMN(F$9)-1)&amp;":"&amp;ADDRESS(1000,COLUMN(F$9)-1))),
SUMIF(INDIRECT(Equipo!$F$4&amp;"!B10:B1000"),$B42,INDIRECT(Equipo!$F$4&amp;"!"&amp;ADDRESS(10,COLUMN(F$9)-1)&amp;":"&amp;ADDRESS(1000,COLUMN(F$9)-1))),
SUMIF(INDIRECT(Equipo!$G$4&amp;"!B10:B1000"),$B42,INDIRECT(Equipo!$G$4&amp;"!"&amp;ADDRESS(10,COLUMN(F$9)-1)&amp;":"&amp;ADDRESS(1000,COLUMN(F$9)-1)))))</f>
        <v>0</v>
      </c>
      <c r="G42" s="19">
        <f t="array" ref="G42">IF(ISBLANK(Tareas!$B38),"-",SUM(
SUMIF(INDIRECT(Equipo!$C$4&amp;"!B10:B1000"),$B42,INDIRECT(Equipo!$C$4&amp;"!"&amp;ADDRESS(10,COLUMN(G$9)-1)&amp;":"&amp;ADDRESS(1000,COLUMN(G$9)-1))),
SUMIF(INDIRECT(Equipo!$D$4&amp;"!B10:B1000"),$B42,INDIRECT(Equipo!$D$4&amp;"!"&amp;ADDRESS(10,COLUMN(G$9)-1)&amp;":"&amp;ADDRESS(1000,COLUMN(G$9)-1))),
SUMIF(INDIRECT(Equipo!$E$4&amp;"!B10:B1000"),$B42,INDIRECT(Equipo!$E$4&amp;"!"&amp;ADDRESS(10,COLUMN(G$9)-1)&amp;":"&amp;ADDRESS(1000,COLUMN(G$9)-1))),
SUMIF(INDIRECT(Equipo!$F$4&amp;"!B10:B1000"),$B42,INDIRECT(Equipo!$F$4&amp;"!"&amp;ADDRESS(10,COLUMN(G$9)-1)&amp;":"&amp;ADDRESS(1000,COLUMN(G$9)-1))),
SUMIF(INDIRECT(Equipo!$G$4&amp;"!B10:B1000"),$B42,INDIRECT(Equipo!$G$4&amp;"!"&amp;ADDRESS(10,COLUMN(G$9)-1)&amp;":"&amp;ADDRESS(1000,COLUMN(G$9)-1)))))</f>
        <v>0</v>
      </c>
      <c r="H42" s="19">
        <f t="array" ref="H42">IF(ISBLANK(Tareas!$B38),"-",SUM(
SUMIF(INDIRECT(Equipo!$C$4&amp;"!B10:B1000"),$B42,INDIRECT(Equipo!$C$4&amp;"!"&amp;ADDRESS(10,COLUMN(H$9)-1)&amp;":"&amp;ADDRESS(1000,COLUMN(H$9)-1))),
SUMIF(INDIRECT(Equipo!$D$4&amp;"!B10:B1000"),$B42,INDIRECT(Equipo!$D$4&amp;"!"&amp;ADDRESS(10,COLUMN(H$9)-1)&amp;":"&amp;ADDRESS(1000,COLUMN(H$9)-1))),
SUMIF(INDIRECT(Equipo!$E$4&amp;"!B10:B1000"),$B42,INDIRECT(Equipo!$E$4&amp;"!"&amp;ADDRESS(10,COLUMN(H$9)-1)&amp;":"&amp;ADDRESS(1000,COLUMN(H$9)-1))),
SUMIF(INDIRECT(Equipo!$F$4&amp;"!B10:B1000"),$B42,INDIRECT(Equipo!$F$4&amp;"!"&amp;ADDRESS(10,COLUMN(H$9)-1)&amp;":"&amp;ADDRESS(1000,COLUMN(H$9)-1))),
SUMIF(INDIRECT(Equipo!$G$4&amp;"!B10:B1000"),$B42,INDIRECT(Equipo!$G$4&amp;"!"&amp;ADDRESS(10,COLUMN(H$9)-1)&amp;":"&amp;ADDRESS(1000,COLUMN(H$9)-1)))))</f>
        <v>0</v>
      </c>
      <c r="I42" s="19">
        <f t="array" ref="I42">IF(ISBLANK(Tareas!$B38),"-",SUM(
SUMIF(INDIRECT(Equipo!$C$4&amp;"!B10:B1000"),$B42,INDIRECT(Equipo!$C$4&amp;"!"&amp;ADDRESS(10,COLUMN(I$9)-1)&amp;":"&amp;ADDRESS(1000,COLUMN(I$9)-1))),
SUMIF(INDIRECT(Equipo!$D$4&amp;"!B10:B1000"),$B42,INDIRECT(Equipo!$D$4&amp;"!"&amp;ADDRESS(10,COLUMN(I$9)-1)&amp;":"&amp;ADDRESS(1000,COLUMN(I$9)-1))),
SUMIF(INDIRECT(Equipo!$E$4&amp;"!B10:B1000"),$B42,INDIRECT(Equipo!$E$4&amp;"!"&amp;ADDRESS(10,COLUMN(I$9)-1)&amp;":"&amp;ADDRESS(1000,COLUMN(I$9)-1))),
SUMIF(INDIRECT(Equipo!$F$4&amp;"!B10:B1000"),$B42,INDIRECT(Equipo!$F$4&amp;"!"&amp;ADDRESS(10,COLUMN(I$9)-1)&amp;":"&amp;ADDRESS(1000,COLUMN(I$9)-1))),
SUMIF(INDIRECT(Equipo!$G$4&amp;"!B10:B1000"),$B42,INDIRECT(Equipo!$G$4&amp;"!"&amp;ADDRESS(10,COLUMN(I$9)-1)&amp;":"&amp;ADDRESS(1000,COLUMN(I$9)-1)))))</f>
        <v>0.3</v>
      </c>
      <c r="J42" s="19">
        <f t="array" ref="J42">IF(ISBLANK(Tareas!$B38),"-",SUM(
SUMIF(INDIRECT(Equipo!$C$4&amp;"!B10:B1000"),$B42,INDIRECT(Equipo!$C$4&amp;"!"&amp;ADDRESS(10,COLUMN(J$9)-1)&amp;":"&amp;ADDRESS(1000,COLUMN(J$9)-1))),
SUMIF(INDIRECT(Equipo!$D$4&amp;"!B10:B1000"),$B42,INDIRECT(Equipo!$D$4&amp;"!"&amp;ADDRESS(10,COLUMN(J$9)-1)&amp;":"&amp;ADDRESS(1000,COLUMN(J$9)-1))),
SUMIF(INDIRECT(Equipo!$E$4&amp;"!B10:B1000"),$B42,INDIRECT(Equipo!$E$4&amp;"!"&amp;ADDRESS(10,COLUMN(J$9)-1)&amp;":"&amp;ADDRESS(1000,COLUMN(J$9)-1))),
SUMIF(INDIRECT(Equipo!$F$4&amp;"!B10:B1000"),$B42,INDIRECT(Equipo!$F$4&amp;"!"&amp;ADDRESS(10,COLUMN(J$9)-1)&amp;":"&amp;ADDRESS(1000,COLUMN(J$9)-1))),
SUMIF(INDIRECT(Equipo!$G$4&amp;"!B10:B1000"),$B42,INDIRECT(Equipo!$G$4&amp;"!"&amp;ADDRESS(10,COLUMN(J$9)-1)&amp;":"&amp;ADDRESS(1000,COLUMN(J$9)-1)))))</f>
        <v>0</v>
      </c>
      <c r="K42" s="19">
        <f t="array" ref="K42">IF(ISBLANK(Tareas!$B38),"-",SUM(
SUMIF(INDIRECT(Equipo!$C$4&amp;"!B10:B1000"),$B42,INDIRECT(Equipo!$C$4&amp;"!"&amp;ADDRESS(10,COLUMN(K$9)-1)&amp;":"&amp;ADDRESS(1000,COLUMN(K$9)-1))),
SUMIF(INDIRECT(Equipo!$D$4&amp;"!B10:B1000"),$B42,INDIRECT(Equipo!$D$4&amp;"!"&amp;ADDRESS(10,COLUMN(K$9)-1)&amp;":"&amp;ADDRESS(1000,COLUMN(K$9)-1))),
SUMIF(INDIRECT(Equipo!$E$4&amp;"!B10:B1000"),$B42,INDIRECT(Equipo!$E$4&amp;"!"&amp;ADDRESS(10,COLUMN(K$9)-1)&amp;":"&amp;ADDRESS(1000,COLUMN(K$9)-1))),
SUMIF(INDIRECT(Equipo!$F$4&amp;"!B10:B1000"),$B42,INDIRECT(Equipo!$F$4&amp;"!"&amp;ADDRESS(10,COLUMN(K$9)-1)&amp;":"&amp;ADDRESS(1000,COLUMN(K$9)-1))),
SUMIF(INDIRECT(Equipo!$G$4&amp;"!B10:B1000"),$B42,INDIRECT(Equipo!$G$4&amp;"!"&amp;ADDRESS(10,COLUMN(K$9)-1)&amp;":"&amp;ADDRESS(1000,COLUMN(K$9)-1)))))</f>
        <v>0</v>
      </c>
    </row>
    <row r="43" ht="15.75" customHeight="1">
      <c r="B43" s="1" t="str">
        <f>IF(ISBLANK(Tareas!B39)," - ",Tareas!B39)</f>
        <v>34. Revisión final del diseño</v>
      </c>
      <c r="D43" s="19">
        <f t="array" ref="D43">IF(ISBLANK(Tareas!$B39),"-",SUM(
SUMIF(INDIRECT(Equipo!$C$4&amp;"!B10:B1000"),$B43,INDIRECT(Equipo!$C$4&amp;"!"&amp;ADDRESS(10,COLUMN(D$9)-1)&amp;":"&amp;ADDRESS(1000,COLUMN(D$9)-1))),
SUMIF(INDIRECT(Equipo!$D$4&amp;"!B10:B1000"),$B43,INDIRECT(Equipo!$D$4&amp;"!"&amp;ADDRESS(10,COLUMN(D$9)-1)&amp;":"&amp;ADDRESS(1000,COLUMN(D$9)-1))),
SUMIF(INDIRECT(Equipo!$E$4&amp;"!B10:B1000"),$B43,INDIRECT(Equipo!$E$4&amp;"!"&amp;ADDRESS(10,COLUMN(D$9)-1)&amp;":"&amp;ADDRESS(1000,COLUMN(D$9)-1))),
SUMIF(INDIRECT(Equipo!$F$4&amp;"!B10:B1000"),$B43,INDIRECT(Equipo!$F$4&amp;"!"&amp;ADDRESS(10,COLUMN(D$9)-1)&amp;":"&amp;ADDRESS(1000,COLUMN(D$9)-1))),
SUMIF(INDIRECT(Equipo!$G$4&amp;"!B10:B1000"),$B43,INDIRECT(Equipo!$G$4&amp;"!"&amp;ADDRESS(10,COLUMN(D$9)-1)&amp;":"&amp;ADDRESS(1000,COLUMN(D$9)-1)))))</f>
        <v>0</v>
      </c>
      <c r="E43" s="19">
        <f t="array" ref="E43">IF(ISBLANK(Tareas!$B39),"-",SUM(
SUMIF(INDIRECT(Equipo!$C$4&amp;"!B10:B1000"),$B43,INDIRECT(Equipo!$C$4&amp;"!"&amp;ADDRESS(10,COLUMN(E$9)-1)&amp;":"&amp;ADDRESS(1000,COLUMN(E$9)-1))),
SUMIF(INDIRECT(Equipo!$D$4&amp;"!B10:B1000"),$B43,INDIRECT(Equipo!$D$4&amp;"!"&amp;ADDRESS(10,COLUMN(E$9)-1)&amp;":"&amp;ADDRESS(1000,COLUMN(E$9)-1))),
SUMIF(INDIRECT(Equipo!$E$4&amp;"!B10:B1000"),$B43,INDIRECT(Equipo!$E$4&amp;"!"&amp;ADDRESS(10,COLUMN(E$9)-1)&amp;":"&amp;ADDRESS(1000,COLUMN(E$9)-1))),
SUMIF(INDIRECT(Equipo!$F$4&amp;"!B10:B1000"),$B43,INDIRECT(Equipo!$F$4&amp;"!"&amp;ADDRESS(10,COLUMN(E$9)-1)&amp;":"&amp;ADDRESS(1000,COLUMN(E$9)-1))),
SUMIF(INDIRECT(Equipo!$G$4&amp;"!B10:B1000"),$B43,INDIRECT(Equipo!$G$4&amp;"!"&amp;ADDRESS(10,COLUMN(E$9)-1)&amp;":"&amp;ADDRESS(1000,COLUMN(E$9)-1)))))</f>
        <v>0</v>
      </c>
      <c r="F43" s="19">
        <f t="array" ref="F43">IF(ISBLANK(Tareas!$B39),"-",SUM(
SUMIF(INDIRECT(Equipo!$C$4&amp;"!B10:B1000"),$B43,INDIRECT(Equipo!$C$4&amp;"!"&amp;ADDRESS(10,COLUMN(F$9)-1)&amp;":"&amp;ADDRESS(1000,COLUMN(F$9)-1))),
SUMIF(INDIRECT(Equipo!$D$4&amp;"!B10:B1000"),$B43,INDIRECT(Equipo!$D$4&amp;"!"&amp;ADDRESS(10,COLUMN(F$9)-1)&amp;":"&amp;ADDRESS(1000,COLUMN(F$9)-1))),
SUMIF(INDIRECT(Equipo!$E$4&amp;"!B10:B1000"),$B43,INDIRECT(Equipo!$E$4&amp;"!"&amp;ADDRESS(10,COLUMN(F$9)-1)&amp;":"&amp;ADDRESS(1000,COLUMN(F$9)-1))),
SUMIF(INDIRECT(Equipo!$F$4&amp;"!B10:B1000"),$B43,INDIRECT(Equipo!$F$4&amp;"!"&amp;ADDRESS(10,COLUMN(F$9)-1)&amp;":"&amp;ADDRESS(1000,COLUMN(F$9)-1))),
SUMIF(INDIRECT(Equipo!$G$4&amp;"!B10:B1000"),$B43,INDIRECT(Equipo!$G$4&amp;"!"&amp;ADDRESS(10,COLUMN(F$9)-1)&amp;":"&amp;ADDRESS(1000,COLUMN(F$9)-1)))))</f>
        <v>0</v>
      </c>
      <c r="G43" s="19">
        <f t="array" ref="G43">IF(ISBLANK(Tareas!$B39),"-",SUM(
SUMIF(INDIRECT(Equipo!$C$4&amp;"!B10:B1000"),$B43,INDIRECT(Equipo!$C$4&amp;"!"&amp;ADDRESS(10,COLUMN(G$9)-1)&amp;":"&amp;ADDRESS(1000,COLUMN(G$9)-1))),
SUMIF(INDIRECT(Equipo!$D$4&amp;"!B10:B1000"),$B43,INDIRECT(Equipo!$D$4&amp;"!"&amp;ADDRESS(10,COLUMN(G$9)-1)&amp;":"&amp;ADDRESS(1000,COLUMN(G$9)-1))),
SUMIF(INDIRECT(Equipo!$E$4&amp;"!B10:B1000"),$B43,INDIRECT(Equipo!$E$4&amp;"!"&amp;ADDRESS(10,COLUMN(G$9)-1)&amp;":"&amp;ADDRESS(1000,COLUMN(G$9)-1))),
SUMIF(INDIRECT(Equipo!$F$4&amp;"!B10:B1000"),$B43,INDIRECT(Equipo!$F$4&amp;"!"&amp;ADDRESS(10,COLUMN(G$9)-1)&amp;":"&amp;ADDRESS(1000,COLUMN(G$9)-1))),
SUMIF(INDIRECT(Equipo!$G$4&amp;"!B10:B1000"),$B43,INDIRECT(Equipo!$G$4&amp;"!"&amp;ADDRESS(10,COLUMN(G$9)-1)&amp;":"&amp;ADDRESS(1000,COLUMN(G$9)-1)))))</f>
        <v>0</v>
      </c>
      <c r="H43" s="19">
        <f t="array" ref="H43">IF(ISBLANK(Tareas!$B39),"-",SUM(
SUMIF(INDIRECT(Equipo!$C$4&amp;"!B10:B1000"),$B43,INDIRECT(Equipo!$C$4&amp;"!"&amp;ADDRESS(10,COLUMN(H$9)-1)&amp;":"&amp;ADDRESS(1000,COLUMN(H$9)-1))),
SUMIF(INDIRECT(Equipo!$D$4&amp;"!B10:B1000"),$B43,INDIRECT(Equipo!$D$4&amp;"!"&amp;ADDRESS(10,COLUMN(H$9)-1)&amp;":"&amp;ADDRESS(1000,COLUMN(H$9)-1))),
SUMIF(INDIRECT(Equipo!$E$4&amp;"!B10:B1000"),$B43,INDIRECT(Equipo!$E$4&amp;"!"&amp;ADDRESS(10,COLUMN(H$9)-1)&amp;":"&amp;ADDRESS(1000,COLUMN(H$9)-1))),
SUMIF(INDIRECT(Equipo!$F$4&amp;"!B10:B1000"),$B43,INDIRECT(Equipo!$F$4&amp;"!"&amp;ADDRESS(10,COLUMN(H$9)-1)&amp;":"&amp;ADDRESS(1000,COLUMN(H$9)-1))),
SUMIF(INDIRECT(Equipo!$G$4&amp;"!B10:B1000"),$B43,INDIRECT(Equipo!$G$4&amp;"!"&amp;ADDRESS(10,COLUMN(H$9)-1)&amp;":"&amp;ADDRESS(1000,COLUMN(H$9)-1)))))</f>
        <v>0</v>
      </c>
      <c r="I43" s="19">
        <f t="array" ref="I43">IF(ISBLANK(Tareas!$B39),"-",SUM(
SUMIF(INDIRECT(Equipo!$C$4&amp;"!B10:B1000"),$B43,INDIRECT(Equipo!$C$4&amp;"!"&amp;ADDRESS(10,COLUMN(I$9)-1)&amp;":"&amp;ADDRESS(1000,COLUMN(I$9)-1))),
SUMIF(INDIRECT(Equipo!$D$4&amp;"!B10:B1000"),$B43,INDIRECT(Equipo!$D$4&amp;"!"&amp;ADDRESS(10,COLUMN(I$9)-1)&amp;":"&amp;ADDRESS(1000,COLUMN(I$9)-1))),
SUMIF(INDIRECT(Equipo!$E$4&amp;"!B10:B1000"),$B43,INDIRECT(Equipo!$E$4&amp;"!"&amp;ADDRESS(10,COLUMN(I$9)-1)&amp;":"&amp;ADDRESS(1000,COLUMN(I$9)-1))),
SUMIF(INDIRECT(Equipo!$F$4&amp;"!B10:B1000"),$B43,INDIRECT(Equipo!$F$4&amp;"!"&amp;ADDRESS(10,COLUMN(I$9)-1)&amp;":"&amp;ADDRESS(1000,COLUMN(I$9)-1))),
SUMIF(INDIRECT(Equipo!$G$4&amp;"!B10:B1000"),$B43,INDIRECT(Equipo!$G$4&amp;"!"&amp;ADDRESS(10,COLUMN(I$9)-1)&amp;":"&amp;ADDRESS(1000,COLUMN(I$9)-1)))))</f>
        <v>1.5</v>
      </c>
      <c r="J43" s="19">
        <f t="array" ref="J43">IF(ISBLANK(Tareas!$B39),"-",SUM(
SUMIF(INDIRECT(Equipo!$C$4&amp;"!B10:B1000"),$B43,INDIRECT(Equipo!$C$4&amp;"!"&amp;ADDRESS(10,COLUMN(J$9)-1)&amp;":"&amp;ADDRESS(1000,COLUMN(J$9)-1))),
SUMIF(INDIRECT(Equipo!$D$4&amp;"!B10:B1000"),$B43,INDIRECT(Equipo!$D$4&amp;"!"&amp;ADDRESS(10,COLUMN(J$9)-1)&amp;":"&amp;ADDRESS(1000,COLUMN(J$9)-1))),
SUMIF(INDIRECT(Equipo!$E$4&amp;"!B10:B1000"),$B43,INDIRECT(Equipo!$E$4&amp;"!"&amp;ADDRESS(10,COLUMN(J$9)-1)&amp;":"&amp;ADDRESS(1000,COLUMN(J$9)-1))),
SUMIF(INDIRECT(Equipo!$F$4&amp;"!B10:B1000"),$B43,INDIRECT(Equipo!$F$4&amp;"!"&amp;ADDRESS(10,COLUMN(J$9)-1)&amp;":"&amp;ADDRESS(1000,COLUMN(J$9)-1))),
SUMIF(INDIRECT(Equipo!$G$4&amp;"!B10:B1000"),$B43,INDIRECT(Equipo!$G$4&amp;"!"&amp;ADDRESS(10,COLUMN(J$9)-1)&amp;":"&amp;ADDRESS(1000,COLUMN(J$9)-1)))))</f>
        <v>0</v>
      </c>
      <c r="K43" s="19">
        <f t="array" ref="K43">IF(ISBLANK(Tareas!$B39),"-",SUM(
SUMIF(INDIRECT(Equipo!$C$4&amp;"!B10:B1000"),$B43,INDIRECT(Equipo!$C$4&amp;"!"&amp;ADDRESS(10,COLUMN(K$9)-1)&amp;":"&amp;ADDRESS(1000,COLUMN(K$9)-1))),
SUMIF(INDIRECT(Equipo!$D$4&amp;"!B10:B1000"),$B43,INDIRECT(Equipo!$D$4&amp;"!"&amp;ADDRESS(10,COLUMN(K$9)-1)&amp;":"&amp;ADDRESS(1000,COLUMN(K$9)-1))),
SUMIF(INDIRECT(Equipo!$E$4&amp;"!B10:B1000"),$B43,INDIRECT(Equipo!$E$4&amp;"!"&amp;ADDRESS(10,COLUMN(K$9)-1)&amp;":"&amp;ADDRESS(1000,COLUMN(K$9)-1))),
SUMIF(INDIRECT(Equipo!$F$4&amp;"!B10:B1000"),$B43,INDIRECT(Equipo!$F$4&amp;"!"&amp;ADDRESS(10,COLUMN(K$9)-1)&amp;":"&amp;ADDRESS(1000,COLUMN(K$9)-1))),
SUMIF(INDIRECT(Equipo!$G$4&amp;"!B10:B1000"),$B43,INDIRECT(Equipo!$G$4&amp;"!"&amp;ADDRESS(10,COLUMN(K$9)-1)&amp;":"&amp;ADDRESS(1000,COLUMN(K$9)-1)))))</f>
        <v>0</v>
      </c>
    </row>
    <row r="44" ht="15.75" customHeight="1">
      <c r="B44" s="1" t="str">
        <f>IF(ISBLANK(Tareas!B40)," - ",Tareas!B40)</f>
        <v>35. Revisión intermedia del código</v>
      </c>
      <c r="D44" s="19">
        <f t="array" ref="D44">IF(ISBLANK(Tareas!$B40),"-",SUM(
SUMIF(INDIRECT(Equipo!$C$4&amp;"!B10:B1000"),$B44,INDIRECT(Equipo!$C$4&amp;"!"&amp;ADDRESS(10,COLUMN(D$9)-1)&amp;":"&amp;ADDRESS(1000,COLUMN(D$9)-1))),
SUMIF(INDIRECT(Equipo!$D$4&amp;"!B10:B1000"),$B44,INDIRECT(Equipo!$D$4&amp;"!"&amp;ADDRESS(10,COLUMN(D$9)-1)&amp;":"&amp;ADDRESS(1000,COLUMN(D$9)-1))),
SUMIF(INDIRECT(Equipo!$E$4&amp;"!B10:B1000"),$B44,INDIRECT(Equipo!$E$4&amp;"!"&amp;ADDRESS(10,COLUMN(D$9)-1)&amp;":"&amp;ADDRESS(1000,COLUMN(D$9)-1))),
SUMIF(INDIRECT(Equipo!$F$4&amp;"!B10:B1000"),$B44,INDIRECT(Equipo!$F$4&amp;"!"&amp;ADDRESS(10,COLUMN(D$9)-1)&amp;":"&amp;ADDRESS(1000,COLUMN(D$9)-1))),
SUMIF(INDIRECT(Equipo!$G$4&amp;"!B10:B1000"),$B44,INDIRECT(Equipo!$G$4&amp;"!"&amp;ADDRESS(10,COLUMN(D$9)-1)&amp;":"&amp;ADDRESS(1000,COLUMN(D$9)-1)))))</f>
        <v>0</v>
      </c>
      <c r="E44" s="19">
        <f t="array" ref="E44">IF(ISBLANK(Tareas!$B40),"-",SUM(
SUMIF(INDIRECT(Equipo!$C$4&amp;"!B10:B1000"),$B44,INDIRECT(Equipo!$C$4&amp;"!"&amp;ADDRESS(10,COLUMN(E$9)-1)&amp;":"&amp;ADDRESS(1000,COLUMN(E$9)-1))),
SUMIF(INDIRECT(Equipo!$D$4&amp;"!B10:B1000"),$B44,INDIRECT(Equipo!$D$4&amp;"!"&amp;ADDRESS(10,COLUMN(E$9)-1)&amp;":"&amp;ADDRESS(1000,COLUMN(E$9)-1))),
SUMIF(INDIRECT(Equipo!$E$4&amp;"!B10:B1000"),$B44,INDIRECT(Equipo!$E$4&amp;"!"&amp;ADDRESS(10,COLUMN(E$9)-1)&amp;":"&amp;ADDRESS(1000,COLUMN(E$9)-1))),
SUMIF(INDIRECT(Equipo!$F$4&amp;"!B10:B1000"),$B44,INDIRECT(Equipo!$F$4&amp;"!"&amp;ADDRESS(10,COLUMN(E$9)-1)&amp;":"&amp;ADDRESS(1000,COLUMN(E$9)-1))),
SUMIF(INDIRECT(Equipo!$G$4&amp;"!B10:B1000"),$B44,INDIRECT(Equipo!$G$4&amp;"!"&amp;ADDRESS(10,COLUMN(E$9)-1)&amp;":"&amp;ADDRESS(1000,COLUMN(E$9)-1)))))</f>
        <v>0</v>
      </c>
      <c r="F44" s="19">
        <f t="array" ref="F44">IF(ISBLANK(Tareas!$B40),"-",SUM(
SUMIF(INDIRECT(Equipo!$C$4&amp;"!B10:B1000"),$B44,INDIRECT(Equipo!$C$4&amp;"!"&amp;ADDRESS(10,COLUMN(F$9)-1)&amp;":"&amp;ADDRESS(1000,COLUMN(F$9)-1))),
SUMIF(INDIRECT(Equipo!$D$4&amp;"!B10:B1000"),$B44,INDIRECT(Equipo!$D$4&amp;"!"&amp;ADDRESS(10,COLUMN(F$9)-1)&amp;":"&amp;ADDRESS(1000,COLUMN(F$9)-1))),
SUMIF(INDIRECT(Equipo!$E$4&amp;"!B10:B1000"),$B44,INDIRECT(Equipo!$E$4&amp;"!"&amp;ADDRESS(10,COLUMN(F$9)-1)&amp;":"&amp;ADDRESS(1000,COLUMN(F$9)-1))),
SUMIF(INDIRECT(Equipo!$F$4&amp;"!B10:B1000"),$B44,INDIRECT(Equipo!$F$4&amp;"!"&amp;ADDRESS(10,COLUMN(F$9)-1)&amp;":"&amp;ADDRESS(1000,COLUMN(F$9)-1))),
SUMIF(INDIRECT(Equipo!$G$4&amp;"!B10:B1000"),$B44,INDIRECT(Equipo!$G$4&amp;"!"&amp;ADDRESS(10,COLUMN(F$9)-1)&amp;":"&amp;ADDRESS(1000,COLUMN(F$9)-1)))))</f>
        <v>0</v>
      </c>
      <c r="G44" s="19">
        <f t="array" ref="G44">IF(ISBLANK(Tareas!$B40),"-",SUM(
SUMIF(INDIRECT(Equipo!$C$4&amp;"!B10:B1000"),$B44,INDIRECT(Equipo!$C$4&amp;"!"&amp;ADDRESS(10,COLUMN(G$9)-1)&amp;":"&amp;ADDRESS(1000,COLUMN(G$9)-1))),
SUMIF(INDIRECT(Equipo!$D$4&amp;"!B10:B1000"),$B44,INDIRECT(Equipo!$D$4&amp;"!"&amp;ADDRESS(10,COLUMN(G$9)-1)&amp;":"&amp;ADDRESS(1000,COLUMN(G$9)-1))),
SUMIF(INDIRECT(Equipo!$E$4&amp;"!B10:B1000"),$B44,INDIRECT(Equipo!$E$4&amp;"!"&amp;ADDRESS(10,COLUMN(G$9)-1)&amp;":"&amp;ADDRESS(1000,COLUMN(G$9)-1))),
SUMIF(INDIRECT(Equipo!$F$4&amp;"!B10:B1000"),$B44,INDIRECT(Equipo!$F$4&amp;"!"&amp;ADDRESS(10,COLUMN(G$9)-1)&amp;":"&amp;ADDRESS(1000,COLUMN(G$9)-1))),
SUMIF(INDIRECT(Equipo!$G$4&amp;"!B10:B1000"),$B44,INDIRECT(Equipo!$G$4&amp;"!"&amp;ADDRESS(10,COLUMN(G$9)-1)&amp;":"&amp;ADDRESS(1000,COLUMN(G$9)-1)))))</f>
        <v>0</v>
      </c>
      <c r="H44" s="19">
        <f t="array" ref="H44">IF(ISBLANK(Tareas!$B40),"-",SUM(
SUMIF(INDIRECT(Equipo!$C$4&amp;"!B10:B1000"),$B44,INDIRECT(Equipo!$C$4&amp;"!"&amp;ADDRESS(10,COLUMN(H$9)-1)&amp;":"&amp;ADDRESS(1000,COLUMN(H$9)-1))),
SUMIF(INDIRECT(Equipo!$D$4&amp;"!B10:B1000"),$B44,INDIRECT(Equipo!$D$4&amp;"!"&amp;ADDRESS(10,COLUMN(H$9)-1)&amp;":"&amp;ADDRESS(1000,COLUMN(H$9)-1))),
SUMIF(INDIRECT(Equipo!$E$4&amp;"!B10:B1000"),$B44,INDIRECT(Equipo!$E$4&amp;"!"&amp;ADDRESS(10,COLUMN(H$9)-1)&amp;":"&amp;ADDRESS(1000,COLUMN(H$9)-1))),
SUMIF(INDIRECT(Equipo!$F$4&amp;"!B10:B1000"),$B44,INDIRECT(Equipo!$F$4&amp;"!"&amp;ADDRESS(10,COLUMN(H$9)-1)&amp;":"&amp;ADDRESS(1000,COLUMN(H$9)-1))),
SUMIF(INDIRECT(Equipo!$G$4&amp;"!B10:B1000"),$B44,INDIRECT(Equipo!$G$4&amp;"!"&amp;ADDRESS(10,COLUMN(H$9)-1)&amp;":"&amp;ADDRESS(1000,COLUMN(H$9)-1)))))</f>
        <v>0</v>
      </c>
      <c r="I44" s="19">
        <f t="array" ref="I44">IF(ISBLANK(Tareas!$B40),"-",SUM(
SUMIF(INDIRECT(Equipo!$C$4&amp;"!B10:B1000"),$B44,INDIRECT(Equipo!$C$4&amp;"!"&amp;ADDRESS(10,COLUMN(I$9)-1)&amp;":"&amp;ADDRESS(1000,COLUMN(I$9)-1))),
SUMIF(INDIRECT(Equipo!$D$4&amp;"!B10:B1000"),$B44,INDIRECT(Equipo!$D$4&amp;"!"&amp;ADDRESS(10,COLUMN(I$9)-1)&amp;":"&amp;ADDRESS(1000,COLUMN(I$9)-1))),
SUMIF(INDIRECT(Equipo!$E$4&amp;"!B10:B1000"),$B44,INDIRECT(Equipo!$E$4&amp;"!"&amp;ADDRESS(10,COLUMN(I$9)-1)&amp;":"&amp;ADDRESS(1000,COLUMN(I$9)-1))),
SUMIF(INDIRECT(Equipo!$F$4&amp;"!B10:B1000"),$B44,INDIRECT(Equipo!$F$4&amp;"!"&amp;ADDRESS(10,COLUMN(I$9)-1)&amp;":"&amp;ADDRESS(1000,COLUMN(I$9)-1))),
SUMIF(INDIRECT(Equipo!$G$4&amp;"!B10:B1000"),$B44,INDIRECT(Equipo!$G$4&amp;"!"&amp;ADDRESS(10,COLUMN(I$9)-1)&amp;":"&amp;ADDRESS(1000,COLUMN(I$9)-1)))))</f>
        <v>1.5</v>
      </c>
      <c r="J44" s="19">
        <f t="array" ref="J44">IF(ISBLANK(Tareas!$B40),"-",SUM(
SUMIF(INDIRECT(Equipo!$C$4&amp;"!B10:B1000"),$B44,INDIRECT(Equipo!$C$4&amp;"!"&amp;ADDRESS(10,COLUMN(J$9)-1)&amp;":"&amp;ADDRESS(1000,COLUMN(J$9)-1))),
SUMIF(INDIRECT(Equipo!$D$4&amp;"!B10:B1000"),$B44,INDIRECT(Equipo!$D$4&amp;"!"&amp;ADDRESS(10,COLUMN(J$9)-1)&amp;":"&amp;ADDRESS(1000,COLUMN(J$9)-1))),
SUMIF(INDIRECT(Equipo!$E$4&amp;"!B10:B1000"),$B44,INDIRECT(Equipo!$E$4&amp;"!"&amp;ADDRESS(10,COLUMN(J$9)-1)&amp;":"&amp;ADDRESS(1000,COLUMN(J$9)-1))),
SUMIF(INDIRECT(Equipo!$F$4&amp;"!B10:B1000"),$B44,INDIRECT(Equipo!$F$4&amp;"!"&amp;ADDRESS(10,COLUMN(J$9)-1)&amp;":"&amp;ADDRESS(1000,COLUMN(J$9)-1))),
SUMIF(INDIRECT(Equipo!$G$4&amp;"!B10:B1000"),$B44,INDIRECT(Equipo!$G$4&amp;"!"&amp;ADDRESS(10,COLUMN(J$9)-1)&amp;":"&amp;ADDRESS(1000,COLUMN(J$9)-1)))))</f>
        <v>0</v>
      </c>
      <c r="K44" s="19">
        <f t="array" ref="K44">IF(ISBLANK(Tareas!$B40),"-",SUM(
SUMIF(INDIRECT(Equipo!$C$4&amp;"!B10:B1000"),$B44,INDIRECT(Equipo!$C$4&amp;"!"&amp;ADDRESS(10,COLUMN(K$9)-1)&amp;":"&amp;ADDRESS(1000,COLUMN(K$9)-1))),
SUMIF(INDIRECT(Equipo!$D$4&amp;"!B10:B1000"),$B44,INDIRECT(Equipo!$D$4&amp;"!"&amp;ADDRESS(10,COLUMN(K$9)-1)&amp;":"&amp;ADDRESS(1000,COLUMN(K$9)-1))),
SUMIF(INDIRECT(Equipo!$E$4&amp;"!B10:B1000"),$B44,INDIRECT(Equipo!$E$4&amp;"!"&amp;ADDRESS(10,COLUMN(K$9)-1)&amp;":"&amp;ADDRESS(1000,COLUMN(K$9)-1))),
SUMIF(INDIRECT(Equipo!$F$4&amp;"!B10:B1000"),$B44,INDIRECT(Equipo!$F$4&amp;"!"&amp;ADDRESS(10,COLUMN(K$9)-1)&amp;":"&amp;ADDRESS(1000,COLUMN(K$9)-1))),
SUMIF(INDIRECT(Equipo!$G$4&amp;"!B10:B1000"),$B44,INDIRECT(Equipo!$G$4&amp;"!"&amp;ADDRESS(10,COLUMN(K$9)-1)&amp;":"&amp;ADDRESS(1000,COLUMN(K$9)-1)))))</f>
        <v>0</v>
      </c>
    </row>
    <row r="45" ht="15.75" customHeight="1">
      <c r="B45" s="1" t="str">
        <f>IF(ISBLANK(Tareas!B41)," - ",Tareas!B41)</f>
        <v>36. Disposición del diseño en la línea base (GCS)</v>
      </c>
      <c r="D45" s="19">
        <f t="array" ref="D45">IF(ISBLANK(Tareas!$B41),"-",SUM(
SUMIF(INDIRECT(Equipo!$C$4&amp;"!B10:B1000"),$B45,INDIRECT(Equipo!$C$4&amp;"!"&amp;ADDRESS(10,COLUMN(D$9)-1)&amp;":"&amp;ADDRESS(1000,COLUMN(D$9)-1))),
SUMIF(INDIRECT(Equipo!$D$4&amp;"!B10:B1000"),$B45,INDIRECT(Equipo!$D$4&amp;"!"&amp;ADDRESS(10,COLUMN(D$9)-1)&amp;":"&amp;ADDRESS(1000,COLUMN(D$9)-1))),
SUMIF(INDIRECT(Equipo!$E$4&amp;"!B10:B1000"),$B45,INDIRECT(Equipo!$E$4&amp;"!"&amp;ADDRESS(10,COLUMN(D$9)-1)&amp;":"&amp;ADDRESS(1000,COLUMN(D$9)-1))),
SUMIF(INDIRECT(Equipo!$F$4&amp;"!B10:B1000"),$B45,INDIRECT(Equipo!$F$4&amp;"!"&amp;ADDRESS(10,COLUMN(D$9)-1)&amp;":"&amp;ADDRESS(1000,COLUMN(D$9)-1))),
SUMIF(INDIRECT(Equipo!$G$4&amp;"!B10:B1000"),$B45,INDIRECT(Equipo!$G$4&amp;"!"&amp;ADDRESS(10,COLUMN(D$9)-1)&amp;":"&amp;ADDRESS(1000,COLUMN(D$9)-1)))))</f>
        <v>0</v>
      </c>
      <c r="E45" s="19">
        <f t="array" ref="E45">IF(ISBLANK(Tareas!$B41),"-",SUM(
SUMIF(INDIRECT(Equipo!$C$4&amp;"!B10:B1000"),$B45,INDIRECT(Equipo!$C$4&amp;"!"&amp;ADDRESS(10,COLUMN(E$9)-1)&amp;":"&amp;ADDRESS(1000,COLUMN(E$9)-1))),
SUMIF(INDIRECT(Equipo!$D$4&amp;"!B10:B1000"),$B45,INDIRECT(Equipo!$D$4&amp;"!"&amp;ADDRESS(10,COLUMN(E$9)-1)&amp;":"&amp;ADDRESS(1000,COLUMN(E$9)-1))),
SUMIF(INDIRECT(Equipo!$E$4&amp;"!B10:B1000"),$B45,INDIRECT(Equipo!$E$4&amp;"!"&amp;ADDRESS(10,COLUMN(E$9)-1)&amp;":"&amp;ADDRESS(1000,COLUMN(E$9)-1))),
SUMIF(INDIRECT(Equipo!$F$4&amp;"!B10:B1000"),$B45,INDIRECT(Equipo!$F$4&amp;"!"&amp;ADDRESS(10,COLUMN(E$9)-1)&amp;":"&amp;ADDRESS(1000,COLUMN(E$9)-1))),
SUMIF(INDIRECT(Equipo!$G$4&amp;"!B10:B1000"),$B45,INDIRECT(Equipo!$G$4&amp;"!"&amp;ADDRESS(10,COLUMN(E$9)-1)&amp;":"&amp;ADDRESS(1000,COLUMN(E$9)-1)))))</f>
        <v>0</v>
      </c>
      <c r="F45" s="19">
        <f t="array" ref="F45">IF(ISBLANK(Tareas!$B41),"-",SUM(
SUMIF(INDIRECT(Equipo!$C$4&amp;"!B10:B1000"),$B45,INDIRECT(Equipo!$C$4&amp;"!"&amp;ADDRESS(10,COLUMN(F$9)-1)&amp;":"&amp;ADDRESS(1000,COLUMN(F$9)-1))),
SUMIF(INDIRECT(Equipo!$D$4&amp;"!B10:B1000"),$B45,INDIRECT(Equipo!$D$4&amp;"!"&amp;ADDRESS(10,COLUMN(F$9)-1)&amp;":"&amp;ADDRESS(1000,COLUMN(F$9)-1))),
SUMIF(INDIRECT(Equipo!$E$4&amp;"!B10:B1000"),$B45,INDIRECT(Equipo!$E$4&amp;"!"&amp;ADDRESS(10,COLUMN(F$9)-1)&amp;":"&amp;ADDRESS(1000,COLUMN(F$9)-1))),
SUMIF(INDIRECT(Equipo!$F$4&amp;"!B10:B1000"),$B45,INDIRECT(Equipo!$F$4&amp;"!"&amp;ADDRESS(10,COLUMN(F$9)-1)&amp;":"&amp;ADDRESS(1000,COLUMN(F$9)-1))),
SUMIF(INDIRECT(Equipo!$G$4&amp;"!B10:B1000"),$B45,INDIRECT(Equipo!$G$4&amp;"!"&amp;ADDRESS(10,COLUMN(F$9)-1)&amp;":"&amp;ADDRESS(1000,COLUMN(F$9)-1)))))</f>
        <v>0</v>
      </c>
      <c r="G45" s="19">
        <f t="array" ref="G45">IF(ISBLANK(Tareas!$B41),"-",SUM(
SUMIF(INDIRECT(Equipo!$C$4&amp;"!B10:B1000"),$B45,INDIRECT(Equipo!$C$4&amp;"!"&amp;ADDRESS(10,COLUMN(G$9)-1)&amp;":"&amp;ADDRESS(1000,COLUMN(G$9)-1))),
SUMIF(INDIRECT(Equipo!$D$4&amp;"!B10:B1000"),$B45,INDIRECT(Equipo!$D$4&amp;"!"&amp;ADDRESS(10,COLUMN(G$9)-1)&amp;":"&amp;ADDRESS(1000,COLUMN(G$9)-1))),
SUMIF(INDIRECT(Equipo!$E$4&amp;"!B10:B1000"),$B45,INDIRECT(Equipo!$E$4&amp;"!"&amp;ADDRESS(10,COLUMN(G$9)-1)&amp;":"&amp;ADDRESS(1000,COLUMN(G$9)-1))),
SUMIF(INDIRECT(Equipo!$F$4&amp;"!B10:B1000"),$B45,INDIRECT(Equipo!$F$4&amp;"!"&amp;ADDRESS(10,COLUMN(G$9)-1)&amp;":"&amp;ADDRESS(1000,COLUMN(G$9)-1))),
SUMIF(INDIRECT(Equipo!$G$4&amp;"!B10:B1000"),$B45,INDIRECT(Equipo!$G$4&amp;"!"&amp;ADDRESS(10,COLUMN(G$9)-1)&amp;":"&amp;ADDRESS(1000,COLUMN(G$9)-1)))))</f>
        <v>0</v>
      </c>
      <c r="H45" s="19">
        <f t="array" ref="H45">IF(ISBLANK(Tareas!$B41),"-",SUM(
SUMIF(INDIRECT(Equipo!$C$4&amp;"!B10:B1000"),$B45,INDIRECT(Equipo!$C$4&amp;"!"&amp;ADDRESS(10,COLUMN(H$9)-1)&amp;":"&amp;ADDRESS(1000,COLUMN(H$9)-1))),
SUMIF(INDIRECT(Equipo!$D$4&amp;"!B10:B1000"),$B45,INDIRECT(Equipo!$D$4&amp;"!"&amp;ADDRESS(10,COLUMN(H$9)-1)&amp;":"&amp;ADDRESS(1000,COLUMN(H$9)-1))),
SUMIF(INDIRECT(Equipo!$E$4&amp;"!B10:B1000"),$B45,INDIRECT(Equipo!$E$4&amp;"!"&amp;ADDRESS(10,COLUMN(H$9)-1)&amp;":"&amp;ADDRESS(1000,COLUMN(H$9)-1))),
SUMIF(INDIRECT(Equipo!$F$4&amp;"!B10:B1000"),$B45,INDIRECT(Equipo!$F$4&amp;"!"&amp;ADDRESS(10,COLUMN(H$9)-1)&amp;":"&amp;ADDRESS(1000,COLUMN(H$9)-1))),
SUMIF(INDIRECT(Equipo!$G$4&amp;"!B10:B1000"),$B45,INDIRECT(Equipo!$G$4&amp;"!"&amp;ADDRESS(10,COLUMN(H$9)-1)&amp;":"&amp;ADDRESS(1000,COLUMN(H$9)-1)))))</f>
        <v>0</v>
      </c>
      <c r="I45" s="19">
        <f t="array" ref="I45">IF(ISBLANK(Tareas!$B41),"-",SUM(
SUMIF(INDIRECT(Equipo!$C$4&amp;"!B10:B1000"),$B45,INDIRECT(Equipo!$C$4&amp;"!"&amp;ADDRESS(10,COLUMN(I$9)-1)&amp;":"&amp;ADDRESS(1000,COLUMN(I$9)-1))),
SUMIF(INDIRECT(Equipo!$D$4&amp;"!B10:B1000"),$B45,INDIRECT(Equipo!$D$4&amp;"!"&amp;ADDRESS(10,COLUMN(I$9)-1)&amp;":"&amp;ADDRESS(1000,COLUMN(I$9)-1))),
SUMIF(INDIRECT(Equipo!$E$4&amp;"!B10:B1000"),$B45,INDIRECT(Equipo!$E$4&amp;"!"&amp;ADDRESS(10,COLUMN(I$9)-1)&amp;":"&amp;ADDRESS(1000,COLUMN(I$9)-1))),
SUMIF(INDIRECT(Equipo!$F$4&amp;"!B10:B1000"),$B45,INDIRECT(Equipo!$F$4&amp;"!"&amp;ADDRESS(10,COLUMN(I$9)-1)&amp;":"&amp;ADDRESS(1000,COLUMN(I$9)-1))),
SUMIF(INDIRECT(Equipo!$G$4&amp;"!B10:B1000"),$B45,INDIRECT(Equipo!$G$4&amp;"!"&amp;ADDRESS(10,COLUMN(I$9)-1)&amp;":"&amp;ADDRESS(1000,COLUMN(I$9)-1)))))</f>
        <v>0.3</v>
      </c>
      <c r="J45" s="19">
        <f t="array" ref="J45">IF(ISBLANK(Tareas!$B41),"-",SUM(
SUMIF(INDIRECT(Equipo!$C$4&amp;"!B10:B1000"),$B45,INDIRECT(Equipo!$C$4&amp;"!"&amp;ADDRESS(10,COLUMN(J$9)-1)&amp;":"&amp;ADDRESS(1000,COLUMN(J$9)-1))),
SUMIF(INDIRECT(Equipo!$D$4&amp;"!B10:B1000"),$B45,INDIRECT(Equipo!$D$4&amp;"!"&amp;ADDRESS(10,COLUMN(J$9)-1)&amp;":"&amp;ADDRESS(1000,COLUMN(J$9)-1))),
SUMIF(INDIRECT(Equipo!$E$4&amp;"!B10:B1000"),$B45,INDIRECT(Equipo!$E$4&amp;"!"&amp;ADDRESS(10,COLUMN(J$9)-1)&amp;":"&amp;ADDRESS(1000,COLUMN(J$9)-1))),
SUMIF(INDIRECT(Equipo!$F$4&amp;"!B10:B1000"),$B45,INDIRECT(Equipo!$F$4&amp;"!"&amp;ADDRESS(10,COLUMN(J$9)-1)&amp;":"&amp;ADDRESS(1000,COLUMN(J$9)-1))),
SUMIF(INDIRECT(Equipo!$G$4&amp;"!B10:B1000"),$B45,INDIRECT(Equipo!$G$4&amp;"!"&amp;ADDRESS(10,COLUMN(J$9)-1)&amp;":"&amp;ADDRESS(1000,COLUMN(J$9)-1)))))</f>
        <v>0</v>
      </c>
      <c r="K45" s="19">
        <f t="array" ref="K45">IF(ISBLANK(Tareas!$B41),"-",SUM(
SUMIF(INDIRECT(Equipo!$C$4&amp;"!B10:B1000"),$B45,INDIRECT(Equipo!$C$4&amp;"!"&amp;ADDRESS(10,COLUMN(K$9)-1)&amp;":"&amp;ADDRESS(1000,COLUMN(K$9)-1))),
SUMIF(INDIRECT(Equipo!$D$4&amp;"!B10:B1000"),$B45,INDIRECT(Equipo!$D$4&amp;"!"&amp;ADDRESS(10,COLUMN(K$9)-1)&amp;":"&amp;ADDRESS(1000,COLUMN(K$9)-1))),
SUMIF(INDIRECT(Equipo!$E$4&amp;"!B10:B1000"),$B45,INDIRECT(Equipo!$E$4&amp;"!"&amp;ADDRESS(10,COLUMN(K$9)-1)&amp;":"&amp;ADDRESS(1000,COLUMN(K$9)-1))),
SUMIF(INDIRECT(Equipo!$F$4&amp;"!B10:B1000"),$B45,INDIRECT(Equipo!$F$4&amp;"!"&amp;ADDRESS(10,COLUMN(K$9)-1)&amp;":"&amp;ADDRESS(1000,COLUMN(K$9)-1))),
SUMIF(INDIRECT(Equipo!$G$4&amp;"!B10:B1000"),$B45,INDIRECT(Equipo!$G$4&amp;"!"&amp;ADDRESS(10,COLUMN(K$9)-1)&amp;":"&amp;ADDRESS(1000,COLUMN(K$9)-1)))))</f>
        <v>0</v>
      </c>
    </row>
    <row r="46" ht="15.75" customHeight="1">
      <c r="B46" s="1" t="str">
        <f>IF(ISBLANK(Tareas!B42)," - ",Tareas!B42)</f>
        <v>37. Reunión 7</v>
      </c>
      <c r="D46" s="19">
        <f t="array" ref="D46">IF(ISBLANK(Tareas!$B42),"-",SUM(
SUMIF(INDIRECT(Equipo!$C$4&amp;"!B10:B1000"),$B46,INDIRECT(Equipo!$C$4&amp;"!"&amp;ADDRESS(10,COLUMN(D$9)-1)&amp;":"&amp;ADDRESS(1000,COLUMN(D$9)-1))),
SUMIF(INDIRECT(Equipo!$D$4&amp;"!B10:B1000"),$B46,INDIRECT(Equipo!$D$4&amp;"!"&amp;ADDRESS(10,COLUMN(D$9)-1)&amp;":"&amp;ADDRESS(1000,COLUMN(D$9)-1))),
SUMIF(INDIRECT(Equipo!$E$4&amp;"!B10:B1000"),$B46,INDIRECT(Equipo!$E$4&amp;"!"&amp;ADDRESS(10,COLUMN(D$9)-1)&amp;":"&amp;ADDRESS(1000,COLUMN(D$9)-1))),
SUMIF(INDIRECT(Equipo!$F$4&amp;"!B10:B1000"),$B46,INDIRECT(Equipo!$F$4&amp;"!"&amp;ADDRESS(10,COLUMN(D$9)-1)&amp;":"&amp;ADDRESS(1000,COLUMN(D$9)-1))),
SUMIF(INDIRECT(Equipo!$G$4&amp;"!B10:B1000"),$B46,INDIRECT(Equipo!$G$4&amp;"!"&amp;ADDRESS(10,COLUMN(D$9)-1)&amp;":"&amp;ADDRESS(1000,COLUMN(D$9)-1)))))</f>
        <v>0</v>
      </c>
      <c r="E46" s="19">
        <f t="array" ref="E46">IF(ISBLANK(Tareas!$B42),"-",SUM(
SUMIF(INDIRECT(Equipo!$C$4&amp;"!B10:B1000"),$B46,INDIRECT(Equipo!$C$4&amp;"!"&amp;ADDRESS(10,COLUMN(E$9)-1)&amp;":"&amp;ADDRESS(1000,COLUMN(E$9)-1))),
SUMIF(INDIRECT(Equipo!$D$4&amp;"!B10:B1000"),$B46,INDIRECT(Equipo!$D$4&amp;"!"&amp;ADDRESS(10,COLUMN(E$9)-1)&amp;":"&amp;ADDRESS(1000,COLUMN(E$9)-1))),
SUMIF(INDIRECT(Equipo!$E$4&amp;"!B10:B1000"),$B46,INDIRECT(Equipo!$E$4&amp;"!"&amp;ADDRESS(10,COLUMN(E$9)-1)&amp;":"&amp;ADDRESS(1000,COLUMN(E$9)-1))),
SUMIF(INDIRECT(Equipo!$F$4&amp;"!B10:B1000"),$B46,INDIRECT(Equipo!$F$4&amp;"!"&amp;ADDRESS(10,COLUMN(E$9)-1)&amp;":"&amp;ADDRESS(1000,COLUMN(E$9)-1))),
SUMIF(INDIRECT(Equipo!$G$4&amp;"!B10:B1000"),$B46,INDIRECT(Equipo!$G$4&amp;"!"&amp;ADDRESS(10,COLUMN(E$9)-1)&amp;":"&amp;ADDRESS(1000,COLUMN(E$9)-1)))))</f>
        <v>0</v>
      </c>
      <c r="F46" s="19">
        <f t="array" ref="F46">IF(ISBLANK(Tareas!$B42),"-",SUM(
SUMIF(INDIRECT(Equipo!$C$4&amp;"!B10:B1000"),$B46,INDIRECT(Equipo!$C$4&amp;"!"&amp;ADDRESS(10,COLUMN(F$9)-1)&amp;":"&amp;ADDRESS(1000,COLUMN(F$9)-1))),
SUMIF(INDIRECT(Equipo!$D$4&amp;"!B10:B1000"),$B46,INDIRECT(Equipo!$D$4&amp;"!"&amp;ADDRESS(10,COLUMN(F$9)-1)&amp;":"&amp;ADDRESS(1000,COLUMN(F$9)-1))),
SUMIF(INDIRECT(Equipo!$E$4&amp;"!B10:B1000"),$B46,INDIRECT(Equipo!$E$4&amp;"!"&amp;ADDRESS(10,COLUMN(F$9)-1)&amp;":"&amp;ADDRESS(1000,COLUMN(F$9)-1))),
SUMIF(INDIRECT(Equipo!$F$4&amp;"!B10:B1000"),$B46,INDIRECT(Equipo!$F$4&amp;"!"&amp;ADDRESS(10,COLUMN(F$9)-1)&amp;":"&amp;ADDRESS(1000,COLUMN(F$9)-1))),
SUMIF(INDIRECT(Equipo!$G$4&amp;"!B10:B1000"),$B46,INDIRECT(Equipo!$G$4&amp;"!"&amp;ADDRESS(10,COLUMN(F$9)-1)&amp;":"&amp;ADDRESS(1000,COLUMN(F$9)-1)))))</f>
        <v>0</v>
      </c>
      <c r="G46" s="19">
        <f t="array" ref="G46">IF(ISBLANK(Tareas!$B42),"-",SUM(
SUMIF(INDIRECT(Equipo!$C$4&amp;"!B10:B1000"),$B46,INDIRECT(Equipo!$C$4&amp;"!"&amp;ADDRESS(10,COLUMN(G$9)-1)&amp;":"&amp;ADDRESS(1000,COLUMN(G$9)-1))),
SUMIF(INDIRECT(Equipo!$D$4&amp;"!B10:B1000"),$B46,INDIRECT(Equipo!$D$4&amp;"!"&amp;ADDRESS(10,COLUMN(G$9)-1)&amp;":"&amp;ADDRESS(1000,COLUMN(G$9)-1))),
SUMIF(INDIRECT(Equipo!$E$4&amp;"!B10:B1000"),$B46,INDIRECT(Equipo!$E$4&amp;"!"&amp;ADDRESS(10,COLUMN(G$9)-1)&amp;":"&amp;ADDRESS(1000,COLUMN(G$9)-1))),
SUMIF(INDIRECT(Equipo!$F$4&amp;"!B10:B1000"),$B46,INDIRECT(Equipo!$F$4&amp;"!"&amp;ADDRESS(10,COLUMN(G$9)-1)&amp;":"&amp;ADDRESS(1000,COLUMN(G$9)-1))),
SUMIF(INDIRECT(Equipo!$G$4&amp;"!B10:B1000"),$B46,INDIRECT(Equipo!$G$4&amp;"!"&amp;ADDRESS(10,COLUMN(G$9)-1)&amp;":"&amp;ADDRESS(1000,COLUMN(G$9)-1)))))</f>
        <v>0</v>
      </c>
      <c r="H46" s="19">
        <f t="array" ref="H46">IF(ISBLANK(Tareas!$B42),"-",SUM(
SUMIF(INDIRECT(Equipo!$C$4&amp;"!B10:B1000"),$B46,INDIRECT(Equipo!$C$4&amp;"!"&amp;ADDRESS(10,COLUMN(H$9)-1)&amp;":"&amp;ADDRESS(1000,COLUMN(H$9)-1))),
SUMIF(INDIRECT(Equipo!$D$4&amp;"!B10:B1000"),$B46,INDIRECT(Equipo!$D$4&amp;"!"&amp;ADDRESS(10,COLUMN(H$9)-1)&amp;":"&amp;ADDRESS(1000,COLUMN(H$9)-1))),
SUMIF(INDIRECT(Equipo!$E$4&amp;"!B10:B1000"),$B46,INDIRECT(Equipo!$E$4&amp;"!"&amp;ADDRESS(10,COLUMN(H$9)-1)&amp;":"&amp;ADDRESS(1000,COLUMN(H$9)-1))),
SUMIF(INDIRECT(Equipo!$F$4&amp;"!B10:B1000"),$B46,INDIRECT(Equipo!$F$4&amp;"!"&amp;ADDRESS(10,COLUMN(H$9)-1)&amp;":"&amp;ADDRESS(1000,COLUMN(H$9)-1))),
SUMIF(INDIRECT(Equipo!$G$4&amp;"!B10:B1000"),$B46,INDIRECT(Equipo!$G$4&amp;"!"&amp;ADDRESS(10,COLUMN(H$9)-1)&amp;":"&amp;ADDRESS(1000,COLUMN(H$9)-1)))))</f>
        <v>0</v>
      </c>
      <c r="I46" s="19">
        <f t="array" ref="I46">IF(ISBLANK(Tareas!$B42),"-",SUM(
SUMIF(INDIRECT(Equipo!$C$4&amp;"!B10:B1000"),$B46,INDIRECT(Equipo!$C$4&amp;"!"&amp;ADDRESS(10,COLUMN(I$9)-1)&amp;":"&amp;ADDRESS(1000,COLUMN(I$9)-1))),
SUMIF(INDIRECT(Equipo!$D$4&amp;"!B10:B1000"),$B46,INDIRECT(Equipo!$D$4&amp;"!"&amp;ADDRESS(10,COLUMN(I$9)-1)&amp;":"&amp;ADDRESS(1000,COLUMN(I$9)-1))),
SUMIF(INDIRECT(Equipo!$E$4&amp;"!B10:B1000"),$B46,INDIRECT(Equipo!$E$4&amp;"!"&amp;ADDRESS(10,COLUMN(I$9)-1)&amp;":"&amp;ADDRESS(1000,COLUMN(I$9)-1))),
SUMIF(INDIRECT(Equipo!$F$4&amp;"!B10:B1000"),$B46,INDIRECT(Equipo!$F$4&amp;"!"&amp;ADDRESS(10,COLUMN(I$9)-1)&amp;":"&amp;ADDRESS(1000,COLUMN(I$9)-1))),
SUMIF(INDIRECT(Equipo!$G$4&amp;"!B10:B1000"),$B46,INDIRECT(Equipo!$G$4&amp;"!"&amp;ADDRESS(10,COLUMN(I$9)-1)&amp;":"&amp;ADDRESS(1000,COLUMN(I$9)-1)))))</f>
        <v>0</v>
      </c>
      <c r="J46" s="19">
        <f t="array" ref="J46">IF(ISBLANK(Tareas!$B42),"-",SUM(
SUMIF(INDIRECT(Equipo!$C$4&amp;"!B10:B1000"),$B46,INDIRECT(Equipo!$C$4&amp;"!"&amp;ADDRESS(10,COLUMN(J$9)-1)&amp;":"&amp;ADDRESS(1000,COLUMN(J$9)-1))),
SUMIF(INDIRECT(Equipo!$D$4&amp;"!B10:B1000"),$B46,INDIRECT(Equipo!$D$4&amp;"!"&amp;ADDRESS(10,COLUMN(J$9)-1)&amp;":"&amp;ADDRESS(1000,COLUMN(J$9)-1))),
SUMIF(INDIRECT(Equipo!$E$4&amp;"!B10:B1000"),$B46,INDIRECT(Equipo!$E$4&amp;"!"&amp;ADDRESS(10,COLUMN(J$9)-1)&amp;":"&amp;ADDRESS(1000,COLUMN(J$9)-1))),
SUMIF(INDIRECT(Equipo!$F$4&amp;"!B10:B1000"),$B46,INDIRECT(Equipo!$F$4&amp;"!"&amp;ADDRESS(10,COLUMN(J$9)-1)&amp;":"&amp;ADDRESS(1000,COLUMN(J$9)-1))),
SUMIF(INDIRECT(Equipo!$G$4&amp;"!B10:B1000"),$B46,INDIRECT(Equipo!$G$4&amp;"!"&amp;ADDRESS(10,COLUMN(J$9)-1)&amp;":"&amp;ADDRESS(1000,COLUMN(J$9)-1)))))</f>
        <v>2</v>
      </c>
      <c r="K46" s="19">
        <f t="array" ref="K46">IF(ISBLANK(Tareas!$B42),"-",SUM(
SUMIF(INDIRECT(Equipo!$C$4&amp;"!B10:B1000"),$B46,INDIRECT(Equipo!$C$4&amp;"!"&amp;ADDRESS(10,COLUMN(K$9)-1)&amp;":"&amp;ADDRESS(1000,COLUMN(K$9)-1))),
SUMIF(INDIRECT(Equipo!$D$4&amp;"!B10:B1000"),$B46,INDIRECT(Equipo!$D$4&amp;"!"&amp;ADDRESS(10,COLUMN(K$9)-1)&amp;":"&amp;ADDRESS(1000,COLUMN(K$9)-1))),
SUMIF(INDIRECT(Equipo!$E$4&amp;"!B10:B1000"),$B46,INDIRECT(Equipo!$E$4&amp;"!"&amp;ADDRESS(10,COLUMN(K$9)-1)&amp;":"&amp;ADDRESS(1000,COLUMN(K$9)-1))),
SUMIF(INDIRECT(Equipo!$F$4&amp;"!B10:B1000"),$B46,INDIRECT(Equipo!$F$4&amp;"!"&amp;ADDRESS(10,COLUMN(K$9)-1)&amp;":"&amp;ADDRESS(1000,COLUMN(K$9)-1))),
SUMIF(INDIRECT(Equipo!$G$4&amp;"!B10:B1000"),$B46,INDIRECT(Equipo!$G$4&amp;"!"&amp;ADDRESS(10,COLUMN(K$9)-1)&amp;":"&amp;ADDRESS(1000,COLUMN(K$9)-1)))))</f>
        <v>0</v>
      </c>
    </row>
    <row r="47" ht="15.75" customHeight="1">
      <c r="B47" s="1" t="str">
        <f>IF(ISBLANK(Tareas!B43)," - ",Tareas!B43)</f>
        <v>38. Actualización de EVM</v>
      </c>
      <c r="D47" s="19">
        <f t="array" ref="D47">IF(ISBLANK(Tareas!$B43),"-",SUM(
SUMIF(INDIRECT(Equipo!$C$4&amp;"!B10:B1000"),$B47,INDIRECT(Equipo!$C$4&amp;"!"&amp;ADDRESS(10,COLUMN(D$9)-1)&amp;":"&amp;ADDRESS(1000,COLUMN(D$9)-1))),
SUMIF(INDIRECT(Equipo!$D$4&amp;"!B10:B1000"),$B47,INDIRECT(Equipo!$D$4&amp;"!"&amp;ADDRESS(10,COLUMN(D$9)-1)&amp;":"&amp;ADDRESS(1000,COLUMN(D$9)-1))),
SUMIF(INDIRECT(Equipo!$E$4&amp;"!B10:B1000"),$B47,INDIRECT(Equipo!$E$4&amp;"!"&amp;ADDRESS(10,COLUMN(D$9)-1)&amp;":"&amp;ADDRESS(1000,COLUMN(D$9)-1))),
SUMIF(INDIRECT(Equipo!$F$4&amp;"!B10:B1000"),$B47,INDIRECT(Equipo!$F$4&amp;"!"&amp;ADDRESS(10,COLUMN(D$9)-1)&amp;":"&amp;ADDRESS(1000,COLUMN(D$9)-1))),
SUMIF(INDIRECT(Equipo!$G$4&amp;"!B10:B1000"),$B47,INDIRECT(Equipo!$G$4&amp;"!"&amp;ADDRESS(10,COLUMN(D$9)-1)&amp;":"&amp;ADDRESS(1000,COLUMN(D$9)-1)))))</f>
        <v>0</v>
      </c>
      <c r="E47" s="19">
        <f t="array" ref="E47">IF(ISBLANK(Tareas!$B43),"-",SUM(
SUMIF(INDIRECT(Equipo!$C$4&amp;"!B10:B1000"),$B47,INDIRECT(Equipo!$C$4&amp;"!"&amp;ADDRESS(10,COLUMN(E$9)-1)&amp;":"&amp;ADDRESS(1000,COLUMN(E$9)-1))),
SUMIF(INDIRECT(Equipo!$D$4&amp;"!B10:B1000"),$B47,INDIRECT(Equipo!$D$4&amp;"!"&amp;ADDRESS(10,COLUMN(E$9)-1)&amp;":"&amp;ADDRESS(1000,COLUMN(E$9)-1))),
SUMIF(INDIRECT(Equipo!$E$4&amp;"!B10:B1000"),$B47,INDIRECT(Equipo!$E$4&amp;"!"&amp;ADDRESS(10,COLUMN(E$9)-1)&amp;":"&amp;ADDRESS(1000,COLUMN(E$9)-1))),
SUMIF(INDIRECT(Equipo!$F$4&amp;"!B10:B1000"),$B47,INDIRECT(Equipo!$F$4&amp;"!"&amp;ADDRESS(10,COLUMN(E$9)-1)&amp;":"&amp;ADDRESS(1000,COLUMN(E$9)-1))),
SUMIF(INDIRECT(Equipo!$G$4&amp;"!B10:B1000"),$B47,INDIRECT(Equipo!$G$4&amp;"!"&amp;ADDRESS(10,COLUMN(E$9)-1)&amp;":"&amp;ADDRESS(1000,COLUMN(E$9)-1)))))</f>
        <v>0</v>
      </c>
      <c r="F47" s="19">
        <f t="array" ref="F47">IF(ISBLANK(Tareas!$B43),"-",SUM(
SUMIF(INDIRECT(Equipo!$C$4&amp;"!B10:B1000"),$B47,INDIRECT(Equipo!$C$4&amp;"!"&amp;ADDRESS(10,COLUMN(F$9)-1)&amp;":"&amp;ADDRESS(1000,COLUMN(F$9)-1))),
SUMIF(INDIRECT(Equipo!$D$4&amp;"!B10:B1000"),$B47,INDIRECT(Equipo!$D$4&amp;"!"&amp;ADDRESS(10,COLUMN(F$9)-1)&amp;":"&amp;ADDRESS(1000,COLUMN(F$9)-1))),
SUMIF(INDIRECT(Equipo!$E$4&amp;"!B10:B1000"),$B47,INDIRECT(Equipo!$E$4&amp;"!"&amp;ADDRESS(10,COLUMN(F$9)-1)&amp;":"&amp;ADDRESS(1000,COLUMN(F$9)-1))),
SUMIF(INDIRECT(Equipo!$F$4&amp;"!B10:B1000"),$B47,INDIRECT(Equipo!$F$4&amp;"!"&amp;ADDRESS(10,COLUMN(F$9)-1)&amp;":"&amp;ADDRESS(1000,COLUMN(F$9)-1))),
SUMIF(INDIRECT(Equipo!$G$4&amp;"!B10:B1000"),$B47,INDIRECT(Equipo!$G$4&amp;"!"&amp;ADDRESS(10,COLUMN(F$9)-1)&amp;":"&amp;ADDRESS(1000,COLUMN(F$9)-1)))))</f>
        <v>0</v>
      </c>
      <c r="G47" s="19">
        <f t="array" ref="G47">IF(ISBLANK(Tareas!$B43),"-",SUM(
SUMIF(INDIRECT(Equipo!$C$4&amp;"!B10:B1000"),$B47,INDIRECT(Equipo!$C$4&amp;"!"&amp;ADDRESS(10,COLUMN(G$9)-1)&amp;":"&amp;ADDRESS(1000,COLUMN(G$9)-1))),
SUMIF(INDIRECT(Equipo!$D$4&amp;"!B10:B1000"),$B47,INDIRECT(Equipo!$D$4&amp;"!"&amp;ADDRESS(10,COLUMN(G$9)-1)&amp;":"&amp;ADDRESS(1000,COLUMN(G$9)-1))),
SUMIF(INDIRECT(Equipo!$E$4&amp;"!B10:B1000"),$B47,INDIRECT(Equipo!$E$4&amp;"!"&amp;ADDRESS(10,COLUMN(G$9)-1)&amp;":"&amp;ADDRESS(1000,COLUMN(G$9)-1))),
SUMIF(INDIRECT(Equipo!$F$4&amp;"!B10:B1000"),$B47,INDIRECT(Equipo!$F$4&amp;"!"&amp;ADDRESS(10,COLUMN(G$9)-1)&amp;":"&amp;ADDRESS(1000,COLUMN(G$9)-1))),
SUMIF(INDIRECT(Equipo!$G$4&amp;"!B10:B1000"),$B47,INDIRECT(Equipo!$G$4&amp;"!"&amp;ADDRESS(10,COLUMN(G$9)-1)&amp;":"&amp;ADDRESS(1000,COLUMN(G$9)-1)))))</f>
        <v>0</v>
      </c>
      <c r="H47" s="19">
        <f t="array" ref="H47">IF(ISBLANK(Tareas!$B43),"-",SUM(
SUMIF(INDIRECT(Equipo!$C$4&amp;"!B10:B1000"),$B47,INDIRECT(Equipo!$C$4&amp;"!"&amp;ADDRESS(10,COLUMN(H$9)-1)&amp;":"&amp;ADDRESS(1000,COLUMN(H$9)-1))),
SUMIF(INDIRECT(Equipo!$D$4&amp;"!B10:B1000"),$B47,INDIRECT(Equipo!$D$4&amp;"!"&amp;ADDRESS(10,COLUMN(H$9)-1)&amp;":"&amp;ADDRESS(1000,COLUMN(H$9)-1))),
SUMIF(INDIRECT(Equipo!$E$4&amp;"!B10:B1000"),$B47,INDIRECT(Equipo!$E$4&amp;"!"&amp;ADDRESS(10,COLUMN(H$9)-1)&amp;":"&amp;ADDRESS(1000,COLUMN(H$9)-1))),
SUMIF(INDIRECT(Equipo!$F$4&amp;"!B10:B1000"),$B47,INDIRECT(Equipo!$F$4&amp;"!"&amp;ADDRESS(10,COLUMN(H$9)-1)&amp;":"&amp;ADDRESS(1000,COLUMN(H$9)-1))),
SUMIF(INDIRECT(Equipo!$G$4&amp;"!B10:B1000"),$B47,INDIRECT(Equipo!$G$4&amp;"!"&amp;ADDRESS(10,COLUMN(H$9)-1)&amp;":"&amp;ADDRESS(1000,COLUMN(H$9)-1)))))</f>
        <v>0</v>
      </c>
      <c r="I47" s="19">
        <f t="array" ref="I47">IF(ISBLANK(Tareas!$B43),"-",SUM(
SUMIF(INDIRECT(Equipo!$C$4&amp;"!B10:B1000"),$B47,INDIRECT(Equipo!$C$4&amp;"!"&amp;ADDRESS(10,COLUMN(I$9)-1)&amp;":"&amp;ADDRESS(1000,COLUMN(I$9)-1))),
SUMIF(INDIRECT(Equipo!$D$4&amp;"!B10:B1000"),$B47,INDIRECT(Equipo!$D$4&amp;"!"&amp;ADDRESS(10,COLUMN(I$9)-1)&amp;":"&amp;ADDRESS(1000,COLUMN(I$9)-1))),
SUMIF(INDIRECT(Equipo!$E$4&amp;"!B10:B1000"),$B47,INDIRECT(Equipo!$E$4&amp;"!"&amp;ADDRESS(10,COLUMN(I$9)-1)&amp;":"&amp;ADDRESS(1000,COLUMN(I$9)-1))),
SUMIF(INDIRECT(Equipo!$F$4&amp;"!B10:B1000"),$B47,INDIRECT(Equipo!$F$4&amp;"!"&amp;ADDRESS(10,COLUMN(I$9)-1)&amp;":"&amp;ADDRESS(1000,COLUMN(I$9)-1))),
SUMIF(INDIRECT(Equipo!$G$4&amp;"!B10:B1000"),$B47,INDIRECT(Equipo!$G$4&amp;"!"&amp;ADDRESS(10,COLUMN(I$9)-1)&amp;":"&amp;ADDRESS(1000,COLUMN(I$9)-1)))))</f>
        <v>0</v>
      </c>
      <c r="J47" s="19">
        <f t="array" ref="J47">IF(ISBLANK(Tareas!$B43),"-",SUM(
SUMIF(INDIRECT(Equipo!$C$4&amp;"!B10:B1000"),$B47,INDIRECT(Equipo!$C$4&amp;"!"&amp;ADDRESS(10,COLUMN(J$9)-1)&amp;":"&amp;ADDRESS(1000,COLUMN(J$9)-1))),
SUMIF(INDIRECT(Equipo!$D$4&amp;"!B10:B1000"),$B47,INDIRECT(Equipo!$D$4&amp;"!"&amp;ADDRESS(10,COLUMN(J$9)-1)&amp;":"&amp;ADDRESS(1000,COLUMN(J$9)-1))),
SUMIF(INDIRECT(Equipo!$E$4&amp;"!B10:B1000"),$B47,INDIRECT(Equipo!$E$4&amp;"!"&amp;ADDRESS(10,COLUMN(J$9)-1)&amp;":"&amp;ADDRESS(1000,COLUMN(J$9)-1))),
SUMIF(INDIRECT(Equipo!$F$4&amp;"!B10:B1000"),$B47,INDIRECT(Equipo!$F$4&amp;"!"&amp;ADDRESS(10,COLUMN(J$9)-1)&amp;":"&amp;ADDRESS(1000,COLUMN(J$9)-1))),
SUMIF(INDIRECT(Equipo!$G$4&amp;"!B10:B1000"),$B47,INDIRECT(Equipo!$G$4&amp;"!"&amp;ADDRESS(10,COLUMN(J$9)-1)&amp;":"&amp;ADDRESS(1000,COLUMN(J$9)-1)))))</f>
        <v>0.5</v>
      </c>
      <c r="K47" s="19">
        <f t="array" ref="K47">IF(ISBLANK(Tareas!$B43),"-",SUM(
SUMIF(INDIRECT(Equipo!$C$4&amp;"!B10:B1000"),$B47,INDIRECT(Equipo!$C$4&amp;"!"&amp;ADDRESS(10,COLUMN(K$9)-1)&amp;":"&amp;ADDRESS(1000,COLUMN(K$9)-1))),
SUMIF(INDIRECT(Equipo!$D$4&amp;"!B10:B1000"),$B47,INDIRECT(Equipo!$D$4&amp;"!"&amp;ADDRESS(10,COLUMN(K$9)-1)&amp;":"&amp;ADDRESS(1000,COLUMN(K$9)-1))),
SUMIF(INDIRECT(Equipo!$E$4&amp;"!B10:B1000"),$B47,INDIRECT(Equipo!$E$4&amp;"!"&amp;ADDRESS(10,COLUMN(K$9)-1)&amp;":"&amp;ADDRESS(1000,COLUMN(K$9)-1))),
SUMIF(INDIRECT(Equipo!$F$4&amp;"!B10:B1000"),$B47,INDIRECT(Equipo!$F$4&amp;"!"&amp;ADDRESS(10,COLUMN(K$9)-1)&amp;":"&amp;ADDRESS(1000,COLUMN(K$9)-1))),
SUMIF(INDIRECT(Equipo!$G$4&amp;"!B10:B1000"),$B47,INDIRECT(Equipo!$G$4&amp;"!"&amp;ADDRESS(10,COLUMN(K$9)-1)&amp;":"&amp;ADDRESS(1000,COLUMN(K$9)-1)))))</f>
        <v>0</v>
      </c>
    </row>
    <row r="48" ht="15.75" customHeight="1">
      <c r="B48" s="1" t="str">
        <f>IF(ISBLANK(Tareas!B44)," - ",Tareas!B44)</f>
        <v>39. Revisión de las incidencias detectadas</v>
      </c>
      <c r="D48" s="19">
        <f t="array" ref="D48">IF(ISBLANK(Tareas!$B44),"-",SUM(
SUMIF(INDIRECT(Equipo!$C$4&amp;"!B10:B1000"),$B48,INDIRECT(Equipo!$C$4&amp;"!"&amp;ADDRESS(10,COLUMN(D$9)-1)&amp;":"&amp;ADDRESS(1000,COLUMN(D$9)-1))),
SUMIF(INDIRECT(Equipo!$D$4&amp;"!B10:B1000"),$B48,INDIRECT(Equipo!$D$4&amp;"!"&amp;ADDRESS(10,COLUMN(D$9)-1)&amp;":"&amp;ADDRESS(1000,COLUMN(D$9)-1))),
SUMIF(INDIRECT(Equipo!$E$4&amp;"!B10:B1000"),$B48,INDIRECT(Equipo!$E$4&amp;"!"&amp;ADDRESS(10,COLUMN(D$9)-1)&amp;":"&amp;ADDRESS(1000,COLUMN(D$9)-1))),
SUMIF(INDIRECT(Equipo!$F$4&amp;"!B10:B1000"),$B48,INDIRECT(Equipo!$F$4&amp;"!"&amp;ADDRESS(10,COLUMN(D$9)-1)&amp;":"&amp;ADDRESS(1000,COLUMN(D$9)-1))),
SUMIF(INDIRECT(Equipo!$G$4&amp;"!B10:B1000"),$B48,INDIRECT(Equipo!$G$4&amp;"!"&amp;ADDRESS(10,COLUMN(D$9)-1)&amp;":"&amp;ADDRESS(1000,COLUMN(D$9)-1)))))</f>
        <v>0</v>
      </c>
      <c r="E48" s="19">
        <f t="array" ref="E48">IF(ISBLANK(Tareas!$B44),"-",SUM(
SUMIF(INDIRECT(Equipo!$C$4&amp;"!B10:B1000"),$B48,INDIRECT(Equipo!$C$4&amp;"!"&amp;ADDRESS(10,COLUMN(E$9)-1)&amp;":"&amp;ADDRESS(1000,COLUMN(E$9)-1))),
SUMIF(INDIRECT(Equipo!$D$4&amp;"!B10:B1000"),$B48,INDIRECT(Equipo!$D$4&amp;"!"&amp;ADDRESS(10,COLUMN(E$9)-1)&amp;":"&amp;ADDRESS(1000,COLUMN(E$9)-1))),
SUMIF(INDIRECT(Equipo!$E$4&amp;"!B10:B1000"),$B48,INDIRECT(Equipo!$E$4&amp;"!"&amp;ADDRESS(10,COLUMN(E$9)-1)&amp;":"&amp;ADDRESS(1000,COLUMN(E$9)-1))),
SUMIF(INDIRECT(Equipo!$F$4&amp;"!B10:B1000"),$B48,INDIRECT(Equipo!$F$4&amp;"!"&amp;ADDRESS(10,COLUMN(E$9)-1)&amp;":"&amp;ADDRESS(1000,COLUMN(E$9)-1))),
SUMIF(INDIRECT(Equipo!$G$4&amp;"!B10:B1000"),$B48,INDIRECT(Equipo!$G$4&amp;"!"&amp;ADDRESS(10,COLUMN(E$9)-1)&amp;":"&amp;ADDRESS(1000,COLUMN(E$9)-1)))))</f>
        <v>0</v>
      </c>
      <c r="F48" s="19">
        <f t="array" ref="F48">IF(ISBLANK(Tareas!$B44),"-",SUM(
SUMIF(INDIRECT(Equipo!$C$4&amp;"!B10:B1000"),$B48,INDIRECT(Equipo!$C$4&amp;"!"&amp;ADDRESS(10,COLUMN(F$9)-1)&amp;":"&amp;ADDRESS(1000,COLUMN(F$9)-1))),
SUMIF(INDIRECT(Equipo!$D$4&amp;"!B10:B1000"),$B48,INDIRECT(Equipo!$D$4&amp;"!"&amp;ADDRESS(10,COLUMN(F$9)-1)&amp;":"&amp;ADDRESS(1000,COLUMN(F$9)-1))),
SUMIF(INDIRECT(Equipo!$E$4&amp;"!B10:B1000"),$B48,INDIRECT(Equipo!$E$4&amp;"!"&amp;ADDRESS(10,COLUMN(F$9)-1)&amp;":"&amp;ADDRESS(1000,COLUMN(F$9)-1))),
SUMIF(INDIRECT(Equipo!$F$4&amp;"!B10:B1000"),$B48,INDIRECT(Equipo!$F$4&amp;"!"&amp;ADDRESS(10,COLUMN(F$9)-1)&amp;":"&amp;ADDRESS(1000,COLUMN(F$9)-1))),
SUMIF(INDIRECT(Equipo!$G$4&amp;"!B10:B1000"),$B48,INDIRECT(Equipo!$G$4&amp;"!"&amp;ADDRESS(10,COLUMN(F$9)-1)&amp;":"&amp;ADDRESS(1000,COLUMN(F$9)-1)))))</f>
        <v>0</v>
      </c>
      <c r="G48" s="19">
        <f t="array" ref="G48">IF(ISBLANK(Tareas!$B44),"-",SUM(
SUMIF(INDIRECT(Equipo!$C$4&amp;"!B10:B1000"),$B48,INDIRECT(Equipo!$C$4&amp;"!"&amp;ADDRESS(10,COLUMN(G$9)-1)&amp;":"&amp;ADDRESS(1000,COLUMN(G$9)-1))),
SUMIF(INDIRECT(Equipo!$D$4&amp;"!B10:B1000"),$B48,INDIRECT(Equipo!$D$4&amp;"!"&amp;ADDRESS(10,COLUMN(G$9)-1)&amp;":"&amp;ADDRESS(1000,COLUMN(G$9)-1))),
SUMIF(INDIRECT(Equipo!$E$4&amp;"!B10:B1000"),$B48,INDIRECT(Equipo!$E$4&amp;"!"&amp;ADDRESS(10,COLUMN(G$9)-1)&amp;":"&amp;ADDRESS(1000,COLUMN(G$9)-1))),
SUMIF(INDIRECT(Equipo!$F$4&amp;"!B10:B1000"),$B48,INDIRECT(Equipo!$F$4&amp;"!"&amp;ADDRESS(10,COLUMN(G$9)-1)&amp;":"&amp;ADDRESS(1000,COLUMN(G$9)-1))),
SUMIF(INDIRECT(Equipo!$G$4&amp;"!B10:B1000"),$B48,INDIRECT(Equipo!$G$4&amp;"!"&amp;ADDRESS(10,COLUMN(G$9)-1)&amp;":"&amp;ADDRESS(1000,COLUMN(G$9)-1)))))</f>
        <v>0</v>
      </c>
      <c r="H48" s="19">
        <f t="array" ref="H48">IF(ISBLANK(Tareas!$B44),"-",SUM(
SUMIF(INDIRECT(Equipo!$C$4&amp;"!B10:B1000"),$B48,INDIRECT(Equipo!$C$4&amp;"!"&amp;ADDRESS(10,COLUMN(H$9)-1)&amp;":"&amp;ADDRESS(1000,COLUMN(H$9)-1))),
SUMIF(INDIRECT(Equipo!$D$4&amp;"!B10:B1000"),$B48,INDIRECT(Equipo!$D$4&amp;"!"&amp;ADDRESS(10,COLUMN(H$9)-1)&amp;":"&amp;ADDRESS(1000,COLUMN(H$9)-1))),
SUMIF(INDIRECT(Equipo!$E$4&amp;"!B10:B1000"),$B48,INDIRECT(Equipo!$E$4&amp;"!"&amp;ADDRESS(10,COLUMN(H$9)-1)&amp;":"&amp;ADDRESS(1000,COLUMN(H$9)-1))),
SUMIF(INDIRECT(Equipo!$F$4&amp;"!B10:B1000"),$B48,INDIRECT(Equipo!$F$4&amp;"!"&amp;ADDRESS(10,COLUMN(H$9)-1)&amp;":"&amp;ADDRESS(1000,COLUMN(H$9)-1))),
SUMIF(INDIRECT(Equipo!$G$4&amp;"!B10:B1000"),$B48,INDIRECT(Equipo!$G$4&amp;"!"&amp;ADDRESS(10,COLUMN(H$9)-1)&amp;":"&amp;ADDRESS(1000,COLUMN(H$9)-1)))))</f>
        <v>0</v>
      </c>
      <c r="I48" s="19">
        <f t="array" ref="I48">IF(ISBLANK(Tareas!$B44),"-",SUM(
SUMIF(INDIRECT(Equipo!$C$4&amp;"!B10:B1000"),$B48,INDIRECT(Equipo!$C$4&amp;"!"&amp;ADDRESS(10,COLUMN(I$9)-1)&amp;":"&amp;ADDRESS(1000,COLUMN(I$9)-1))),
SUMIF(INDIRECT(Equipo!$D$4&amp;"!B10:B1000"),$B48,INDIRECT(Equipo!$D$4&amp;"!"&amp;ADDRESS(10,COLUMN(I$9)-1)&amp;":"&amp;ADDRESS(1000,COLUMN(I$9)-1))),
SUMIF(INDIRECT(Equipo!$E$4&amp;"!B10:B1000"),$B48,INDIRECT(Equipo!$E$4&amp;"!"&amp;ADDRESS(10,COLUMN(I$9)-1)&amp;":"&amp;ADDRESS(1000,COLUMN(I$9)-1))),
SUMIF(INDIRECT(Equipo!$F$4&amp;"!B10:B1000"),$B48,INDIRECT(Equipo!$F$4&amp;"!"&amp;ADDRESS(10,COLUMN(I$9)-1)&amp;":"&amp;ADDRESS(1000,COLUMN(I$9)-1))),
SUMIF(INDIRECT(Equipo!$G$4&amp;"!B10:B1000"),$B48,INDIRECT(Equipo!$G$4&amp;"!"&amp;ADDRESS(10,COLUMN(I$9)-1)&amp;":"&amp;ADDRESS(1000,COLUMN(I$9)-1)))))</f>
        <v>0</v>
      </c>
      <c r="J48" s="19">
        <f t="array" ref="J48">IF(ISBLANK(Tareas!$B44),"-",SUM(
SUMIF(INDIRECT(Equipo!$C$4&amp;"!B10:B1000"),$B48,INDIRECT(Equipo!$C$4&amp;"!"&amp;ADDRESS(10,COLUMN(J$9)-1)&amp;":"&amp;ADDRESS(1000,COLUMN(J$9)-1))),
SUMIF(INDIRECT(Equipo!$D$4&amp;"!B10:B1000"),$B48,INDIRECT(Equipo!$D$4&amp;"!"&amp;ADDRESS(10,COLUMN(J$9)-1)&amp;":"&amp;ADDRESS(1000,COLUMN(J$9)-1))),
SUMIF(INDIRECT(Equipo!$E$4&amp;"!B10:B1000"),$B48,INDIRECT(Equipo!$E$4&amp;"!"&amp;ADDRESS(10,COLUMN(J$9)-1)&amp;":"&amp;ADDRESS(1000,COLUMN(J$9)-1))),
SUMIF(INDIRECT(Equipo!$F$4&amp;"!B10:B1000"),$B48,INDIRECT(Equipo!$F$4&amp;"!"&amp;ADDRESS(10,COLUMN(J$9)-1)&amp;":"&amp;ADDRESS(1000,COLUMN(J$9)-1))),
SUMIF(INDIRECT(Equipo!$G$4&amp;"!B10:B1000"),$B48,INDIRECT(Equipo!$G$4&amp;"!"&amp;ADDRESS(10,COLUMN(J$9)-1)&amp;":"&amp;ADDRESS(1000,COLUMN(J$9)-1)))))</f>
        <v>1.5</v>
      </c>
      <c r="K48" s="19">
        <f t="array" ref="K48">IF(ISBLANK(Tareas!$B44),"-",SUM(
SUMIF(INDIRECT(Equipo!$C$4&amp;"!B10:B1000"),$B48,INDIRECT(Equipo!$C$4&amp;"!"&amp;ADDRESS(10,COLUMN(K$9)-1)&amp;":"&amp;ADDRESS(1000,COLUMN(K$9)-1))),
SUMIF(INDIRECT(Equipo!$D$4&amp;"!B10:B1000"),$B48,INDIRECT(Equipo!$D$4&amp;"!"&amp;ADDRESS(10,COLUMN(K$9)-1)&amp;":"&amp;ADDRESS(1000,COLUMN(K$9)-1))),
SUMIF(INDIRECT(Equipo!$E$4&amp;"!B10:B1000"),$B48,INDIRECT(Equipo!$E$4&amp;"!"&amp;ADDRESS(10,COLUMN(K$9)-1)&amp;":"&amp;ADDRESS(1000,COLUMN(K$9)-1))),
SUMIF(INDIRECT(Equipo!$F$4&amp;"!B10:B1000"),$B48,INDIRECT(Equipo!$F$4&amp;"!"&amp;ADDRESS(10,COLUMN(K$9)-1)&amp;":"&amp;ADDRESS(1000,COLUMN(K$9)-1))),
SUMIF(INDIRECT(Equipo!$G$4&amp;"!B10:B1000"),$B48,INDIRECT(Equipo!$G$4&amp;"!"&amp;ADDRESS(10,COLUMN(K$9)-1)&amp;":"&amp;ADDRESS(1000,COLUMN(K$9)-1)))))</f>
        <v>0</v>
      </c>
    </row>
    <row r="49" ht="15.75" customHeight="1">
      <c r="B49" s="1" t="str">
        <f>IF(ISBLANK(Tareas!B45)," - ",Tareas!B45)</f>
        <v>40. Implementación de la gestión de degustaciones</v>
      </c>
      <c r="D49" s="19">
        <f t="array" ref="D49">IF(ISBLANK(Tareas!$B45),"-",SUM(
SUMIF(INDIRECT(Equipo!$C$4&amp;"!B10:B1000"),$B49,INDIRECT(Equipo!$C$4&amp;"!"&amp;ADDRESS(10,COLUMN(D$9)-1)&amp;":"&amp;ADDRESS(1000,COLUMN(D$9)-1))),
SUMIF(INDIRECT(Equipo!$D$4&amp;"!B10:B1000"),$B49,INDIRECT(Equipo!$D$4&amp;"!"&amp;ADDRESS(10,COLUMN(D$9)-1)&amp;":"&amp;ADDRESS(1000,COLUMN(D$9)-1))),
SUMIF(INDIRECT(Equipo!$E$4&amp;"!B10:B1000"),$B49,INDIRECT(Equipo!$E$4&amp;"!"&amp;ADDRESS(10,COLUMN(D$9)-1)&amp;":"&amp;ADDRESS(1000,COLUMN(D$9)-1))),
SUMIF(INDIRECT(Equipo!$F$4&amp;"!B10:B1000"),$B49,INDIRECT(Equipo!$F$4&amp;"!"&amp;ADDRESS(10,COLUMN(D$9)-1)&amp;":"&amp;ADDRESS(1000,COLUMN(D$9)-1))),
SUMIF(INDIRECT(Equipo!$G$4&amp;"!B10:B1000"),$B49,INDIRECT(Equipo!$G$4&amp;"!"&amp;ADDRESS(10,COLUMN(D$9)-1)&amp;":"&amp;ADDRESS(1000,COLUMN(D$9)-1)))))</f>
        <v>0</v>
      </c>
      <c r="E49" s="19">
        <f t="array" ref="E49">IF(ISBLANK(Tareas!$B45),"-",SUM(
SUMIF(INDIRECT(Equipo!$C$4&amp;"!B10:B1000"),$B49,INDIRECT(Equipo!$C$4&amp;"!"&amp;ADDRESS(10,COLUMN(E$9)-1)&amp;":"&amp;ADDRESS(1000,COLUMN(E$9)-1))),
SUMIF(INDIRECT(Equipo!$D$4&amp;"!B10:B1000"),$B49,INDIRECT(Equipo!$D$4&amp;"!"&amp;ADDRESS(10,COLUMN(E$9)-1)&amp;":"&amp;ADDRESS(1000,COLUMN(E$9)-1))),
SUMIF(INDIRECT(Equipo!$E$4&amp;"!B10:B1000"),$B49,INDIRECT(Equipo!$E$4&amp;"!"&amp;ADDRESS(10,COLUMN(E$9)-1)&amp;":"&amp;ADDRESS(1000,COLUMN(E$9)-1))),
SUMIF(INDIRECT(Equipo!$F$4&amp;"!B10:B1000"),$B49,INDIRECT(Equipo!$F$4&amp;"!"&amp;ADDRESS(10,COLUMN(E$9)-1)&amp;":"&amp;ADDRESS(1000,COLUMN(E$9)-1))),
SUMIF(INDIRECT(Equipo!$G$4&amp;"!B10:B1000"),$B49,INDIRECT(Equipo!$G$4&amp;"!"&amp;ADDRESS(10,COLUMN(E$9)-1)&amp;":"&amp;ADDRESS(1000,COLUMN(E$9)-1)))))</f>
        <v>0</v>
      </c>
      <c r="F49" s="19">
        <f t="array" ref="F49">IF(ISBLANK(Tareas!$B45),"-",SUM(
SUMIF(INDIRECT(Equipo!$C$4&amp;"!B10:B1000"),$B49,INDIRECT(Equipo!$C$4&amp;"!"&amp;ADDRESS(10,COLUMN(F$9)-1)&amp;":"&amp;ADDRESS(1000,COLUMN(F$9)-1))),
SUMIF(INDIRECT(Equipo!$D$4&amp;"!B10:B1000"),$B49,INDIRECT(Equipo!$D$4&amp;"!"&amp;ADDRESS(10,COLUMN(F$9)-1)&amp;":"&amp;ADDRESS(1000,COLUMN(F$9)-1))),
SUMIF(INDIRECT(Equipo!$E$4&amp;"!B10:B1000"),$B49,INDIRECT(Equipo!$E$4&amp;"!"&amp;ADDRESS(10,COLUMN(F$9)-1)&amp;":"&amp;ADDRESS(1000,COLUMN(F$9)-1))),
SUMIF(INDIRECT(Equipo!$F$4&amp;"!B10:B1000"),$B49,INDIRECT(Equipo!$F$4&amp;"!"&amp;ADDRESS(10,COLUMN(F$9)-1)&amp;":"&amp;ADDRESS(1000,COLUMN(F$9)-1))),
SUMIF(INDIRECT(Equipo!$G$4&amp;"!B10:B1000"),$B49,INDIRECT(Equipo!$G$4&amp;"!"&amp;ADDRESS(10,COLUMN(F$9)-1)&amp;":"&amp;ADDRESS(1000,COLUMN(F$9)-1)))))</f>
        <v>0</v>
      </c>
      <c r="G49" s="19">
        <f t="array" ref="G49">IF(ISBLANK(Tareas!$B45),"-",SUM(
SUMIF(INDIRECT(Equipo!$C$4&amp;"!B10:B1000"),$B49,INDIRECT(Equipo!$C$4&amp;"!"&amp;ADDRESS(10,COLUMN(G$9)-1)&amp;":"&amp;ADDRESS(1000,COLUMN(G$9)-1))),
SUMIF(INDIRECT(Equipo!$D$4&amp;"!B10:B1000"),$B49,INDIRECT(Equipo!$D$4&amp;"!"&amp;ADDRESS(10,COLUMN(G$9)-1)&amp;":"&amp;ADDRESS(1000,COLUMN(G$9)-1))),
SUMIF(INDIRECT(Equipo!$E$4&amp;"!B10:B1000"),$B49,INDIRECT(Equipo!$E$4&amp;"!"&amp;ADDRESS(10,COLUMN(G$9)-1)&amp;":"&amp;ADDRESS(1000,COLUMN(G$9)-1))),
SUMIF(INDIRECT(Equipo!$F$4&amp;"!B10:B1000"),$B49,INDIRECT(Equipo!$F$4&amp;"!"&amp;ADDRESS(10,COLUMN(G$9)-1)&amp;":"&amp;ADDRESS(1000,COLUMN(G$9)-1))),
SUMIF(INDIRECT(Equipo!$G$4&amp;"!B10:B1000"),$B49,INDIRECT(Equipo!$G$4&amp;"!"&amp;ADDRESS(10,COLUMN(G$9)-1)&amp;":"&amp;ADDRESS(1000,COLUMN(G$9)-1)))))</f>
        <v>0</v>
      </c>
      <c r="H49" s="19">
        <f t="array" ref="H49">IF(ISBLANK(Tareas!$B45),"-",SUM(
SUMIF(INDIRECT(Equipo!$C$4&amp;"!B10:B1000"),$B49,INDIRECT(Equipo!$C$4&amp;"!"&amp;ADDRESS(10,COLUMN(H$9)-1)&amp;":"&amp;ADDRESS(1000,COLUMN(H$9)-1))),
SUMIF(INDIRECT(Equipo!$D$4&amp;"!B10:B1000"),$B49,INDIRECT(Equipo!$D$4&amp;"!"&amp;ADDRESS(10,COLUMN(H$9)-1)&amp;":"&amp;ADDRESS(1000,COLUMN(H$9)-1))),
SUMIF(INDIRECT(Equipo!$E$4&amp;"!B10:B1000"),$B49,INDIRECT(Equipo!$E$4&amp;"!"&amp;ADDRESS(10,COLUMN(H$9)-1)&amp;":"&amp;ADDRESS(1000,COLUMN(H$9)-1))),
SUMIF(INDIRECT(Equipo!$F$4&amp;"!B10:B1000"),$B49,INDIRECT(Equipo!$F$4&amp;"!"&amp;ADDRESS(10,COLUMN(H$9)-1)&amp;":"&amp;ADDRESS(1000,COLUMN(H$9)-1))),
SUMIF(INDIRECT(Equipo!$G$4&amp;"!B10:B1000"),$B49,INDIRECT(Equipo!$G$4&amp;"!"&amp;ADDRESS(10,COLUMN(H$9)-1)&amp;":"&amp;ADDRESS(1000,COLUMN(H$9)-1)))))</f>
        <v>0</v>
      </c>
      <c r="I49" s="19">
        <f t="array" ref="I49">IF(ISBLANK(Tareas!$B45),"-",SUM(
SUMIF(INDIRECT(Equipo!$C$4&amp;"!B10:B1000"),$B49,INDIRECT(Equipo!$C$4&amp;"!"&amp;ADDRESS(10,COLUMN(I$9)-1)&amp;":"&amp;ADDRESS(1000,COLUMN(I$9)-1))),
SUMIF(INDIRECT(Equipo!$D$4&amp;"!B10:B1000"),$B49,INDIRECT(Equipo!$D$4&amp;"!"&amp;ADDRESS(10,COLUMN(I$9)-1)&amp;":"&amp;ADDRESS(1000,COLUMN(I$9)-1))),
SUMIF(INDIRECT(Equipo!$E$4&amp;"!B10:B1000"),$B49,INDIRECT(Equipo!$E$4&amp;"!"&amp;ADDRESS(10,COLUMN(I$9)-1)&amp;":"&amp;ADDRESS(1000,COLUMN(I$9)-1))),
SUMIF(INDIRECT(Equipo!$F$4&amp;"!B10:B1000"),$B49,INDIRECT(Equipo!$F$4&amp;"!"&amp;ADDRESS(10,COLUMN(I$9)-1)&amp;":"&amp;ADDRESS(1000,COLUMN(I$9)-1))),
SUMIF(INDIRECT(Equipo!$G$4&amp;"!B10:B1000"),$B49,INDIRECT(Equipo!$G$4&amp;"!"&amp;ADDRESS(10,COLUMN(I$9)-1)&amp;":"&amp;ADDRESS(1000,COLUMN(I$9)-1)))))</f>
        <v>0</v>
      </c>
      <c r="J49" s="19">
        <f t="array" ref="J49">IF(ISBLANK(Tareas!$B45),"-",SUM(
SUMIF(INDIRECT(Equipo!$C$4&amp;"!B10:B1000"),$B49,INDIRECT(Equipo!$C$4&amp;"!"&amp;ADDRESS(10,COLUMN(J$9)-1)&amp;":"&amp;ADDRESS(1000,COLUMN(J$9)-1))),
SUMIF(INDIRECT(Equipo!$D$4&amp;"!B10:B1000"),$B49,INDIRECT(Equipo!$D$4&amp;"!"&amp;ADDRESS(10,COLUMN(J$9)-1)&amp;":"&amp;ADDRESS(1000,COLUMN(J$9)-1))),
SUMIF(INDIRECT(Equipo!$E$4&amp;"!B10:B1000"),$B49,INDIRECT(Equipo!$E$4&amp;"!"&amp;ADDRESS(10,COLUMN(J$9)-1)&amp;":"&amp;ADDRESS(1000,COLUMN(J$9)-1))),
SUMIF(INDIRECT(Equipo!$F$4&amp;"!B10:B1000"),$B49,INDIRECT(Equipo!$F$4&amp;"!"&amp;ADDRESS(10,COLUMN(J$9)-1)&amp;":"&amp;ADDRESS(1000,COLUMN(J$9)-1))),
SUMIF(INDIRECT(Equipo!$G$4&amp;"!B10:B1000"),$B49,INDIRECT(Equipo!$G$4&amp;"!"&amp;ADDRESS(10,COLUMN(J$9)-1)&amp;":"&amp;ADDRESS(1000,COLUMN(J$9)-1)))))</f>
        <v>2</v>
      </c>
      <c r="K49" s="19">
        <f t="array" ref="K49">IF(ISBLANK(Tareas!$B45),"-",SUM(
SUMIF(INDIRECT(Equipo!$C$4&amp;"!B10:B1000"),$B49,INDIRECT(Equipo!$C$4&amp;"!"&amp;ADDRESS(10,COLUMN(K$9)-1)&amp;":"&amp;ADDRESS(1000,COLUMN(K$9)-1))),
SUMIF(INDIRECT(Equipo!$D$4&amp;"!B10:B1000"),$B49,INDIRECT(Equipo!$D$4&amp;"!"&amp;ADDRESS(10,COLUMN(K$9)-1)&amp;":"&amp;ADDRESS(1000,COLUMN(K$9)-1))),
SUMIF(INDIRECT(Equipo!$E$4&amp;"!B10:B1000"),$B49,INDIRECT(Equipo!$E$4&amp;"!"&amp;ADDRESS(10,COLUMN(K$9)-1)&amp;":"&amp;ADDRESS(1000,COLUMN(K$9)-1))),
SUMIF(INDIRECT(Equipo!$F$4&amp;"!B10:B1000"),$B49,INDIRECT(Equipo!$F$4&amp;"!"&amp;ADDRESS(10,COLUMN(K$9)-1)&amp;":"&amp;ADDRESS(1000,COLUMN(K$9)-1))),
SUMIF(INDIRECT(Equipo!$G$4&amp;"!B10:B1000"),$B49,INDIRECT(Equipo!$G$4&amp;"!"&amp;ADDRESS(10,COLUMN(K$9)-1)&amp;":"&amp;ADDRESS(1000,COLUMN(K$9)-1)))))</f>
        <v>0</v>
      </c>
    </row>
    <row r="50" ht="15.75" customHeight="1">
      <c r="B50" s="1" t="str">
        <f>IF(ISBLANK(Tareas!B46)," - ",Tareas!B46)</f>
        <v>41. Implementación de la pantalla principal (feed y menú)</v>
      </c>
      <c r="D50" s="19">
        <f t="array" ref="D50">IF(ISBLANK(Tareas!$B46),"-",SUM(
SUMIF(INDIRECT(Equipo!$C$4&amp;"!B10:B1000"),$B50,INDIRECT(Equipo!$C$4&amp;"!"&amp;ADDRESS(10,COLUMN(D$9)-1)&amp;":"&amp;ADDRESS(1000,COLUMN(D$9)-1))),
SUMIF(INDIRECT(Equipo!$D$4&amp;"!B10:B1000"),$B50,INDIRECT(Equipo!$D$4&amp;"!"&amp;ADDRESS(10,COLUMN(D$9)-1)&amp;":"&amp;ADDRESS(1000,COLUMN(D$9)-1))),
SUMIF(INDIRECT(Equipo!$E$4&amp;"!B10:B1000"),$B50,INDIRECT(Equipo!$E$4&amp;"!"&amp;ADDRESS(10,COLUMN(D$9)-1)&amp;":"&amp;ADDRESS(1000,COLUMN(D$9)-1))),
SUMIF(INDIRECT(Equipo!$F$4&amp;"!B10:B1000"),$B50,INDIRECT(Equipo!$F$4&amp;"!"&amp;ADDRESS(10,COLUMN(D$9)-1)&amp;":"&amp;ADDRESS(1000,COLUMN(D$9)-1))),
SUMIF(INDIRECT(Equipo!$G$4&amp;"!B10:B1000"),$B50,INDIRECT(Equipo!$G$4&amp;"!"&amp;ADDRESS(10,COLUMN(D$9)-1)&amp;":"&amp;ADDRESS(1000,COLUMN(D$9)-1)))))</f>
        <v>0</v>
      </c>
      <c r="E50" s="19">
        <f t="array" ref="E50">IF(ISBLANK(Tareas!$B46),"-",SUM(
SUMIF(INDIRECT(Equipo!$C$4&amp;"!B10:B1000"),$B50,INDIRECT(Equipo!$C$4&amp;"!"&amp;ADDRESS(10,COLUMN(E$9)-1)&amp;":"&amp;ADDRESS(1000,COLUMN(E$9)-1))),
SUMIF(INDIRECT(Equipo!$D$4&amp;"!B10:B1000"),$B50,INDIRECT(Equipo!$D$4&amp;"!"&amp;ADDRESS(10,COLUMN(E$9)-1)&amp;":"&amp;ADDRESS(1000,COLUMN(E$9)-1))),
SUMIF(INDIRECT(Equipo!$E$4&amp;"!B10:B1000"),$B50,INDIRECT(Equipo!$E$4&amp;"!"&amp;ADDRESS(10,COLUMN(E$9)-1)&amp;":"&amp;ADDRESS(1000,COLUMN(E$9)-1))),
SUMIF(INDIRECT(Equipo!$F$4&amp;"!B10:B1000"),$B50,INDIRECT(Equipo!$F$4&amp;"!"&amp;ADDRESS(10,COLUMN(E$9)-1)&amp;":"&amp;ADDRESS(1000,COLUMN(E$9)-1))),
SUMIF(INDIRECT(Equipo!$G$4&amp;"!B10:B1000"),$B50,INDIRECT(Equipo!$G$4&amp;"!"&amp;ADDRESS(10,COLUMN(E$9)-1)&amp;":"&amp;ADDRESS(1000,COLUMN(E$9)-1)))))</f>
        <v>0</v>
      </c>
      <c r="F50" s="19">
        <f t="array" ref="F50">IF(ISBLANK(Tareas!$B46),"-",SUM(
SUMIF(INDIRECT(Equipo!$C$4&amp;"!B10:B1000"),$B50,INDIRECT(Equipo!$C$4&amp;"!"&amp;ADDRESS(10,COLUMN(F$9)-1)&amp;":"&amp;ADDRESS(1000,COLUMN(F$9)-1))),
SUMIF(INDIRECT(Equipo!$D$4&amp;"!B10:B1000"),$B50,INDIRECT(Equipo!$D$4&amp;"!"&amp;ADDRESS(10,COLUMN(F$9)-1)&amp;":"&amp;ADDRESS(1000,COLUMN(F$9)-1))),
SUMIF(INDIRECT(Equipo!$E$4&amp;"!B10:B1000"),$B50,INDIRECT(Equipo!$E$4&amp;"!"&amp;ADDRESS(10,COLUMN(F$9)-1)&amp;":"&amp;ADDRESS(1000,COLUMN(F$9)-1))),
SUMIF(INDIRECT(Equipo!$F$4&amp;"!B10:B1000"),$B50,INDIRECT(Equipo!$F$4&amp;"!"&amp;ADDRESS(10,COLUMN(F$9)-1)&amp;":"&amp;ADDRESS(1000,COLUMN(F$9)-1))),
SUMIF(INDIRECT(Equipo!$G$4&amp;"!B10:B1000"),$B50,INDIRECT(Equipo!$G$4&amp;"!"&amp;ADDRESS(10,COLUMN(F$9)-1)&amp;":"&amp;ADDRESS(1000,COLUMN(F$9)-1)))))</f>
        <v>0</v>
      </c>
      <c r="G50" s="19">
        <f t="array" ref="G50">IF(ISBLANK(Tareas!$B46),"-",SUM(
SUMIF(INDIRECT(Equipo!$C$4&amp;"!B10:B1000"),$B50,INDIRECT(Equipo!$C$4&amp;"!"&amp;ADDRESS(10,COLUMN(G$9)-1)&amp;":"&amp;ADDRESS(1000,COLUMN(G$9)-1))),
SUMIF(INDIRECT(Equipo!$D$4&amp;"!B10:B1000"),$B50,INDIRECT(Equipo!$D$4&amp;"!"&amp;ADDRESS(10,COLUMN(G$9)-1)&amp;":"&amp;ADDRESS(1000,COLUMN(G$9)-1))),
SUMIF(INDIRECT(Equipo!$E$4&amp;"!B10:B1000"),$B50,INDIRECT(Equipo!$E$4&amp;"!"&amp;ADDRESS(10,COLUMN(G$9)-1)&amp;":"&amp;ADDRESS(1000,COLUMN(G$9)-1))),
SUMIF(INDIRECT(Equipo!$F$4&amp;"!B10:B1000"),$B50,INDIRECT(Equipo!$F$4&amp;"!"&amp;ADDRESS(10,COLUMN(G$9)-1)&amp;":"&amp;ADDRESS(1000,COLUMN(G$9)-1))),
SUMIF(INDIRECT(Equipo!$G$4&amp;"!B10:B1000"),$B50,INDIRECT(Equipo!$G$4&amp;"!"&amp;ADDRESS(10,COLUMN(G$9)-1)&amp;":"&amp;ADDRESS(1000,COLUMN(G$9)-1)))))</f>
        <v>0</v>
      </c>
      <c r="H50" s="19">
        <f t="array" ref="H50">IF(ISBLANK(Tareas!$B46),"-",SUM(
SUMIF(INDIRECT(Equipo!$C$4&amp;"!B10:B1000"),$B50,INDIRECT(Equipo!$C$4&amp;"!"&amp;ADDRESS(10,COLUMN(H$9)-1)&amp;":"&amp;ADDRESS(1000,COLUMN(H$9)-1))),
SUMIF(INDIRECT(Equipo!$D$4&amp;"!B10:B1000"),$B50,INDIRECT(Equipo!$D$4&amp;"!"&amp;ADDRESS(10,COLUMN(H$9)-1)&amp;":"&amp;ADDRESS(1000,COLUMN(H$9)-1))),
SUMIF(INDIRECT(Equipo!$E$4&amp;"!B10:B1000"),$B50,INDIRECT(Equipo!$E$4&amp;"!"&amp;ADDRESS(10,COLUMN(H$9)-1)&amp;":"&amp;ADDRESS(1000,COLUMN(H$9)-1))),
SUMIF(INDIRECT(Equipo!$F$4&amp;"!B10:B1000"),$B50,INDIRECT(Equipo!$F$4&amp;"!"&amp;ADDRESS(10,COLUMN(H$9)-1)&amp;":"&amp;ADDRESS(1000,COLUMN(H$9)-1))),
SUMIF(INDIRECT(Equipo!$G$4&amp;"!B10:B1000"),$B50,INDIRECT(Equipo!$G$4&amp;"!"&amp;ADDRESS(10,COLUMN(H$9)-1)&amp;":"&amp;ADDRESS(1000,COLUMN(H$9)-1)))))</f>
        <v>0</v>
      </c>
      <c r="I50" s="19">
        <f t="array" ref="I50">IF(ISBLANK(Tareas!$B46),"-",SUM(
SUMIF(INDIRECT(Equipo!$C$4&amp;"!B10:B1000"),$B50,INDIRECT(Equipo!$C$4&amp;"!"&amp;ADDRESS(10,COLUMN(I$9)-1)&amp;":"&amp;ADDRESS(1000,COLUMN(I$9)-1))),
SUMIF(INDIRECT(Equipo!$D$4&amp;"!B10:B1000"),$B50,INDIRECT(Equipo!$D$4&amp;"!"&amp;ADDRESS(10,COLUMN(I$9)-1)&amp;":"&amp;ADDRESS(1000,COLUMN(I$9)-1))),
SUMIF(INDIRECT(Equipo!$E$4&amp;"!B10:B1000"),$B50,INDIRECT(Equipo!$E$4&amp;"!"&amp;ADDRESS(10,COLUMN(I$9)-1)&amp;":"&amp;ADDRESS(1000,COLUMN(I$9)-1))),
SUMIF(INDIRECT(Equipo!$F$4&amp;"!B10:B1000"),$B50,INDIRECT(Equipo!$F$4&amp;"!"&amp;ADDRESS(10,COLUMN(I$9)-1)&amp;":"&amp;ADDRESS(1000,COLUMN(I$9)-1))),
SUMIF(INDIRECT(Equipo!$G$4&amp;"!B10:B1000"),$B50,INDIRECT(Equipo!$G$4&amp;"!"&amp;ADDRESS(10,COLUMN(I$9)-1)&amp;":"&amp;ADDRESS(1000,COLUMN(I$9)-1)))))</f>
        <v>0</v>
      </c>
      <c r="J50" s="19">
        <f t="array" ref="J50">IF(ISBLANK(Tareas!$B46),"-",SUM(
SUMIF(INDIRECT(Equipo!$C$4&amp;"!B10:B1000"),$B50,INDIRECT(Equipo!$C$4&amp;"!"&amp;ADDRESS(10,COLUMN(J$9)-1)&amp;":"&amp;ADDRESS(1000,COLUMN(J$9)-1))),
SUMIF(INDIRECT(Equipo!$D$4&amp;"!B10:B1000"),$B50,INDIRECT(Equipo!$D$4&amp;"!"&amp;ADDRESS(10,COLUMN(J$9)-1)&amp;":"&amp;ADDRESS(1000,COLUMN(J$9)-1))),
SUMIF(INDIRECT(Equipo!$E$4&amp;"!B10:B1000"),$B50,INDIRECT(Equipo!$E$4&amp;"!"&amp;ADDRESS(10,COLUMN(J$9)-1)&amp;":"&amp;ADDRESS(1000,COLUMN(J$9)-1))),
SUMIF(INDIRECT(Equipo!$F$4&amp;"!B10:B1000"),$B50,INDIRECT(Equipo!$F$4&amp;"!"&amp;ADDRESS(10,COLUMN(J$9)-1)&amp;":"&amp;ADDRESS(1000,COLUMN(J$9)-1))),
SUMIF(INDIRECT(Equipo!$G$4&amp;"!B10:B1000"),$B50,INDIRECT(Equipo!$G$4&amp;"!"&amp;ADDRESS(10,COLUMN(J$9)-1)&amp;":"&amp;ADDRESS(1000,COLUMN(J$9)-1)))))</f>
        <v>2</v>
      </c>
      <c r="K50" s="19">
        <f t="array" ref="K50">IF(ISBLANK(Tareas!$B46),"-",SUM(
SUMIF(INDIRECT(Equipo!$C$4&amp;"!B10:B1000"),$B50,INDIRECT(Equipo!$C$4&amp;"!"&amp;ADDRESS(10,COLUMN(K$9)-1)&amp;":"&amp;ADDRESS(1000,COLUMN(K$9)-1))),
SUMIF(INDIRECT(Equipo!$D$4&amp;"!B10:B1000"),$B50,INDIRECT(Equipo!$D$4&amp;"!"&amp;ADDRESS(10,COLUMN(K$9)-1)&amp;":"&amp;ADDRESS(1000,COLUMN(K$9)-1))),
SUMIF(INDIRECT(Equipo!$E$4&amp;"!B10:B1000"),$B50,INDIRECT(Equipo!$E$4&amp;"!"&amp;ADDRESS(10,COLUMN(K$9)-1)&amp;":"&amp;ADDRESS(1000,COLUMN(K$9)-1))),
SUMIF(INDIRECT(Equipo!$F$4&amp;"!B10:B1000"),$B50,INDIRECT(Equipo!$F$4&amp;"!"&amp;ADDRESS(10,COLUMN(K$9)-1)&amp;":"&amp;ADDRESS(1000,COLUMN(K$9)-1))),
SUMIF(INDIRECT(Equipo!$G$4&amp;"!B10:B1000"),$B50,INDIRECT(Equipo!$G$4&amp;"!"&amp;ADDRESS(10,COLUMN(K$9)-1)&amp;":"&amp;ADDRESS(1000,COLUMN(K$9)-1)))))</f>
        <v>0</v>
      </c>
    </row>
    <row r="51" ht="15.75" customHeight="1">
      <c r="B51" s="1" t="str">
        <f>IF(ISBLANK(Tareas!B47)," - ",Tareas!B47)</f>
        <v>42. Integración del prototipo UI</v>
      </c>
      <c r="D51" s="19">
        <f t="array" ref="D51">IF(ISBLANK(Tareas!$B47),"-",SUM(
SUMIF(INDIRECT(Equipo!$C$4&amp;"!B10:B1000"),$B51,INDIRECT(Equipo!$C$4&amp;"!"&amp;ADDRESS(10,COLUMN(D$9)-1)&amp;":"&amp;ADDRESS(1000,COLUMN(D$9)-1))),
SUMIF(INDIRECT(Equipo!$D$4&amp;"!B10:B1000"),$B51,INDIRECT(Equipo!$D$4&amp;"!"&amp;ADDRESS(10,COLUMN(D$9)-1)&amp;":"&amp;ADDRESS(1000,COLUMN(D$9)-1))),
SUMIF(INDIRECT(Equipo!$E$4&amp;"!B10:B1000"),$B51,INDIRECT(Equipo!$E$4&amp;"!"&amp;ADDRESS(10,COLUMN(D$9)-1)&amp;":"&amp;ADDRESS(1000,COLUMN(D$9)-1))),
SUMIF(INDIRECT(Equipo!$F$4&amp;"!B10:B1000"),$B51,INDIRECT(Equipo!$F$4&amp;"!"&amp;ADDRESS(10,COLUMN(D$9)-1)&amp;":"&amp;ADDRESS(1000,COLUMN(D$9)-1))),
SUMIF(INDIRECT(Equipo!$G$4&amp;"!B10:B1000"),$B51,INDIRECT(Equipo!$G$4&amp;"!"&amp;ADDRESS(10,COLUMN(D$9)-1)&amp;":"&amp;ADDRESS(1000,COLUMN(D$9)-1)))))</f>
        <v>0</v>
      </c>
      <c r="E51" s="19">
        <f t="array" ref="E51">IF(ISBLANK(Tareas!$B47),"-",SUM(
SUMIF(INDIRECT(Equipo!$C$4&amp;"!B10:B1000"),$B51,INDIRECT(Equipo!$C$4&amp;"!"&amp;ADDRESS(10,COLUMN(E$9)-1)&amp;":"&amp;ADDRESS(1000,COLUMN(E$9)-1))),
SUMIF(INDIRECT(Equipo!$D$4&amp;"!B10:B1000"),$B51,INDIRECT(Equipo!$D$4&amp;"!"&amp;ADDRESS(10,COLUMN(E$9)-1)&amp;":"&amp;ADDRESS(1000,COLUMN(E$9)-1))),
SUMIF(INDIRECT(Equipo!$E$4&amp;"!B10:B1000"),$B51,INDIRECT(Equipo!$E$4&amp;"!"&amp;ADDRESS(10,COLUMN(E$9)-1)&amp;":"&amp;ADDRESS(1000,COLUMN(E$9)-1))),
SUMIF(INDIRECT(Equipo!$F$4&amp;"!B10:B1000"),$B51,INDIRECT(Equipo!$F$4&amp;"!"&amp;ADDRESS(10,COLUMN(E$9)-1)&amp;":"&amp;ADDRESS(1000,COLUMN(E$9)-1))),
SUMIF(INDIRECT(Equipo!$G$4&amp;"!B10:B1000"),$B51,INDIRECT(Equipo!$G$4&amp;"!"&amp;ADDRESS(10,COLUMN(E$9)-1)&amp;":"&amp;ADDRESS(1000,COLUMN(E$9)-1)))))</f>
        <v>0</v>
      </c>
      <c r="F51" s="19">
        <f t="array" ref="F51">IF(ISBLANK(Tareas!$B47),"-",SUM(
SUMIF(INDIRECT(Equipo!$C$4&amp;"!B10:B1000"),$B51,INDIRECT(Equipo!$C$4&amp;"!"&amp;ADDRESS(10,COLUMN(F$9)-1)&amp;":"&amp;ADDRESS(1000,COLUMN(F$9)-1))),
SUMIF(INDIRECT(Equipo!$D$4&amp;"!B10:B1000"),$B51,INDIRECT(Equipo!$D$4&amp;"!"&amp;ADDRESS(10,COLUMN(F$9)-1)&amp;":"&amp;ADDRESS(1000,COLUMN(F$9)-1))),
SUMIF(INDIRECT(Equipo!$E$4&amp;"!B10:B1000"),$B51,INDIRECT(Equipo!$E$4&amp;"!"&amp;ADDRESS(10,COLUMN(F$9)-1)&amp;":"&amp;ADDRESS(1000,COLUMN(F$9)-1))),
SUMIF(INDIRECT(Equipo!$F$4&amp;"!B10:B1000"),$B51,INDIRECT(Equipo!$F$4&amp;"!"&amp;ADDRESS(10,COLUMN(F$9)-1)&amp;":"&amp;ADDRESS(1000,COLUMN(F$9)-1))),
SUMIF(INDIRECT(Equipo!$G$4&amp;"!B10:B1000"),$B51,INDIRECT(Equipo!$G$4&amp;"!"&amp;ADDRESS(10,COLUMN(F$9)-1)&amp;":"&amp;ADDRESS(1000,COLUMN(F$9)-1)))))</f>
        <v>0</v>
      </c>
      <c r="G51" s="19">
        <f t="array" ref="G51">IF(ISBLANK(Tareas!$B47),"-",SUM(
SUMIF(INDIRECT(Equipo!$C$4&amp;"!B10:B1000"),$B51,INDIRECT(Equipo!$C$4&amp;"!"&amp;ADDRESS(10,COLUMN(G$9)-1)&amp;":"&amp;ADDRESS(1000,COLUMN(G$9)-1))),
SUMIF(INDIRECT(Equipo!$D$4&amp;"!B10:B1000"),$B51,INDIRECT(Equipo!$D$4&amp;"!"&amp;ADDRESS(10,COLUMN(G$9)-1)&amp;":"&amp;ADDRESS(1000,COLUMN(G$9)-1))),
SUMIF(INDIRECT(Equipo!$E$4&amp;"!B10:B1000"),$B51,INDIRECT(Equipo!$E$4&amp;"!"&amp;ADDRESS(10,COLUMN(G$9)-1)&amp;":"&amp;ADDRESS(1000,COLUMN(G$9)-1))),
SUMIF(INDIRECT(Equipo!$F$4&amp;"!B10:B1000"),$B51,INDIRECT(Equipo!$F$4&amp;"!"&amp;ADDRESS(10,COLUMN(G$9)-1)&amp;":"&amp;ADDRESS(1000,COLUMN(G$9)-1))),
SUMIF(INDIRECT(Equipo!$G$4&amp;"!B10:B1000"),$B51,INDIRECT(Equipo!$G$4&amp;"!"&amp;ADDRESS(10,COLUMN(G$9)-1)&amp;":"&amp;ADDRESS(1000,COLUMN(G$9)-1)))))</f>
        <v>0</v>
      </c>
      <c r="H51" s="19">
        <f t="array" ref="H51">IF(ISBLANK(Tareas!$B47),"-",SUM(
SUMIF(INDIRECT(Equipo!$C$4&amp;"!B10:B1000"),$B51,INDIRECT(Equipo!$C$4&amp;"!"&amp;ADDRESS(10,COLUMN(H$9)-1)&amp;":"&amp;ADDRESS(1000,COLUMN(H$9)-1))),
SUMIF(INDIRECT(Equipo!$D$4&amp;"!B10:B1000"),$B51,INDIRECT(Equipo!$D$4&amp;"!"&amp;ADDRESS(10,COLUMN(H$9)-1)&amp;":"&amp;ADDRESS(1000,COLUMN(H$9)-1))),
SUMIF(INDIRECT(Equipo!$E$4&amp;"!B10:B1000"),$B51,INDIRECT(Equipo!$E$4&amp;"!"&amp;ADDRESS(10,COLUMN(H$9)-1)&amp;":"&amp;ADDRESS(1000,COLUMN(H$9)-1))),
SUMIF(INDIRECT(Equipo!$F$4&amp;"!B10:B1000"),$B51,INDIRECT(Equipo!$F$4&amp;"!"&amp;ADDRESS(10,COLUMN(H$9)-1)&amp;":"&amp;ADDRESS(1000,COLUMN(H$9)-1))),
SUMIF(INDIRECT(Equipo!$G$4&amp;"!B10:B1000"),$B51,INDIRECT(Equipo!$G$4&amp;"!"&amp;ADDRESS(10,COLUMN(H$9)-1)&amp;":"&amp;ADDRESS(1000,COLUMN(H$9)-1)))))</f>
        <v>0</v>
      </c>
      <c r="I51" s="19">
        <f t="array" ref="I51">IF(ISBLANK(Tareas!$B47),"-",SUM(
SUMIF(INDIRECT(Equipo!$C$4&amp;"!B10:B1000"),$B51,INDIRECT(Equipo!$C$4&amp;"!"&amp;ADDRESS(10,COLUMN(I$9)-1)&amp;":"&amp;ADDRESS(1000,COLUMN(I$9)-1))),
SUMIF(INDIRECT(Equipo!$D$4&amp;"!B10:B1000"),$B51,INDIRECT(Equipo!$D$4&amp;"!"&amp;ADDRESS(10,COLUMN(I$9)-1)&amp;":"&amp;ADDRESS(1000,COLUMN(I$9)-1))),
SUMIF(INDIRECT(Equipo!$E$4&amp;"!B10:B1000"),$B51,INDIRECT(Equipo!$E$4&amp;"!"&amp;ADDRESS(10,COLUMN(I$9)-1)&amp;":"&amp;ADDRESS(1000,COLUMN(I$9)-1))),
SUMIF(INDIRECT(Equipo!$F$4&amp;"!B10:B1000"),$B51,INDIRECT(Equipo!$F$4&amp;"!"&amp;ADDRESS(10,COLUMN(I$9)-1)&amp;":"&amp;ADDRESS(1000,COLUMN(I$9)-1))),
SUMIF(INDIRECT(Equipo!$G$4&amp;"!B10:B1000"),$B51,INDIRECT(Equipo!$G$4&amp;"!"&amp;ADDRESS(10,COLUMN(I$9)-1)&amp;":"&amp;ADDRESS(1000,COLUMN(I$9)-1)))))</f>
        <v>0</v>
      </c>
      <c r="J51" s="19">
        <f t="array" ref="J51">IF(ISBLANK(Tareas!$B47),"-",SUM(
SUMIF(INDIRECT(Equipo!$C$4&amp;"!B10:B1000"),$B51,INDIRECT(Equipo!$C$4&amp;"!"&amp;ADDRESS(10,COLUMN(J$9)-1)&amp;":"&amp;ADDRESS(1000,COLUMN(J$9)-1))),
SUMIF(INDIRECT(Equipo!$D$4&amp;"!B10:B1000"),$B51,INDIRECT(Equipo!$D$4&amp;"!"&amp;ADDRESS(10,COLUMN(J$9)-1)&amp;":"&amp;ADDRESS(1000,COLUMN(J$9)-1))),
SUMIF(INDIRECT(Equipo!$E$4&amp;"!B10:B1000"),$B51,INDIRECT(Equipo!$E$4&amp;"!"&amp;ADDRESS(10,COLUMN(J$9)-1)&amp;":"&amp;ADDRESS(1000,COLUMN(J$9)-1))),
SUMIF(INDIRECT(Equipo!$F$4&amp;"!B10:B1000"),$B51,INDIRECT(Equipo!$F$4&amp;"!"&amp;ADDRESS(10,COLUMN(J$9)-1)&amp;":"&amp;ADDRESS(1000,COLUMN(J$9)-1))),
SUMIF(INDIRECT(Equipo!$G$4&amp;"!B10:B1000"),$B51,INDIRECT(Equipo!$G$4&amp;"!"&amp;ADDRESS(10,COLUMN(J$9)-1)&amp;":"&amp;ADDRESS(1000,COLUMN(J$9)-1)))))</f>
        <v>2</v>
      </c>
      <c r="K51" s="19">
        <f t="array" ref="K51">IF(ISBLANK(Tareas!$B47),"-",SUM(
SUMIF(INDIRECT(Equipo!$C$4&amp;"!B10:B1000"),$B51,INDIRECT(Equipo!$C$4&amp;"!"&amp;ADDRESS(10,COLUMN(K$9)-1)&amp;":"&amp;ADDRESS(1000,COLUMN(K$9)-1))),
SUMIF(INDIRECT(Equipo!$D$4&amp;"!B10:B1000"),$B51,INDIRECT(Equipo!$D$4&amp;"!"&amp;ADDRESS(10,COLUMN(K$9)-1)&amp;":"&amp;ADDRESS(1000,COLUMN(K$9)-1))),
SUMIF(INDIRECT(Equipo!$E$4&amp;"!B10:B1000"),$B51,INDIRECT(Equipo!$E$4&amp;"!"&amp;ADDRESS(10,COLUMN(K$9)-1)&amp;":"&amp;ADDRESS(1000,COLUMN(K$9)-1))),
SUMIF(INDIRECT(Equipo!$F$4&amp;"!B10:B1000"),$B51,INDIRECT(Equipo!$F$4&amp;"!"&amp;ADDRESS(10,COLUMN(K$9)-1)&amp;":"&amp;ADDRESS(1000,COLUMN(K$9)-1))),
SUMIF(INDIRECT(Equipo!$G$4&amp;"!B10:B1000"),$B51,INDIRECT(Equipo!$G$4&amp;"!"&amp;ADDRESS(10,COLUMN(K$9)-1)&amp;":"&amp;ADDRESS(1000,COLUMN(K$9)-1)))))</f>
        <v>0</v>
      </c>
    </row>
    <row r="52" ht="15.75" customHeight="1">
      <c r="B52" s="1" t="str">
        <f>IF(ISBLANK(Tareas!B48)," - ",Tareas!B48)</f>
        <v>43. Definición de los casos de prueba</v>
      </c>
      <c r="D52" s="19">
        <f t="array" ref="D52">IF(ISBLANK(Tareas!$B48),"-",SUM(
SUMIF(INDIRECT(Equipo!$C$4&amp;"!B10:B1000"),$B52,INDIRECT(Equipo!$C$4&amp;"!"&amp;ADDRESS(10,COLUMN(D$9)-1)&amp;":"&amp;ADDRESS(1000,COLUMN(D$9)-1))),
SUMIF(INDIRECT(Equipo!$D$4&amp;"!B10:B1000"),$B52,INDIRECT(Equipo!$D$4&amp;"!"&amp;ADDRESS(10,COLUMN(D$9)-1)&amp;":"&amp;ADDRESS(1000,COLUMN(D$9)-1))),
SUMIF(INDIRECT(Equipo!$E$4&amp;"!B10:B1000"),$B52,INDIRECT(Equipo!$E$4&amp;"!"&amp;ADDRESS(10,COLUMN(D$9)-1)&amp;":"&amp;ADDRESS(1000,COLUMN(D$9)-1))),
SUMIF(INDIRECT(Equipo!$F$4&amp;"!B10:B1000"),$B52,INDIRECT(Equipo!$F$4&amp;"!"&amp;ADDRESS(10,COLUMN(D$9)-1)&amp;":"&amp;ADDRESS(1000,COLUMN(D$9)-1))),
SUMIF(INDIRECT(Equipo!$G$4&amp;"!B10:B1000"),$B52,INDIRECT(Equipo!$G$4&amp;"!"&amp;ADDRESS(10,COLUMN(D$9)-1)&amp;":"&amp;ADDRESS(1000,COLUMN(D$9)-1)))))</f>
        <v>0</v>
      </c>
      <c r="E52" s="19">
        <f t="array" ref="E52">IF(ISBLANK(Tareas!$B48),"-",SUM(
SUMIF(INDIRECT(Equipo!$C$4&amp;"!B10:B1000"),$B52,INDIRECT(Equipo!$C$4&amp;"!"&amp;ADDRESS(10,COLUMN(E$9)-1)&amp;":"&amp;ADDRESS(1000,COLUMN(E$9)-1))),
SUMIF(INDIRECT(Equipo!$D$4&amp;"!B10:B1000"),$B52,INDIRECT(Equipo!$D$4&amp;"!"&amp;ADDRESS(10,COLUMN(E$9)-1)&amp;":"&amp;ADDRESS(1000,COLUMN(E$9)-1))),
SUMIF(INDIRECT(Equipo!$E$4&amp;"!B10:B1000"),$B52,INDIRECT(Equipo!$E$4&amp;"!"&amp;ADDRESS(10,COLUMN(E$9)-1)&amp;":"&amp;ADDRESS(1000,COLUMN(E$9)-1))),
SUMIF(INDIRECT(Equipo!$F$4&amp;"!B10:B1000"),$B52,INDIRECT(Equipo!$F$4&amp;"!"&amp;ADDRESS(10,COLUMN(E$9)-1)&amp;":"&amp;ADDRESS(1000,COLUMN(E$9)-1))),
SUMIF(INDIRECT(Equipo!$G$4&amp;"!B10:B1000"),$B52,INDIRECT(Equipo!$G$4&amp;"!"&amp;ADDRESS(10,COLUMN(E$9)-1)&amp;":"&amp;ADDRESS(1000,COLUMN(E$9)-1)))))</f>
        <v>0</v>
      </c>
      <c r="F52" s="19">
        <f t="array" ref="F52">IF(ISBLANK(Tareas!$B48),"-",SUM(
SUMIF(INDIRECT(Equipo!$C$4&amp;"!B10:B1000"),$B52,INDIRECT(Equipo!$C$4&amp;"!"&amp;ADDRESS(10,COLUMN(F$9)-1)&amp;":"&amp;ADDRESS(1000,COLUMN(F$9)-1))),
SUMIF(INDIRECT(Equipo!$D$4&amp;"!B10:B1000"),$B52,INDIRECT(Equipo!$D$4&amp;"!"&amp;ADDRESS(10,COLUMN(F$9)-1)&amp;":"&amp;ADDRESS(1000,COLUMN(F$9)-1))),
SUMIF(INDIRECT(Equipo!$E$4&amp;"!B10:B1000"),$B52,INDIRECT(Equipo!$E$4&amp;"!"&amp;ADDRESS(10,COLUMN(F$9)-1)&amp;":"&amp;ADDRESS(1000,COLUMN(F$9)-1))),
SUMIF(INDIRECT(Equipo!$F$4&amp;"!B10:B1000"),$B52,INDIRECT(Equipo!$F$4&amp;"!"&amp;ADDRESS(10,COLUMN(F$9)-1)&amp;":"&amp;ADDRESS(1000,COLUMN(F$9)-1))),
SUMIF(INDIRECT(Equipo!$G$4&amp;"!B10:B1000"),$B52,INDIRECT(Equipo!$G$4&amp;"!"&amp;ADDRESS(10,COLUMN(F$9)-1)&amp;":"&amp;ADDRESS(1000,COLUMN(F$9)-1)))))</f>
        <v>0</v>
      </c>
      <c r="G52" s="19">
        <f t="array" ref="G52">IF(ISBLANK(Tareas!$B48),"-",SUM(
SUMIF(INDIRECT(Equipo!$C$4&amp;"!B10:B1000"),$B52,INDIRECT(Equipo!$C$4&amp;"!"&amp;ADDRESS(10,COLUMN(G$9)-1)&amp;":"&amp;ADDRESS(1000,COLUMN(G$9)-1))),
SUMIF(INDIRECT(Equipo!$D$4&amp;"!B10:B1000"),$B52,INDIRECT(Equipo!$D$4&amp;"!"&amp;ADDRESS(10,COLUMN(G$9)-1)&amp;":"&amp;ADDRESS(1000,COLUMN(G$9)-1))),
SUMIF(INDIRECT(Equipo!$E$4&amp;"!B10:B1000"),$B52,INDIRECT(Equipo!$E$4&amp;"!"&amp;ADDRESS(10,COLUMN(G$9)-1)&amp;":"&amp;ADDRESS(1000,COLUMN(G$9)-1))),
SUMIF(INDIRECT(Equipo!$F$4&amp;"!B10:B1000"),$B52,INDIRECT(Equipo!$F$4&amp;"!"&amp;ADDRESS(10,COLUMN(G$9)-1)&amp;":"&amp;ADDRESS(1000,COLUMN(G$9)-1))),
SUMIF(INDIRECT(Equipo!$G$4&amp;"!B10:B1000"),$B52,INDIRECT(Equipo!$G$4&amp;"!"&amp;ADDRESS(10,COLUMN(G$9)-1)&amp;":"&amp;ADDRESS(1000,COLUMN(G$9)-1)))))</f>
        <v>0</v>
      </c>
      <c r="H52" s="19">
        <f t="array" ref="H52">IF(ISBLANK(Tareas!$B48),"-",SUM(
SUMIF(INDIRECT(Equipo!$C$4&amp;"!B10:B1000"),$B52,INDIRECT(Equipo!$C$4&amp;"!"&amp;ADDRESS(10,COLUMN(H$9)-1)&amp;":"&amp;ADDRESS(1000,COLUMN(H$9)-1))),
SUMIF(INDIRECT(Equipo!$D$4&amp;"!B10:B1000"),$B52,INDIRECT(Equipo!$D$4&amp;"!"&amp;ADDRESS(10,COLUMN(H$9)-1)&amp;":"&amp;ADDRESS(1000,COLUMN(H$9)-1))),
SUMIF(INDIRECT(Equipo!$E$4&amp;"!B10:B1000"),$B52,INDIRECT(Equipo!$E$4&amp;"!"&amp;ADDRESS(10,COLUMN(H$9)-1)&amp;":"&amp;ADDRESS(1000,COLUMN(H$9)-1))),
SUMIF(INDIRECT(Equipo!$F$4&amp;"!B10:B1000"),$B52,INDIRECT(Equipo!$F$4&amp;"!"&amp;ADDRESS(10,COLUMN(H$9)-1)&amp;":"&amp;ADDRESS(1000,COLUMN(H$9)-1))),
SUMIF(INDIRECT(Equipo!$G$4&amp;"!B10:B1000"),$B52,INDIRECT(Equipo!$G$4&amp;"!"&amp;ADDRESS(10,COLUMN(H$9)-1)&amp;":"&amp;ADDRESS(1000,COLUMN(H$9)-1)))))</f>
        <v>0</v>
      </c>
      <c r="I52" s="19">
        <f t="array" ref="I52">IF(ISBLANK(Tareas!$B48),"-",SUM(
SUMIF(INDIRECT(Equipo!$C$4&amp;"!B10:B1000"),$B52,INDIRECT(Equipo!$C$4&amp;"!"&amp;ADDRESS(10,COLUMN(I$9)-1)&amp;":"&amp;ADDRESS(1000,COLUMN(I$9)-1))),
SUMIF(INDIRECT(Equipo!$D$4&amp;"!B10:B1000"),$B52,INDIRECT(Equipo!$D$4&amp;"!"&amp;ADDRESS(10,COLUMN(I$9)-1)&amp;":"&amp;ADDRESS(1000,COLUMN(I$9)-1))),
SUMIF(INDIRECT(Equipo!$E$4&amp;"!B10:B1000"),$B52,INDIRECT(Equipo!$E$4&amp;"!"&amp;ADDRESS(10,COLUMN(I$9)-1)&amp;":"&amp;ADDRESS(1000,COLUMN(I$9)-1))),
SUMIF(INDIRECT(Equipo!$F$4&amp;"!B10:B1000"),$B52,INDIRECT(Equipo!$F$4&amp;"!"&amp;ADDRESS(10,COLUMN(I$9)-1)&amp;":"&amp;ADDRESS(1000,COLUMN(I$9)-1))),
SUMIF(INDIRECT(Equipo!$G$4&amp;"!B10:B1000"),$B52,INDIRECT(Equipo!$G$4&amp;"!"&amp;ADDRESS(10,COLUMN(I$9)-1)&amp;":"&amp;ADDRESS(1000,COLUMN(I$9)-1)))))</f>
        <v>0</v>
      </c>
      <c r="J52" s="19">
        <f t="array" ref="J52">IF(ISBLANK(Tareas!$B48),"-",SUM(
SUMIF(INDIRECT(Equipo!$C$4&amp;"!B10:B1000"),$B52,INDIRECT(Equipo!$C$4&amp;"!"&amp;ADDRESS(10,COLUMN(J$9)-1)&amp;":"&amp;ADDRESS(1000,COLUMN(J$9)-1))),
SUMIF(INDIRECT(Equipo!$D$4&amp;"!B10:B1000"),$B52,INDIRECT(Equipo!$D$4&amp;"!"&amp;ADDRESS(10,COLUMN(J$9)-1)&amp;":"&amp;ADDRESS(1000,COLUMN(J$9)-1))),
SUMIF(INDIRECT(Equipo!$E$4&amp;"!B10:B1000"),$B52,INDIRECT(Equipo!$E$4&amp;"!"&amp;ADDRESS(10,COLUMN(J$9)-1)&amp;":"&amp;ADDRESS(1000,COLUMN(J$9)-1))),
SUMIF(INDIRECT(Equipo!$F$4&amp;"!B10:B1000"),$B52,INDIRECT(Equipo!$F$4&amp;"!"&amp;ADDRESS(10,COLUMN(J$9)-1)&amp;":"&amp;ADDRESS(1000,COLUMN(J$9)-1))),
SUMIF(INDIRECT(Equipo!$G$4&amp;"!B10:B1000"),$B52,INDIRECT(Equipo!$G$4&amp;"!"&amp;ADDRESS(10,COLUMN(J$9)-1)&amp;":"&amp;ADDRESS(1000,COLUMN(J$9)-1)))))</f>
        <v>0.5</v>
      </c>
      <c r="K52" s="19">
        <f t="array" ref="K52">IF(ISBLANK(Tareas!$B48),"-",SUM(
SUMIF(INDIRECT(Equipo!$C$4&amp;"!B10:B1000"),$B52,INDIRECT(Equipo!$C$4&amp;"!"&amp;ADDRESS(10,COLUMN(K$9)-1)&amp;":"&amp;ADDRESS(1000,COLUMN(K$9)-1))),
SUMIF(INDIRECT(Equipo!$D$4&amp;"!B10:B1000"),$B52,INDIRECT(Equipo!$D$4&amp;"!"&amp;ADDRESS(10,COLUMN(K$9)-1)&amp;":"&amp;ADDRESS(1000,COLUMN(K$9)-1))),
SUMIF(INDIRECT(Equipo!$E$4&amp;"!B10:B1000"),$B52,INDIRECT(Equipo!$E$4&amp;"!"&amp;ADDRESS(10,COLUMN(K$9)-1)&amp;":"&amp;ADDRESS(1000,COLUMN(K$9)-1))),
SUMIF(INDIRECT(Equipo!$F$4&amp;"!B10:B1000"),$B52,INDIRECT(Equipo!$F$4&amp;"!"&amp;ADDRESS(10,COLUMN(K$9)-1)&amp;":"&amp;ADDRESS(1000,COLUMN(K$9)-1))),
SUMIF(INDIRECT(Equipo!$G$4&amp;"!B10:B1000"),$B52,INDIRECT(Equipo!$G$4&amp;"!"&amp;ADDRESS(10,COLUMN(K$9)-1)&amp;":"&amp;ADDRESS(1000,COLUMN(K$9)-1)))))</f>
        <v>0</v>
      </c>
    </row>
    <row r="53" ht="15.75" customHeight="1">
      <c r="B53" s="1" t="str">
        <f>IF(ISBLANK(Tareas!B49)," - ",Tareas!B49)</f>
        <v>44. Reunión 8</v>
      </c>
      <c r="D53" s="19">
        <f t="array" ref="D53">IF(ISBLANK(Tareas!$B49),"-",SUM(
SUMIF(INDIRECT(Equipo!$C$4&amp;"!B10:B1000"),$B53,INDIRECT(Equipo!$C$4&amp;"!"&amp;ADDRESS(10,COLUMN(D$9)-1)&amp;":"&amp;ADDRESS(1000,COLUMN(D$9)-1))),
SUMIF(INDIRECT(Equipo!$D$4&amp;"!B10:B1000"),$B53,INDIRECT(Equipo!$D$4&amp;"!"&amp;ADDRESS(10,COLUMN(D$9)-1)&amp;":"&amp;ADDRESS(1000,COLUMN(D$9)-1))),
SUMIF(INDIRECT(Equipo!$E$4&amp;"!B10:B1000"),$B53,INDIRECT(Equipo!$E$4&amp;"!"&amp;ADDRESS(10,COLUMN(D$9)-1)&amp;":"&amp;ADDRESS(1000,COLUMN(D$9)-1))),
SUMIF(INDIRECT(Equipo!$F$4&amp;"!B10:B1000"),$B53,INDIRECT(Equipo!$F$4&amp;"!"&amp;ADDRESS(10,COLUMN(D$9)-1)&amp;":"&amp;ADDRESS(1000,COLUMN(D$9)-1))),
SUMIF(INDIRECT(Equipo!$G$4&amp;"!B10:B1000"),$B53,INDIRECT(Equipo!$G$4&amp;"!"&amp;ADDRESS(10,COLUMN(D$9)-1)&amp;":"&amp;ADDRESS(1000,COLUMN(D$9)-1)))))</f>
        <v>0</v>
      </c>
      <c r="E53" s="19">
        <f t="array" ref="E53">IF(ISBLANK(Tareas!$B49),"-",SUM(
SUMIF(INDIRECT(Equipo!$C$4&amp;"!B10:B1000"),$B53,INDIRECT(Equipo!$C$4&amp;"!"&amp;ADDRESS(10,COLUMN(E$9)-1)&amp;":"&amp;ADDRESS(1000,COLUMN(E$9)-1))),
SUMIF(INDIRECT(Equipo!$D$4&amp;"!B10:B1000"),$B53,INDIRECT(Equipo!$D$4&amp;"!"&amp;ADDRESS(10,COLUMN(E$9)-1)&amp;":"&amp;ADDRESS(1000,COLUMN(E$9)-1))),
SUMIF(INDIRECT(Equipo!$E$4&amp;"!B10:B1000"),$B53,INDIRECT(Equipo!$E$4&amp;"!"&amp;ADDRESS(10,COLUMN(E$9)-1)&amp;":"&amp;ADDRESS(1000,COLUMN(E$9)-1))),
SUMIF(INDIRECT(Equipo!$F$4&amp;"!B10:B1000"),$B53,INDIRECT(Equipo!$F$4&amp;"!"&amp;ADDRESS(10,COLUMN(E$9)-1)&amp;":"&amp;ADDRESS(1000,COLUMN(E$9)-1))),
SUMIF(INDIRECT(Equipo!$G$4&amp;"!B10:B1000"),$B53,INDIRECT(Equipo!$G$4&amp;"!"&amp;ADDRESS(10,COLUMN(E$9)-1)&amp;":"&amp;ADDRESS(1000,COLUMN(E$9)-1)))))</f>
        <v>0</v>
      </c>
      <c r="F53" s="19">
        <f t="array" ref="F53">IF(ISBLANK(Tareas!$B49),"-",SUM(
SUMIF(INDIRECT(Equipo!$C$4&amp;"!B10:B1000"),$B53,INDIRECT(Equipo!$C$4&amp;"!"&amp;ADDRESS(10,COLUMN(F$9)-1)&amp;":"&amp;ADDRESS(1000,COLUMN(F$9)-1))),
SUMIF(INDIRECT(Equipo!$D$4&amp;"!B10:B1000"),$B53,INDIRECT(Equipo!$D$4&amp;"!"&amp;ADDRESS(10,COLUMN(F$9)-1)&amp;":"&amp;ADDRESS(1000,COLUMN(F$9)-1))),
SUMIF(INDIRECT(Equipo!$E$4&amp;"!B10:B1000"),$B53,INDIRECT(Equipo!$E$4&amp;"!"&amp;ADDRESS(10,COLUMN(F$9)-1)&amp;":"&amp;ADDRESS(1000,COLUMN(F$9)-1))),
SUMIF(INDIRECT(Equipo!$F$4&amp;"!B10:B1000"),$B53,INDIRECT(Equipo!$F$4&amp;"!"&amp;ADDRESS(10,COLUMN(F$9)-1)&amp;":"&amp;ADDRESS(1000,COLUMN(F$9)-1))),
SUMIF(INDIRECT(Equipo!$G$4&amp;"!B10:B1000"),$B53,INDIRECT(Equipo!$G$4&amp;"!"&amp;ADDRESS(10,COLUMN(F$9)-1)&amp;":"&amp;ADDRESS(1000,COLUMN(F$9)-1)))))</f>
        <v>0</v>
      </c>
      <c r="G53" s="19">
        <f t="array" ref="G53">IF(ISBLANK(Tareas!$B49),"-",SUM(
SUMIF(INDIRECT(Equipo!$C$4&amp;"!B10:B1000"),$B53,INDIRECT(Equipo!$C$4&amp;"!"&amp;ADDRESS(10,COLUMN(G$9)-1)&amp;":"&amp;ADDRESS(1000,COLUMN(G$9)-1))),
SUMIF(INDIRECT(Equipo!$D$4&amp;"!B10:B1000"),$B53,INDIRECT(Equipo!$D$4&amp;"!"&amp;ADDRESS(10,COLUMN(G$9)-1)&amp;":"&amp;ADDRESS(1000,COLUMN(G$9)-1))),
SUMIF(INDIRECT(Equipo!$E$4&amp;"!B10:B1000"),$B53,INDIRECT(Equipo!$E$4&amp;"!"&amp;ADDRESS(10,COLUMN(G$9)-1)&amp;":"&amp;ADDRESS(1000,COLUMN(G$9)-1))),
SUMIF(INDIRECT(Equipo!$F$4&amp;"!B10:B1000"),$B53,INDIRECT(Equipo!$F$4&amp;"!"&amp;ADDRESS(10,COLUMN(G$9)-1)&amp;":"&amp;ADDRESS(1000,COLUMN(G$9)-1))),
SUMIF(INDIRECT(Equipo!$G$4&amp;"!B10:B1000"),$B53,INDIRECT(Equipo!$G$4&amp;"!"&amp;ADDRESS(10,COLUMN(G$9)-1)&amp;":"&amp;ADDRESS(1000,COLUMN(G$9)-1)))))</f>
        <v>0</v>
      </c>
      <c r="H53" s="19">
        <f t="array" ref="H53">IF(ISBLANK(Tareas!$B49),"-",SUM(
SUMIF(INDIRECT(Equipo!$C$4&amp;"!B10:B1000"),$B53,INDIRECT(Equipo!$C$4&amp;"!"&amp;ADDRESS(10,COLUMN(H$9)-1)&amp;":"&amp;ADDRESS(1000,COLUMN(H$9)-1))),
SUMIF(INDIRECT(Equipo!$D$4&amp;"!B10:B1000"),$B53,INDIRECT(Equipo!$D$4&amp;"!"&amp;ADDRESS(10,COLUMN(H$9)-1)&amp;":"&amp;ADDRESS(1000,COLUMN(H$9)-1))),
SUMIF(INDIRECT(Equipo!$E$4&amp;"!B10:B1000"),$B53,INDIRECT(Equipo!$E$4&amp;"!"&amp;ADDRESS(10,COLUMN(H$9)-1)&amp;":"&amp;ADDRESS(1000,COLUMN(H$9)-1))),
SUMIF(INDIRECT(Equipo!$F$4&amp;"!B10:B1000"),$B53,INDIRECT(Equipo!$F$4&amp;"!"&amp;ADDRESS(10,COLUMN(H$9)-1)&amp;":"&amp;ADDRESS(1000,COLUMN(H$9)-1))),
SUMIF(INDIRECT(Equipo!$G$4&amp;"!B10:B1000"),$B53,INDIRECT(Equipo!$G$4&amp;"!"&amp;ADDRESS(10,COLUMN(H$9)-1)&amp;":"&amp;ADDRESS(1000,COLUMN(H$9)-1)))))</f>
        <v>0</v>
      </c>
      <c r="I53" s="19">
        <f t="array" ref="I53">IF(ISBLANK(Tareas!$B49),"-",SUM(
SUMIF(INDIRECT(Equipo!$C$4&amp;"!B10:B1000"),$B53,INDIRECT(Equipo!$C$4&amp;"!"&amp;ADDRESS(10,COLUMN(I$9)-1)&amp;":"&amp;ADDRESS(1000,COLUMN(I$9)-1))),
SUMIF(INDIRECT(Equipo!$D$4&amp;"!B10:B1000"),$B53,INDIRECT(Equipo!$D$4&amp;"!"&amp;ADDRESS(10,COLUMN(I$9)-1)&amp;":"&amp;ADDRESS(1000,COLUMN(I$9)-1))),
SUMIF(INDIRECT(Equipo!$E$4&amp;"!B10:B1000"),$B53,INDIRECT(Equipo!$E$4&amp;"!"&amp;ADDRESS(10,COLUMN(I$9)-1)&amp;":"&amp;ADDRESS(1000,COLUMN(I$9)-1))),
SUMIF(INDIRECT(Equipo!$F$4&amp;"!B10:B1000"),$B53,INDIRECT(Equipo!$F$4&amp;"!"&amp;ADDRESS(10,COLUMN(I$9)-1)&amp;":"&amp;ADDRESS(1000,COLUMN(I$9)-1))),
SUMIF(INDIRECT(Equipo!$G$4&amp;"!B10:B1000"),$B53,INDIRECT(Equipo!$G$4&amp;"!"&amp;ADDRESS(10,COLUMN(I$9)-1)&amp;":"&amp;ADDRESS(1000,COLUMN(I$9)-1)))))</f>
        <v>0</v>
      </c>
      <c r="J53" s="19">
        <f t="array" ref="J53">IF(ISBLANK(Tareas!$B49),"-",SUM(
SUMIF(INDIRECT(Equipo!$C$4&amp;"!B10:B1000"),$B53,INDIRECT(Equipo!$C$4&amp;"!"&amp;ADDRESS(10,COLUMN(J$9)-1)&amp;":"&amp;ADDRESS(1000,COLUMN(J$9)-1))),
SUMIF(INDIRECT(Equipo!$D$4&amp;"!B10:B1000"),$B53,INDIRECT(Equipo!$D$4&amp;"!"&amp;ADDRESS(10,COLUMN(J$9)-1)&amp;":"&amp;ADDRESS(1000,COLUMN(J$9)-1))),
SUMIF(INDIRECT(Equipo!$E$4&amp;"!B10:B1000"),$B53,INDIRECT(Equipo!$E$4&amp;"!"&amp;ADDRESS(10,COLUMN(J$9)-1)&amp;":"&amp;ADDRESS(1000,COLUMN(J$9)-1))),
SUMIF(INDIRECT(Equipo!$F$4&amp;"!B10:B1000"),$B53,INDIRECT(Equipo!$F$4&amp;"!"&amp;ADDRESS(10,COLUMN(J$9)-1)&amp;":"&amp;ADDRESS(1000,COLUMN(J$9)-1))),
SUMIF(INDIRECT(Equipo!$G$4&amp;"!B10:B1000"),$B53,INDIRECT(Equipo!$G$4&amp;"!"&amp;ADDRESS(10,COLUMN(J$9)-1)&amp;":"&amp;ADDRESS(1000,COLUMN(J$9)-1)))))</f>
        <v>0</v>
      </c>
      <c r="K53" s="19">
        <f t="array" ref="K53">IF(ISBLANK(Tareas!$B49),"-",SUM(
SUMIF(INDIRECT(Equipo!$C$4&amp;"!B10:B1000"),$B53,INDIRECT(Equipo!$C$4&amp;"!"&amp;ADDRESS(10,COLUMN(K$9)-1)&amp;":"&amp;ADDRESS(1000,COLUMN(K$9)-1))),
SUMIF(INDIRECT(Equipo!$D$4&amp;"!B10:B1000"),$B53,INDIRECT(Equipo!$D$4&amp;"!"&amp;ADDRESS(10,COLUMN(K$9)-1)&amp;":"&amp;ADDRESS(1000,COLUMN(K$9)-1))),
SUMIF(INDIRECT(Equipo!$E$4&amp;"!B10:B1000"),$B53,INDIRECT(Equipo!$E$4&amp;"!"&amp;ADDRESS(10,COLUMN(K$9)-1)&amp;":"&amp;ADDRESS(1000,COLUMN(K$9)-1))),
SUMIF(INDIRECT(Equipo!$F$4&amp;"!B10:B1000"),$B53,INDIRECT(Equipo!$F$4&amp;"!"&amp;ADDRESS(10,COLUMN(K$9)-1)&amp;":"&amp;ADDRESS(1000,COLUMN(K$9)-1))),
SUMIF(INDIRECT(Equipo!$G$4&amp;"!B10:B1000"),$B53,INDIRECT(Equipo!$G$4&amp;"!"&amp;ADDRESS(10,COLUMN(K$9)-1)&amp;":"&amp;ADDRESS(1000,COLUMN(K$9)-1)))))</f>
        <v>1</v>
      </c>
    </row>
    <row r="54" ht="15.75" customHeight="1">
      <c r="B54" s="1" t="str">
        <f>IF(ISBLANK(Tareas!B50)," - ",Tareas!B50)</f>
        <v>45. Realización el informe de post-mortem</v>
      </c>
      <c r="D54" s="19">
        <f t="array" ref="D54">IF(ISBLANK(Tareas!$B50),"-",SUM(
SUMIF(INDIRECT(Equipo!$C$4&amp;"!B10:B1000"),$B54,INDIRECT(Equipo!$C$4&amp;"!"&amp;ADDRESS(10,COLUMN(D$9)-1)&amp;":"&amp;ADDRESS(1000,COLUMN(D$9)-1))),
SUMIF(INDIRECT(Equipo!$D$4&amp;"!B10:B1000"),$B54,INDIRECT(Equipo!$D$4&amp;"!"&amp;ADDRESS(10,COLUMN(D$9)-1)&amp;":"&amp;ADDRESS(1000,COLUMN(D$9)-1))),
SUMIF(INDIRECT(Equipo!$E$4&amp;"!B10:B1000"),$B54,INDIRECT(Equipo!$E$4&amp;"!"&amp;ADDRESS(10,COLUMN(D$9)-1)&amp;":"&amp;ADDRESS(1000,COLUMN(D$9)-1))),
SUMIF(INDIRECT(Equipo!$F$4&amp;"!B10:B1000"),$B54,INDIRECT(Equipo!$F$4&amp;"!"&amp;ADDRESS(10,COLUMN(D$9)-1)&amp;":"&amp;ADDRESS(1000,COLUMN(D$9)-1))),
SUMIF(INDIRECT(Equipo!$G$4&amp;"!B10:B1000"),$B54,INDIRECT(Equipo!$G$4&amp;"!"&amp;ADDRESS(10,COLUMN(D$9)-1)&amp;":"&amp;ADDRESS(1000,COLUMN(D$9)-1)))))</f>
        <v>0</v>
      </c>
      <c r="E54" s="19">
        <f t="array" ref="E54">IF(ISBLANK(Tareas!$B50),"-",SUM(
SUMIF(INDIRECT(Equipo!$C$4&amp;"!B10:B1000"),$B54,INDIRECT(Equipo!$C$4&amp;"!"&amp;ADDRESS(10,COLUMN(E$9)-1)&amp;":"&amp;ADDRESS(1000,COLUMN(E$9)-1))),
SUMIF(INDIRECT(Equipo!$D$4&amp;"!B10:B1000"),$B54,INDIRECT(Equipo!$D$4&amp;"!"&amp;ADDRESS(10,COLUMN(E$9)-1)&amp;":"&amp;ADDRESS(1000,COLUMN(E$9)-1))),
SUMIF(INDIRECT(Equipo!$E$4&amp;"!B10:B1000"),$B54,INDIRECT(Equipo!$E$4&amp;"!"&amp;ADDRESS(10,COLUMN(E$9)-1)&amp;":"&amp;ADDRESS(1000,COLUMN(E$9)-1))),
SUMIF(INDIRECT(Equipo!$F$4&amp;"!B10:B1000"),$B54,INDIRECT(Equipo!$F$4&amp;"!"&amp;ADDRESS(10,COLUMN(E$9)-1)&amp;":"&amp;ADDRESS(1000,COLUMN(E$9)-1))),
SUMIF(INDIRECT(Equipo!$G$4&amp;"!B10:B1000"),$B54,INDIRECT(Equipo!$G$4&amp;"!"&amp;ADDRESS(10,COLUMN(E$9)-1)&amp;":"&amp;ADDRESS(1000,COLUMN(E$9)-1)))))</f>
        <v>0</v>
      </c>
      <c r="F54" s="19">
        <f t="array" ref="F54">IF(ISBLANK(Tareas!$B50),"-",SUM(
SUMIF(INDIRECT(Equipo!$C$4&amp;"!B10:B1000"),$B54,INDIRECT(Equipo!$C$4&amp;"!"&amp;ADDRESS(10,COLUMN(F$9)-1)&amp;":"&amp;ADDRESS(1000,COLUMN(F$9)-1))),
SUMIF(INDIRECT(Equipo!$D$4&amp;"!B10:B1000"),$B54,INDIRECT(Equipo!$D$4&amp;"!"&amp;ADDRESS(10,COLUMN(F$9)-1)&amp;":"&amp;ADDRESS(1000,COLUMN(F$9)-1))),
SUMIF(INDIRECT(Equipo!$E$4&amp;"!B10:B1000"),$B54,INDIRECT(Equipo!$E$4&amp;"!"&amp;ADDRESS(10,COLUMN(F$9)-1)&amp;":"&amp;ADDRESS(1000,COLUMN(F$9)-1))),
SUMIF(INDIRECT(Equipo!$F$4&amp;"!B10:B1000"),$B54,INDIRECT(Equipo!$F$4&amp;"!"&amp;ADDRESS(10,COLUMN(F$9)-1)&amp;":"&amp;ADDRESS(1000,COLUMN(F$9)-1))),
SUMIF(INDIRECT(Equipo!$G$4&amp;"!B10:B1000"),$B54,INDIRECT(Equipo!$G$4&amp;"!"&amp;ADDRESS(10,COLUMN(F$9)-1)&amp;":"&amp;ADDRESS(1000,COLUMN(F$9)-1)))))</f>
        <v>0</v>
      </c>
      <c r="G54" s="19">
        <f t="array" ref="G54">IF(ISBLANK(Tareas!$B50),"-",SUM(
SUMIF(INDIRECT(Equipo!$C$4&amp;"!B10:B1000"),$B54,INDIRECT(Equipo!$C$4&amp;"!"&amp;ADDRESS(10,COLUMN(G$9)-1)&amp;":"&amp;ADDRESS(1000,COLUMN(G$9)-1))),
SUMIF(INDIRECT(Equipo!$D$4&amp;"!B10:B1000"),$B54,INDIRECT(Equipo!$D$4&amp;"!"&amp;ADDRESS(10,COLUMN(G$9)-1)&amp;":"&amp;ADDRESS(1000,COLUMN(G$9)-1))),
SUMIF(INDIRECT(Equipo!$E$4&amp;"!B10:B1000"),$B54,INDIRECT(Equipo!$E$4&amp;"!"&amp;ADDRESS(10,COLUMN(G$9)-1)&amp;":"&amp;ADDRESS(1000,COLUMN(G$9)-1))),
SUMIF(INDIRECT(Equipo!$F$4&amp;"!B10:B1000"),$B54,INDIRECT(Equipo!$F$4&amp;"!"&amp;ADDRESS(10,COLUMN(G$9)-1)&amp;":"&amp;ADDRESS(1000,COLUMN(G$9)-1))),
SUMIF(INDIRECT(Equipo!$G$4&amp;"!B10:B1000"),$B54,INDIRECT(Equipo!$G$4&amp;"!"&amp;ADDRESS(10,COLUMN(G$9)-1)&amp;":"&amp;ADDRESS(1000,COLUMN(G$9)-1)))))</f>
        <v>0</v>
      </c>
      <c r="H54" s="19">
        <f t="array" ref="H54">IF(ISBLANK(Tareas!$B50),"-",SUM(
SUMIF(INDIRECT(Equipo!$C$4&amp;"!B10:B1000"),$B54,INDIRECT(Equipo!$C$4&amp;"!"&amp;ADDRESS(10,COLUMN(H$9)-1)&amp;":"&amp;ADDRESS(1000,COLUMN(H$9)-1))),
SUMIF(INDIRECT(Equipo!$D$4&amp;"!B10:B1000"),$B54,INDIRECT(Equipo!$D$4&amp;"!"&amp;ADDRESS(10,COLUMN(H$9)-1)&amp;":"&amp;ADDRESS(1000,COLUMN(H$9)-1))),
SUMIF(INDIRECT(Equipo!$E$4&amp;"!B10:B1000"),$B54,INDIRECT(Equipo!$E$4&amp;"!"&amp;ADDRESS(10,COLUMN(H$9)-1)&amp;":"&amp;ADDRESS(1000,COLUMN(H$9)-1))),
SUMIF(INDIRECT(Equipo!$F$4&amp;"!B10:B1000"),$B54,INDIRECT(Equipo!$F$4&amp;"!"&amp;ADDRESS(10,COLUMN(H$9)-1)&amp;":"&amp;ADDRESS(1000,COLUMN(H$9)-1))),
SUMIF(INDIRECT(Equipo!$G$4&amp;"!B10:B1000"),$B54,INDIRECT(Equipo!$G$4&amp;"!"&amp;ADDRESS(10,COLUMN(H$9)-1)&amp;":"&amp;ADDRESS(1000,COLUMN(H$9)-1)))))</f>
        <v>0</v>
      </c>
      <c r="I54" s="19">
        <f t="array" ref="I54">IF(ISBLANK(Tareas!$B50),"-",SUM(
SUMIF(INDIRECT(Equipo!$C$4&amp;"!B10:B1000"),$B54,INDIRECT(Equipo!$C$4&amp;"!"&amp;ADDRESS(10,COLUMN(I$9)-1)&amp;":"&amp;ADDRESS(1000,COLUMN(I$9)-1))),
SUMIF(INDIRECT(Equipo!$D$4&amp;"!B10:B1000"),$B54,INDIRECT(Equipo!$D$4&amp;"!"&amp;ADDRESS(10,COLUMN(I$9)-1)&amp;":"&amp;ADDRESS(1000,COLUMN(I$9)-1))),
SUMIF(INDIRECT(Equipo!$E$4&amp;"!B10:B1000"),$B54,INDIRECT(Equipo!$E$4&amp;"!"&amp;ADDRESS(10,COLUMN(I$9)-1)&amp;":"&amp;ADDRESS(1000,COLUMN(I$9)-1))),
SUMIF(INDIRECT(Equipo!$F$4&amp;"!B10:B1000"),$B54,INDIRECT(Equipo!$F$4&amp;"!"&amp;ADDRESS(10,COLUMN(I$9)-1)&amp;":"&amp;ADDRESS(1000,COLUMN(I$9)-1))),
SUMIF(INDIRECT(Equipo!$G$4&amp;"!B10:B1000"),$B54,INDIRECT(Equipo!$G$4&amp;"!"&amp;ADDRESS(10,COLUMN(I$9)-1)&amp;":"&amp;ADDRESS(1000,COLUMN(I$9)-1)))))</f>
        <v>0</v>
      </c>
      <c r="J54" s="19">
        <f t="array" ref="J54">IF(ISBLANK(Tareas!$B50),"-",SUM(
SUMIF(INDIRECT(Equipo!$C$4&amp;"!B10:B1000"),$B54,INDIRECT(Equipo!$C$4&amp;"!"&amp;ADDRESS(10,COLUMN(J$9)-1)&amp;":"&amp;ADDRESS(1000,COLUMN(J$9)-1))),
SUMIF(INDIRECT(Equipo!$D$4&amp;"!B10:B1000"),$B54,INDIRECT(Equipo!$D$4&amp;"!"&amp;ADDRESS(10,COLUMN(J$9)-1)&amp;":"&amp;ADDRESS(1000,COLUMN(J$9)-1))),
SUMIF(INDIRECT(Equipo!$E$4&amp;"!B10:B1000"),$B54,INDIRECT(Equipo!$E$4&amp;"!"&amp;ADDRESS(10,COLUMN(J$9)-1)&amp;":"&amp;ADDRESS(1000,COLUMN(J$9)-1))),
SUMIF(INDIRECT(Equipo!$F$4&amp;"!B10:B1000"),$B54,INDIRECT(Equipo!$F$4&amp;"!"&amp;ADDRESS(10,COLUMN(J$9)-1)&amp;":"&amp;ADDRESS(1000,COLUMN(J$9)-1))),
SUMIF(INDIRECT(Equipo!$G$4&amp;"!B10:B1000"),$B54,INDIRECT(Equipo!$G$4&amp;"!"&amp;ADDRESS(10,COLUMN(J$9)-1)&amp;":"&amp;ADDRESS(1000,COLUMN(J$9)-1)))))</f>
        <v>0</v>
      </c>
      <c r="K54" s="19">
        <f t="array" ref="K54">IF(ISBLANK(Tareas!$B50),"-",SUM(
SUMIF(INDIRECT(Equipo!$C$4&amp;"!B10:B1000"),$B54,INDIRECT(Equipo!$C$4&amp;"!"&amp;ADDRESS(10,COLUMN(K$9)-1)&amp;":"&amp;ADDRESS(1000,COLUMN(K$9)-1))),
SUMIF(INDIRECT(Equipo!$D$4&amp;"!B10:B1000"),$B54,INDIRECT(Equipo!$D$4&amp;"!"&amp;ADDRESS(10,COLUMN(K$9)-1)&amp;":"&amp;ADDRESS(1000,COLUMN(K$9)-1))),
SUMIF(INDIRECT(Equipo!$E$4&amp;"!B10:B1000"),$B54,INDIRECT(Equipo!$E$4&amp;"!"&amp;ADDRESS(10,COLUMN(K$9)-1)&amp;":"&amp;ADDRESS(1000,COLUMN(K$9)-1))),
SUMIF(INDIRECT(Equipo!$F$4&amp;"!B10:B1000"),$B54,INDIRECT(Equipo!$F$4&amp;"!"&amp;ADDRESS(10,COLUMN(K$9)-1)&amp;":"&amp;ADDRESS(1000,COLUMN(K$9)-1))),
SUMIF(INDIRECT(Equipo!$G$4&amp;"!B10:B1000"),$B54,INDIRECT(Equipo!$G$4&amp;"!"&amp;ADDRESS(10,COLUMN(K$9)-1)&amp;":"&amp;ADDRESS(1000,COLUMN(K$9)-1)))))</f>
        <v>1.5</v>
      </c>
    </row>
    <row r="55" ht="15.75" customHeight="1">
      <c r="B55" s="1" t="str">
        <f>IF(ISBLANK(Tareas!B51)," - ",Tareas!B51)</f>
        <v>46. Ejecución de las pruebas</v>
      </c>
      <c r="D55" s="19">
        <f t="array" ref="D55">IF(ISBLANK(Tareas!$B51),"-",SUM(
SUMIF(INDIRECT(Equipo!$C$4&amp;"!B10:B1000"),$B55,INDIRECT(Equipo!$C$4&amp;"!"&amp;ADDRESS(10,COLUMN(D$9)-1)&amp;":"&amp;ADDRESS(1000,COLUMN(D$9)-1))),
SUMIF(INDIRECT(Equipo!$D$4&amp;"!B10:B1000"),$B55,INDIRECT(Equipo!$D$4&amp;"!"&amp;ADDRESS(10,COLUMN(D$9)-1)&amp;":"&amp;ADDRESS(1000,COLUMN(D$9)-1))),
SUMIF(INDIRECT(Equipo!$E$4&amp;"!B10:B1000"),$B55,INDIRECT(Equipo!$E$4&amp;"!"&amp;ADDRESS(10,COLUMN(D$9)-1)&amp;":"&amp;ADDRESS(1000,COLUMN(D$9)-1))),
SUMIF(INDIRECT(Equipo!$F$4&amp;"!B10:B1000"),$B55,INDIRECT(Equipo!$F$4&amp;"!"&amp;ADDRESS(10,COLUMN(D$9)-1)&amp;":"&amp;ADDRESS(1000,COLUMN(D$9)-1))),
SUMIF(INDIRECT(Equipo!$G$4&amp;"!B10:B1000"),$B55,INDIRECT(Equipo!$G$4&amp;"!"&amp;ADDRESS(10,COLUMN(D$9)-1)&amp;":"&amp;ADDRESS(1000,COLUMN(D$9)-1)))))</f>
        <v>0</v>
      </c>
      <c r="E55" s="19">
        <f t="array" ref="E55">IF(ISBLANK(Tareas!$B51),"-",SUM(
SUMIF(INDIRECT(Equipo!$C$4&amp;"!B10:B1000"),$B55,INDIRECT(Equipo!$C$4&amp;"!"&amp;ADDRESS(10,COLUMN(E$9)-1)&amp;":"&amp;ADDRESS(1000,COLUMN(E$9)-1))),
SUMIF(INDIRECT(Equipo!$D$4&amp;"!B10:B1000"),$B55,INDIRECT(Equipo!$D$4&amp;"!"&amp;ADDRESS(10,COLUMN(E$9)-1)&amp;":"&amp;ADDRESS(1000,COLUMN(E$9)-1))),
SUMIF(INDIRECT(Equipo!$E$4&amp;"!B10:B1000"),$B55,INDIRECT(Equipo!$E$4&amp;"!"&amp;ADDRESS(10,COLUMN(E$9)-1)&amp;":"&amp;ADDRESS(1000,COLUMN(E$9)-1))),
SUMIF(INDIRECT(Equipo!$F$4&amp;"!B10:B1000"),$B55,INDIRECT(Equipo!$F$4&amp;"!"&amp;ADDRESS(10,COLUMN(E$9)-1)&amp;":"&amp;ADDRESS(1000,COLUMN(E$9)-1))),
SUMIF(INDIRECT(Equipo!$G$4&amp;"!B10:B1000"),$B55,INDIRECT(Equipo!$G$4&amp;"!"&amp;ADDRESS(10,COLUMN(E$9)-1)&amp;":"&amp;ADDRESS(1000,COLUMN(E$9)-1)))))</f>
        <v>0</v>
      </c>
      <c r="F55" s="19">
        <f t="array" ref="F55">IF(ISBLANK(Tareas!$B51),"-",SUM(
SUMIF(INDIRECT(Equipo!$C$4&amp;"!B10:B1000"),$B55,INDIRECT(Equipo!$C$4&amp;"!"&amp;ADDRESS(10,COLUMN(F$9)-1)&amp;":"&amp;ADDRESS(1000,COLUMN(F$9)-1))),
SUMIF(INDIRECT(Equipo!$D$4&amp;"!B10:B1000"),$B55,INDIRECT(Equipo!$D$4&amp;"!"&amp;ADDRESS(10,COLUMN(F$9)-1)&amp;":"&amp;ADDRESS(1000,COLUMN(F$9)-1))),
SUMIF(INDIRECT(Equipo!$E$4&amp;"!B10:B1000"),$B55,INDIRECT(Equipo!$E$4&amp;"!"&amp;ADDRESS(10,COLUMN(F$9)-1)&amp;":"&amp;ADDRESS(1000,COLUMN(F$9)-1))),
SUMIF(INDIRECT(Equipo!$F$4&amp;"!B10:B1000"),$B55,INDIRECT(Equipo!$F$4&amp;"!"&amp;ADDRESS(10,COLUMN(F$9)-1)&amp;":"&amp;ADDRESS(1000,COLUMN(F$9)-1))),
SUMIF(INDIRECT(Equipo!$G$4&amp;"!B10:B1000"),$B55,INDIRECT(Equipo!$G$4&amp;"!"&amp;ADDRESS(10,COLUMN(F$9)-1)&amp;":"&amp;ADDRESS(1000,COLUMN(F$9)-1)))))</f>
        <v>0</v>
      </c>
      <c r="G55" s="19">
        <f t="array" ref="G55">IF(ISBLANK(Tareas!$B51),"-",SUM(
SUMIF(INDIRECT(Equipo!$C$4&amp;"!B10:B1000"),$B55,INDIRECT(Equipo!$C$4&amp;"!"&amp;ADDRESS(10,COLUMN(G$9)-1)&amp;":"&amp;ADDRESS(1000,COLUMN(G$9)-1))),
SUMIF(INDIRECT(Equipo!$D$4&amp;"!B10:B1000"),$B55,INDIRECT(Equipo!$D$4&amp;"!"&amp;ADDRESS(10,COLUMN(G$9)-1)&amp;":"&amp;ADDRESS(1000,COLUMN(G$9)-1))),
SUMIF(INDIRECT(Equipo!$E$4&amp;"!B10:B1000"),$B55,INDIRECT(Equipo!$E$4&amp;"!"&amp;ADDRESS(10,COLUMN(G$9)-1)&amp;":"&amp;ADDRESS(1000,COLUMN(G$9)-1))),
SUMIF(INDIRECT(Equipo!$F$4&amp;"!B10:B1000"),$B55,INDIRECT(Equipo!$F$4&amp;"!"&amp;ADDRESS(10,COLUMN(G$9)-1)&amp;":"&amp;ADDRESS(1000,COLUMN(G$9)-1))),
SUMIF(INDIRECT(Equipo!$G$4&amp;"!B10:B1000"),$B55,INDIRECT(Equipo!$G$4&amp;"!"&amp;ADDRESS(10,COLUMN(G$9)-1)&amp;":"&amp;ADDRESS(1000,COLUMN(G$9)-1)))))</f>
        <v>0</v>
      </c>
      <c r="H55" s="19">
        <f t="array" ref="H55">IF(ISBLANK(Tareas!$B51),"-",SUM(
SUMIF(INDIRECT(Equipo!$C$4&amp;"!B10:B1000"),$B55,INDIRECT(Equipo!$C$4&amp;"!"&amp;ADDRESS(10,COLUMN(H$9)-1)&amp;":"&amp;ADDRESS(1000,COLUMN(H$9)-1))),
SUMIF(INDIRECT(Equipo!$D$4&amp;"!B10:B1000"),$B55,INDIRECT(Equipo!$D$4&amp;"!"&amp;ADDRESS(10,COLUMN(H$9)-1)&amp;":"&amp;ADDRESS(1000,COLUMN(H$9)-1))),
SUMIF(INDIRECT(Equipo!$E$4&amp;"!B10:B1000"),$B55,INDIRECT(Equipo!$E$4&amp;"!"&amp;ADDRESS(10,COLUMN(H$9)-1)&amp;":"&amp;ADDRESS(1000,COLUMN(H$9)-1))),
SUMIF(INDIRECT(Equipo!$F$4&amp;"!B10:B1000"),$B55,INDIRECT(Equipo!$F$4&amp;"!"&amp;ADDRESS(10,COLUMN(H$9)-1)&amp;":"&amp;ADDRESS(1000,COLUMN(H$9)-1))),
SUMIF(INDIRECT(Equipo!$G$4&amp;"!B10:B1000"),$B55,INDIRECT(Equipo!$G$4&amp;"!"&amp;ADDRESS(10,COLUMN(H$9)-1)&amp;":"&amp;ADDRESS(1000,COLUMN(H$9)-1)))))</f>
        <v>0</v>
      </c>
      <c r="I55" s="19">
        <f t="array" ref="I55">IF(ISBLANK(Tareas!$B51),"-",SUM(
SUMIF(INDIRECT(Equipo!$C$4&amp;"!B10:B1000"),$B55,INDIRECT(Equipo!$C$4&amp;"!"&amp;ADDRESS(10,COLUMN(I$9)-1)&amp;":"&amp;ADDRESS(1000,COLUMN(I$9)-1))),
SUMIF(INDIRECT(Equipo!$D$4&amp;"!B10:B1000"),$B55,INDIRECT(Equipo!$D$4&amp;"!"&amp;ADDRESS(10,COLUMN(I$9)-1)&amp;":"&amp;ADDRESS(1000,COLUMN(I$9)-1))),
SUMIF(INDIRECT(Equipo!$E$4&amp;"!B10:B1000"),$B55,INDIRECT(Equipo!$E$4&amp;"!"&amp;ADDRESS(10,COLUMN(I$9)-1)&amp;":"&amp;ADDRESS(1000,COLUMN(I$9)-1))),
SUMIF(INDIRECT(Equipo!$F$4&amp;"!B10:B1000"),$B55,INDIRECT(Equipo!$F$4&amp;"!"&amp;ADDRESS(10,COLUMN(I$9)-1)&amp;":"&amp;ADDRESS(1000,COLUMN(I$9)-1))),
SUMIF(INDIRECT(Equipo!$G$4&amp;"!B10:B1000"),$B55,INDIRECT(Equipo!$G$4&amp;"!"&amp;ADDRESS(10,COLUMN(I$9)-1)&amp;":"&amp;ADDRESS(1000,COLUMN(I$9)-1)))))</f>
        <v>0</v>
      </c>
      <c r="J55" s="19">
        <f t="array" ref="J55">IF(ISBLANK(Tareas!$B51),"-",SUM(
SUMIF(INDIRECT(Equipo!$C$4&amp;"!B10:B1000"),$B55,INDIRECT(Equipo!$C$4&amp;"!"&amp;ADDRESS(10,COLUMN(J$9)-1)&amp;":"&amp;ADDRESS(1000,COLUMN(J$9)-1))),
SUMIF(INDIRECT(Equipo!$D$4&amp;"!B10:B1000"),$B55,INDIRECT(Equipo!$D$4&amp;"!"&amp;ADDRESS(10,COLUMN(J$9)-1)&amp;":"&amp;ADDRESS(1000,COLUMN(J$9)-1))),
SUMIF(INDIRECT(Equipo!$E$4&amp;"!B10:B1000"),$B55,INDIRECT(Equipo!$E$4&amp;"!"&amp;ADDRESS(10,COLUMN(J$9)-1)&amp;":"&amp;ADDRESS(1000,COLUMN(J$9)-1))),
SUMIF(INDIRECT(Equipo!$F$4&amp;"!B10:B1000"),$B55,INDIRECT(Equipo!$F$4&amp;"!"&amp;ADDRESS(10,COLUMN(J$9)-1)&amp;":"&amp;ADDRESS(1000,COLUMN(J$9)-1))),
SUMIF(INDIRECT(Equipo!$G$4&amp;"!B10:B1000"),$B55,INDIRECT(Equipo!$G$4&amp;"!"&amp;ADDRESS(10,COLUMN(J$9)-1)&amp;":"&amp;ADDRESS(1000,COLUMN(J$9)-1)))))</f>
        <v>0</v>
      </c>
      <c r="K55" s="19">
        <f t="array" ref="K55">IF(ISBLANK(Tareas!$B51),"-",SUM(
SUMIF(INDIRECT(Equipo!$C$4&amp;"!B10:B1000"),$B55,INDIRECT(Equipo!$C$4&amp;"!"&amp;ADDRESS(10,COLUMN(K$9)-1)&amp;":"&amp;ADDRESS(1000,COLUMN(K$9)-1))),
SUMIF(INDIRECT(Equipo!$D$4&amp;"!B10:B1000"),$B55,INDIRECT(Equipo!$D$4&amp;"!"&amp;ADDRESS(10,COLUMN(K$9)-1)&amp;":"&amp;ADDRESS(1000,COLUMN(K$9)-1))),
SUMIF(INDIRECT(Equipo!$E$4&amp;"!B10:B1000"),$B55,INDIRECT(Equipo!$E$4&amp;"!"&amp;ADDRESS(10,COLUMN(K$9)-1)&amp;":"&amp;ADDRESS(1000,COLUMN(K$9)-1))),
SUMIF(INDIRECT(Equipo!$F$4&amp;"!B10:B1000"),$B55,INDIRECT(Equipo!$F$4&amp;"!"&amp;ADDRESS(10,COLUMN(K$9)-1)&amp;":"&amp;ADDRESS(1000,COLUMN(K$9)-1))),
SUMIF(INDIRECT(Equipo!$G$4&amp;"!B10:B1000"),$B55,INDIRECT(Equipo!$G$4&amp;"!"&amp;ADDRESS(10,COLUMN(K$9)-1)&amp;":"&amp;ADDRESS(1000,COLUMN(K$9)-1)))))</f>
        <v>0.5</v>
      </c>
    </row>
    <row r="56" ht="15.75" customHeight="1">
      <c r="B56" s="1" t="str">
        <f>IF(ISBLANK(Tareas!B52)," - ",Tareas!B52)</f>
        <v>47. Control de versiones y revisión final del código</v>
      </c>
      <c r="D56" s="19">
        <f t="array" ref="D56">IF(ISBLANK(Tareas!$B52),"-",SUM(
SUMIF(INDIRECT(Equipo!$C$4&amp;"!B10:B1000"),$B56,INDIRECT(Equipo!$C$4&amp;"!"&amp;ADDRESS(10,COLUMN(D$9)-1)&amp;":"&amp;ADDRESS(1000,COLUMN(D$9)-1))),
SUMIF(INDIRECT(Equipo!$D$4&amp;"!B10:B1000"),$B56,INDIRECT(Equipo!$D$4&amp;"!"&amp;ADDRESS(10,COLUMN(D$9)-1)&amp;":"&amp;ADDRESS(1000,COLUMN(D$9)-1))),
SUMIF(INDIRECT(Equipo!$E$4&amp;"!B10:B1000"),$B56,INDIRECT(Equipo!$E$4&amp;"!"&amp;ADDRESS(10,COLUMN(D$9)-1)&amp;":"&amp;ADDRESS(1000,COLUMN(D$9)-1))),
SUMIF(INDIRECT(Equipo!$F$4&amp;"!B10:B1000"),$B56,INDIRECT(Equipo!$F$4&amp;"!"&amp;ADDRESS(10,COLUMN(D$9)-1)&amp;":"&amp;ADDRESS(1000,COLUMN(D$9)-1))),
SUMIF(INDIRECT(Equipo!$G$4&amp;"!B10:B1000"),$B56,INDIRECT(Equipo!$G$4&amp;"!"&amp;ADDRESS(10,COLUMN(D$9)-1)&amp;":"&amp;ADDRESS(1000,COLUMN(D$9)-1)))))</f>
        <v>0</v>
      </c>
      <c r="E56" s="19">
        <f t="array" ref="E56">IF(ISBLANK(Tareas!$B52),"-",SUM(
SUMIF(INDIRECT(Equipo!$C$4&amp;"!B10:B1000"),$B56,INDIRECT(Equipo!$C$4&amp;"!"&amp;ADDRESS(10,COLUMN(E$9)-1)&amp;":"&amp;ADDRESS(1000,COLUMN(E$9)-1))),
SUMIF(INDIRECT(Equipo!$D$4&amp;"!B10:B1000"),$B56,INDIRECT(Equipo!$D$4&amp;"!"&amp;ADDRESS(10,COLUMN(E$9)-1)&amp;":"&amp;ADDRESS(1000,COLUMN(E$9)-1))),
SUMIF(INDIRECT(Equipo!$E$4&amp;"!B10:B1000"),$B56,INDIRECT(Equipo!$E$4&amp;"!"&amp;ADDRESS(10,COLUMN(E$9)-1)&amp;":"&amp;ADDRESS(1000,COLUMN(E$9)-1))),
SUMIF(INDIRECT(Equipo!$F$4&amp;"!B10:B1000"),$B56,INDIRECT(Equipo!$F$4&amp;"!"&amp;ADDRESS(10,COLUMN(E$9)-1)&amp;":"&amp;ADDRESS(1000,COLUMN(E$9)-1))),
SUMIF(INDIRECT(Equipo!$G$4&amp;"!B10:B1000"),$B56,INDIRECT(Equipo!$G$4&amp;"!"&amp;ADDRESS(10,COLUMN(E$9)-1)&amp;":"&amp;ADDRESS(1000,COLUMN(E$9)-1)))))</f>
        <v>0</v>
      </c>
      <c r="F56" s="19">
        <f t="array" ref="F56">IF(ISBLANK(Tareas!$B52),"-",SUM(
SUMIF(INDIRECT(Equipo!$C$4&amp;"!B10:B1000"),$B56,INDIRECT(Equipo!$C$4&amp;"!"&amp;ADDRESS(10,COLUMN(F$9)-1)&amp;":"&amp;ADDRESS(1000,COLUMN(F$9)-1))),
SUMIF(INDIRECT(Equipo!$D$4&amp;"!B10:B1000"),$B56,INDIRECT(Equipo!$D$4&amp;"!"&amp;ADDRESS(10,COLUMN(F$9)-1)&amp;":"&amp;ADDRESS(1000,COLUMN(F$9)-1))),
SUMIF(INDIRECT(Equipo!$E$4&amp;"!B10:B1000"),$B56,INDIRECT(Equipo!$E$4&amp;"!"&amp;ADDRESS(10,COLUMN(F$9)-1)&amp;":"&amp;ADDRESS(1000,COLUMN(F$9)-1))),
SUMIF(INDIRECT(Equipo!$F$4&amp;"!B10:B1000"),$B56,INDIRECT(Equipo!$F$4&amp;"!"&amp;ADDRESS(10,COLUMN(F$9)-1)&amp;":"&amp;ADDRESS(1000,COLUMN(F$9)-1))),
SUMIF(INDIRECT(Equipo!$G$4&amp;"!B10:B1000"),$B56,INDIRECT(Equipo!$G$4&amp;"!"&amp;ADDRESS(10,COLUMN(F$9)-1)&amp;":"&amp;ADDRESS(1000,COLUMN(F$9)-1)))))</f>
        <v>0</v>
      </c>
      <c r="G56" s="19">
        <f t="array" ref="G56">IF(ISBLANK(Tareas!$B52),"-",SUM(
SUMIF(INDIRECT(Equipo!$C$4&amp;"!B10:B1000"),$B56,INDIRECT(Equipo!$C$4&amp;"!"&amp;ADDRESS(10,COLUMN(G$9)-1)&amp;":"&amp;ADDRESS(1000,COLUMN(G$9)-1))),
SUMIF(INDIRECT(Equipo!$D$4&amp;"!B10:B1000"),$B56,INDIRECT(Equipo!$D$4&amp;"!"&amp;ADDRESS(10,COLUMN(G$9)-1)&amp;":"&amp;ADDRESS(1000,COLUMN(G$9)-1))),
SUMIF(INDIRECT(Equipo!$E$4&amp;"!B10:B1000"),$B56,INDIRECT(Equipo!$E$4&amp;"!"&amp;ADDRESS(10,COLUMN(G$9)-1)&amp;":"&amp;ADDRESS(1000,COLUMN(G$9)-1))),
SUMIF(INDIRECT(Equipo!$F$4&amp;"!B10:B1000"),$B56,INDIRECT(Equipo!$F$4&amp;"!"&amp;ADDRESS(10,COLUMN(G$9)-1)&amp;":"&amp;ADDRESS(1000,COLUMN(G$9)-1))),
SUMIF(INDIRECT(Equipo!$G$4&amp;"!B10:B1000"),$B56,INDIRECT(Equipo!$G$4&amp;"!"&amp;ADDRESS(10,COLUMN(G$9)-1)&amp;":"&amp;ADDRESS(1000,COLUMN(G$9)-1)))))</f>
        <v>0</v>
      </c>
      <c r="H56" s="19">
        <f t="array" ref="H56">IF(ISBLANK(Tareas!$B52),"-",SUM(
SUMIF(INDIRECT(Equipo!$C$4&amp;"!B10:B1000"),$B56,INDIRECT(Equipo!$C$4&amp;"!"&amp;ADDRESS(10,COLUMN(H$9)-1)&amp;":"&amp;ADDRESS(1000,COLUMN(H$9)-1))),
SUMIF(INDIRECT(Equipo!$D$4&amp;"!B10:B1000"),$B56,INDIRECT(Equipo!$D$4&amp;"!"&amp;ADDRESS(10,COLUMN(H$9)-1)&amp;":"&amp;ADDRESS(1000,COLUMN(H$9)-1))),
SUMIF(INDIRECT(Equipo!$E$4&amp;"!B10:B1000"),$B56,INDIRECT(Equipo!$E$4&amp;"!"&amp;ADDRESS(10,COLUMN(H$9)-1)&amp;":"&amp;ADDRESS(1000,COLUMN(H$9)-1))),
SUMIF(INDIRECT(Equipo!$F$4&amp;"!B10:B1000"),$B56,INDIRECT(Equipo!$F$4&amp;"!"&amp;ADDRESS(10,COLUMN(H$9)-1)&amp;":"&amp;ADDRESS(1000,COLUMN(H$9)-1))),
SUMIF(INDIRECT(Equipo!$G$4&amp;"!B10:B1000"),$B56,INDIRECT(Equipo!$G$4&amp;"!"&amp;ADDRESS(10,COLUMN(H$9)-1)&amp;":"&amp;ADDRESS(1000,COLUMN(H$9)-1)))))</f>
        <v>0</v>
      </c>
      <c r="I56" s="19">
        <f t="array" ref="I56">IF(ISBLANK(Tareas!$B52),"-",SUM(
SUMIF(INDIRECT(Equipo!$C$4&amp;"!B10:B1000"),$B56,INDIRECT(Equipo!$C$4&amp;"!"&amp;ADDRESS(10,COLUMN(I$9)-1)&amp;":"&amp;ADDRESS(1000,COLUMN(I$9)-1))),
SUMIF(INDIRECT(Equipo!$D$4&amp;"!B10:B1000"),$B56,INDIRECT(Equipo!$D$4&amp;"!"&amp;ADDRESS(10,COLUMN(I$9)-1)&amp;":"&amp;ADDRESS(1000,COLUMN(I$9)-1))),
SUMIF(INDIRECT(Equipo!$E$4&amp;"!B10:B1000"),$B56,INDIRECT(Equipo!$E$4&amp;"!"&amp;ADDRESS(10,COLUMN(I$9)-1)&amp;":"&amp;ADDRESS(1000,COLUMN(I$9)-1))),
SUMIF(INDIRECT(Equipo!$F$4&amp;"!B10:B1000"),$B56,INDIRECT(Equipo!$F$4&amp;"!"&amp;ADDRESS(10,COLUMN(I$9)-1)&amp;":"&amp;ADDRESS(1000,COLUMN(I$9)-1))),
SUMIF(INDIRECT(Equipo!$G$4&amp;"!B10:B1000"),$B56,INDIRECT(Equipo!$G$4&amp;"!"&amp;ADDRESS(10,COLUMN(I$9)-1)&amp;":"&amp;ADDRESS(1000,COLUMN(I$9)-1)))))</f>
        <v>0</v>
      </c>
      <c r="J56" s="19">
        <f t="array" ref="J56">IF(ISBLANK(Tareas!$B52),"-",SUM(
SUMIF(INDIRECT(Equipo!$C$4&amp;"!B10:B1000"),$B56,INDIRECT(Equipo!$C$4&amp;"!"&amp;ADDRESS(10,COLUMN(J$9)-1)&amp;":"&amp;ADDRESS(1000,COLUMN(J$9)-1))),
SUMIF(INDIRECT(Equipo!$D$4&amp;"!B10:B1000"),$B56,INDIRECT(Equipo!$D$4&amp;"!"&amp;ADDRESS(10,COLUMN(J$9)-1)&amp;":"&amp;ADDRESS(1000,COLUMN(J$9)-1))),
SUMIF(INDIRECT(Equipo!$E$4&amp;"!B10:B1000"),$B56,INDIRECT(Equipo!$E$4&amp;"!"&amp;ADDRESS(10,COLUMN(J$9)-1)&amp;":"&amp;ADDRESS(1000,COLUMN(J$9)-1))),
SUMIF(INDIRECT(Equipo!$F$4&amp;"!B10:B1000"),$B56,INDIRECT(Equipo!$F$4&amp;"!"&amp;ADDRESS(10,COLUMN(J$9)-1)&amp;":"&amp;ADDRESS(1000,COLUMN(J$9)-1))),
SUMIF(INDIRECT(Equipo!$G$4&amp;"!B10:B1000"),$B56,INDIRECT(Equipo!$G$4&amp;"!"&amp;ADDRESS(10,COLUMN(J$9)-1)&amp;":"&amp;ADDRESS(1000,COLUMN(J$9)-1)))))</f>
        <v>0</v>
      </c>
      <c r="K56" s="19">
        <f t="array" ref="K56">IF(ISBLANK(Tareas!$B52),"-",SUM(
SUMIF(INDIRECT(Equipo!$C$4&amp;"!B10:B1000"),$B56,INDIRECT(Equipo!$C$4&amp;"!"&amp;ADDRESS(10,COLUMN(K$9)-1)&amp;":"&amp;ADDRESS(1000,COLUMN(K$9)-1))),
SUMIF(INDIRECT(Equipo!$D$4&amp;"!B10:B1000"),$B56,INDIRECT(Equipo!$D$4&amp;"!"&amp;ADDRESS(10,COLUMN(K$9)-1)&amp;":"&amp;ADDRESS(1000,COLUMN(K$9)-1))),
SUMIF(INDIRECT(Equipo!$E$4&amp;"!B10:B1000"),$B56,INDIRECT(Equipo!$E$4&amp;"!"&amp;ADDRESS(10,COLUMN(K$9)-1)&amp;":"&amp;ADDRESS(1000,COLUMN(K$9)-1))),
SUMIF(INDIRECT(Equipo!$F$4&amp;"!B10:B1000"),$B56,INDIRECT(Equipo!$F$4&amp;"!"&amp;ADDRESS(10,COLUMN(K$9)-1)&amp;":"&amp;ADDRESS(1000,COLUMN(K$9)-1))),
SUMIF(INDIRECT(Equipo!$G$4&amp;"!B10:B1000"),$B56,INDIRECT(Equipo!$G$4&amp;"!"&amp;ADDRESS(10,COLUMN(K$9)-1)&amp;":"&amp;ADDRESS(1000,COLUMN(K$9)-1)))))</f>
        <v>2.1</v>
      </c>
    </row>
    <row r="57" ht="15.75" customHeight="1">
      <c r="B57" s="1" t="str">
        <f>IF(ISBLANK(Tareas!B53)," - ",Tareas!B53)</f>
        <v>48. Revisión de la configuración y los documentos entregables</v>
      </c>
      <c r="D57" s="19">
        <f t="array" ref="D57">IF(ISBLANK(Tareas!$B53),"-",SUM(
SUMIF(INDIRECT(Equipo!$C$4&amp;"!B10:B1000"),$B57,INDIRECT(Equipo!$C$4&amp;"!"&amp;ADDRESS(10,COLUMN(D$9)-1)&amp;":"&amp;ADDRESS(1000,COLUMN(D$9)-1))),
SUMIF(INDIRECT(Equipo!$D$4&amp;"!B10:B1000"),$B57,INDIRECT(Equipo!$D$4&amp;"!"&amp;ADDRESS(10,COLUMN(D$9)-1)&amp;":"&amp;ADDRESS(1000,COLUMN(D$9)-1))),
SUMIF(INDIRECT(Equipo!$E$4&amp;"!B10:B1000"),$B57,INDIRECT(Equipo!$E$4&amp;"!"&amp;ADDRESS(10,COLUMN(D$9)-1)&amp;":"&amp;ADDRESS(1000,COLUMN(D$9)-1))),
SUMIF(INDIRECT(Equipo!$F$4&amp;"!B10:B1000"),$B57,INDIRECT(Equipo!$F$4&amp;"!"&amp;ADDRESS(10,COLUMN(D$9)-1)&amp;":"&amp;ADDRESS(1000,COLUMN(D$9)-1))),
SUMIF(INDIRECT(Equipo!$G$4&amp;"!B10:B1000"),$B57,INDIRECT(Equipo!$G$4&amp;"!"&amp;ADDRESS(10,COLUMN(D$9)-1)&amp;":"&amp;ADDRESS(1000,COLUMN(D$9)-1)))))</f>
        <v>0</v>
      </c>
      <c r="E57" s="19">
        <f t="array" ref="E57">IF(ISBLANK(Tareas!$B53),"-",SUM(
SUMIF(INDIRECT(Equipo!$C$4&amp;"!B10:B1000"),$B57,INDIRECT(Equipo!$C$4&amp;"!"&amp;ADDRESS(10,COLUMN(E$9)-1)&amp;":"&amp;ADDRESS(1000,COLUMN(E$9)-1))),
SUMIF(INDIRECT(Equipo!$D$4&amp;"!B10:B1000"),$B57,INDIRECT(Equipo!$D$4&amp;"!"&amp;ADDRESS(10,COLUMN(E$9)-1)&amp;":"&amp;ADDRESS(1000,COLUMN(E$9)-1))),
SUMIF(INDIRECT(Equipo!$E$4&amp;"!B10:B1000"),$B57,INDIRECT(Equipo!$E$4&amp;"!"&amp;ADDRESS(10,COLUMN(E$9)-1)&amp;":"&amp;ADDRESS(1000,COLUMN(E$9)-1))),
SUMIF(INDIRECT(Equipo!$F$4&amp;"!B10:B1000"),$B57,INDIRECT(Equipo!$F$4&amp;"!"&amp;ADDRESS(10,COLUMN(E$9)-1)&amp;":"&amp;ADDRESS(1000,COLUMN(E$9)-1))),
SUMIF(INDIRECT(Equipo!$G$4&amp;"!B10:B1000"),$B57,INDIRECT(Equipo!$G$4&amp;"!"&amp;ADDRESS(10,COLUMN(E$9)-1)&amp;":"&amp;ADDRESS(1000,COLUMN(E$9)-1)))))</f>
        <v>0</v>
      </c>
      <c r="F57" s="19">
        <f t="array" ref="F57">IF(ISBLANK(Tareas!$B53),"-",SUM(
SUMIF(INDIRECT(Equipo!$C$4&amp;"!B10:B1000"),$B57,INDIRECT(Equipo!$C$4&amp;"!"&amp;ADDRESS(10,COLUMN(F$9)-1)&amp;":"&amp;ADDRESS(1000,COLUMN(F$9)-1))),
SUMIF(INDIRECT(Equipo!$D$4&amp;"!B10:B1000"),$B57,INDIRECT(Equipo!$D$4&amp;"!"&amp;ADDRESS(10,COLUMN(F$9)-1)&amp;":"&amp;ADDRESS(1000,COLUMN(F$9)-1))),
SUMIF(INDIRECT(Equipo!$E$4&amp;"!B10:B1000"),$B57,INDIRECT(Equipo!$E$4&amp;"!"&amp;ADDRESS(10,COLUMN(F$9)-1)&amp;":"&amp;ADDRESS(1000,COLUMN(F$9)-1))),
SUMIF(INDIRECT(Equipo!$F$4&amp;"!B10:B1000"),$B57,INDIRECT(Equipo!$F$4&amp;"!"&amp;ADDRESS(10,COLUMN(F$9)-1)&amp;":"&amp;ADDRESS(1000,COLUMN(F$9)-1))),
SUMIF(INDIRECT(Equipo!$G$4&amp;"!B10:B1000"),$B57,INDIRECT(Equipo!$G$4&amp;"!"&amp;ADDRESS(10,COLUMN(F$9)-1)&amp;":"&amp;ADDRESS(1000,COLUMN(F$9)-1)))))</f>
        <v>0</v>
      </c>
      <c r="G57" s="19">
        <f t="array" ref="G57">IF(ISBLANK(Tareas!$B53),"-",SUM(
SUMIF(INDIRECT(Equipo!$C$4&amp;"!B10:B1000"),$B57,INDIRECT(Equipo!$C$4&amp;"!"&amp;ADDRESS(10,COLUMN(G$9)-1)&amp;":"&amp;ADDRESS(1000,COLUMN(G$9)-1))),
SUMIF(INDIRECT(Equipo!$D$4&amp;"!B10:B1000"),$B57,INDIRECT(Equipo!$D$4&amp;"!"&amp;ADDRESS(10,COLUMN(G$9)-1)&amp;":"&amp;ADDRESS(1000,COLUMN(G$9)-1))),
SUMIF(INDIRECT(Equipo!$E$4&amp;"!B10:B1000"),$B57,INDIRECT(Equipo!$E$4&amp;"!"&amp;ADDRESS(10,COLUMN(G$9)-1)&amp;":"&amp;ADDRESS(1000,COLUMN(G$9)-1))),
SUMIF(INDIRECT(Equipo!$F$4&amp;"!B10:B1000"),$B57,INDIRECT(Equipo!$F$4&amp;"!"&amp;ADDRESS(10,COLUMN(G$9)-1)&amp;":"&amp;ADDRESS(1000,COLUMN(G$9)-1))),
SUMIF(INDIRECT(Equipo!$G$4&amp;"!B10:B1000"),$B57,INDIRECT(Equipo!$G$4&amp;"!"&amp;ADDRESS(10,COLUMN(G$9)-1)&amp;":"&amp;ADDRESS(1000,COLUMN(G$9)-1)))))</f>
        <v>0</v>
      </c>
      <c r="H57" s="19">
        <f t="array" ref="H57">IF(ISBLANK(Tareas!$B53),"-",SUM(
SUMIF(INDIRECT(Equipo!$C$4&amp;"!B10:B1000"),$B57,INDIRECT(Equipo!$C$4&amp;"!"&amp;ADDRESS(10,COLUMN(H$9)-1)&amp;":"&amp;ADDRESS(1000,COLUMN(H$9)-1))),
SUMIF(INDIRECT(Equipo!$D$4&amp;"!B10:B1000"),$B57,INDIRECT(Equipo!$D$4&amp;"!"&amp;ADDRESS(10,COLUMN(H$9)-1)&amp;":"&amp;ADDRESS(1000,COLUMN(H$9)-1))),
SUMIF(INDIRECT(Equipo!$E$4&amp;"!B10:B1000"),$B57,INDIRECT(Equipo!$E$4&amp;"!"&amp;ADDRESS(10,COLUMN(H$9)-1)&amp;":"&amp;ADDRESS(1000,COLUMN(H$9)-1))),
SUMIF(INDIRECT(Equipo!$F$4&amp;"!B10:B1000"),$B57,INDIRECT(Equipo!$F$4&amp;"!"&amp;ADDRESS(10,COLUMN(H$9)-1)&amp;":"&amp;ADDRESS(1000,COLUMN(H$9)-1))),
SUMIF(INDIRECT(Equipo!$G$4&amp;"!B10:B1000"),$B57,INDIRECT(Equipo!$G$4&amp;"!"&amp;ADDRESS(10,COLUMN(H$9)-1)&amp;":"&amp;ADDRESS(1000,COLUMN(H$9)-1)))))</f>
        <v>0</v>
      </c>
      <c r="I57" s="19">
        <f t="array" ref="I57">IF(ISBLANK(Tareas!$B53),"-",SUM(
SUMIF(INDIRECT(Equipo!$C$4&amp;"!B10:B1000"),$B57,INDIRECT(Equipo!$C$4&amp;"!"&amp;ADDRESS(10,COLUMN(I$9)-1)&amp;":"&amp;ADDRESS(1000,COLUMN(I$9)-1))),
SUMIF(INDIRECT(Equipo!$D$4&amp;"!B10:B1000"),$B57,INDIRECT(Equipo!$D$4&amp;"!"&amp;ADDRESS(10,COLUMN(I$9)-1)&amp;":"&amp;ADDRESS(1000,COLUMN(I$9)-1))),
SUMIF(INDIRECT(Equipo!$E$4&amp;"!B10:B1000"),$B57,INDIRECT(Equipo!$E$4&amp;"!"&amp;ADDRESS(10,COLUMN(I$9)-1)&amp;":"&amp;ADDRESS(1000,COLUMN(I$9)-1))),
SUMIF(INDIRECT(Equipo!$F$4&amp;"!B10:B1000"),$B57,INDIRECT(Equipo!$F$4&amp;"!"&amp;ADDRESS(10,COLUMN(I$9)-1)&amp;":"&amp;ADDRESS(1000,COLUMN(I$9)-1))),
SUMIF(INDIRECT(Equipo!$G$4&amp;"!B10:B1000"),$B57,INDIRECT(Equipo!$G$4&amp;"!"&amp;ADDRESS(10,COLUMN(I$9)-1)&amp;":"&amp;ADDRESS(1000,COLUMN(I$9)-1)))))</f>
        <v>0</v>
      </c>
      <c r="J57" s="19">
        <f t="array" ref="J57">IF(ISBLANK(Tareas!$B53),"-",SUM(
SUMIF(INDIRECT(Equipo!$C$4&amp;"!B10:B1000"),$B57,INDIRECT(Equipo!$C$4&amp;"!"&amp;ADDRESS(10,COLUMN(J$9)-1)&amp;":"&amp;ADDRESS(1000,COLUMN(J$9)-1))),
SUMIF(INDIRECT(Equipo!$D$4&amp;"!B10:B1000"),$B57,INDIRECT(Equipo!$D$4&amp;"!"&amp;ADDRESS(10,COLUMN(J$9)-1)&amp;":"&amp;ADDRESS(1000,COLUMN(J$9)-1))),
SUMIF(INDIRECT(Equipo!$E$4&amp;"!B10:B1000"),$B57,INDIRECT(Equipo!$E$4&amp;"!"&amp;ADDRESS(10,COLUMN(J$9)-1)&amp;":"&amp;ADDRESS(1000,COLUMN(J$9)-1))),
SUMIF(INDIRECT(Equipo!$F$4&amp;"!B10:B1000"),$B57,INDIRECT(Equipo!$F$4&amp;"!"&amp;ADDRESS(10,COLUMN(J$9)-1)&amp;":"&amp;ADDRESS(1000,COLUMN(J$9)-1))),
SUMIF(INDIRECT(Equipo!$G$4&amp;"!B10:B1000"),$B57,INDIRECT(Equipo!$G$4&amp;"!"&amp;ADDRESS(10,COLUMN(J$9)-1)&amp;":"&amp;ADDRESS(1000,COLUMN(J$9)-1)))))</f>
        <v>0</v>
      </c>
      <c r="K57" s="19">
        <f t="array" ref="K57">IF(ISBLANK(Tareas!$B53),"-",SUM(
SUMIF(INDIRECT(Equipo!$C$4&amp;"!B10:B1000"),$B57,INDIRECT(Equipo!$C$4&amp;"!"&amp;ADDRESS(10,COLUMN(K$9)-1)&amp;":"&amp;ADDRESS(1000,COLUMN(K$9)-1))),
SUMIF(INDIRECT(Equipo!$D$4&amp;"!B10:B1000"),$B57,INDIRECT(Equipo!$D$4&amp;"!"&amp;ADDRESS(10,COLUMN(K$9)-1)&amp;":"&amp;ADDRESS(1000,COLUMN(K$9)-1))),
SUMIF(INDIRECT(Equipo!$E$4&amp;"!B10:B1000"),$B57,INDIRECT(Equipo!$E$4&amp;"!"&amp;ADDRESS(10,COLUMN(K$9)-1)&amp;":"&amp;ADDRESS(1000,COLUMN(K$9)-1))),
SUMIF(INDIRECT(Equipo!$F$4&amp;"!B10:B1000"),$B57,INDIRECT(Equipo!$F$4&amp;"!"&amp;ADDRESS(10,COLUMN(K$9)-1)&amp;":"&amp;ADDRESS(1000,COLUMN(K$9)-1))),
SUMIF(INDIRECT(Equipo!$G$4&amp;"!B10:B1000"),$B57,INDIRECT(Equipo!$G$4&amp;"!"&amp;ADDRESS(10,COLUMN(K$9)-1)&amp;":"&amp;ADDRESS(1000,COLUMN(K$9)-1)))))</f>
        <v>1</v>
      </c>
    </row>
    <row r="58" ht="15.75" customHeight="1">
      <c r="B58" s="1" t="str">
        <f>IF(ISBLANK(Tareas!B54)," - ",Tareas!B54)</f>
        <v>49. Revisión de los resultados de las pruebas y corrección de errores</v>
      </c>
      <c r="D58" s="19">
        <f t="array" ref="D58">IF(ISBLANK(Tareas!$B54),"-",SUM(
SUMIF(INDIRECT(Equipo!$C$4&amp;"!B10:B1000"),$B58,INDIRECT(Equipo!$C$4&amp;"!"&amp;ADDRESS(10,COLUMN(D$9)-1)&amp;":"&amp;ADDRESS(1000,COLUMN(D$9)-1))),
SUMIF(INDIRECT(Equipo!$D$4&amp;"!B10:B1000"),$B58,INDIRECT(Equipo!$D$4&amp;"!"&amp;ADDRESS(10,COLUMN(D$9)-1)&amp;":"&amp;ADDRESS(1000,COLUMN(D$9)-1))),
SUMIF(INDIRECT(Equipo!$E$4&amp;"!B10:B1000"),$B58,INDIRECT(Equipo!$E$4&amp;"!"&amp;ADDRESS(10,COLUMN(D$9)-1)&amp;":"&amp;ADDRESS(1000,COLUMN(D$9)-1))),
SUMIF(INDIRECT(Equipo!$F$4&amp;"!B10:B1000"),$B58,INDIRECT(Equipo!$F$4&amp;"!"&amp;ADDRESS(10,COLUMN(D$9)-1)&amp;":"&amp;ADDRESS(1000,COLUMN(D$9)-1))),
SUMIF(INDIRECT(Equipo!$G$4&amp;"!B10:B1000"),$B58,INDIRECT(Equipo!$G$4&amp;"!"&amp;ADDRESS(10,COLUMN(D$9)-1)&amp;":"&amp;ADDRESS(1000,COLUMN(D$9)-1)))))</f>
        <v>0</v>
      </c>
      <c r="E58" s="19">
        <f t="array" ref="E58">IF(ISBLANK(Tareas!$B54),"-",SUM(
SUMIF(INDIRECT(Equipo!$C$4&amp;"!B10:B1000"),$B58,INDIRECT(Equipo!$C$4&amp;"!"&amp;ADDRESS(10,COLUMN(E$9)-1)&amp;":"&amp;ADDRESS(1000,COLUMN(E$9)-1))),
SUMIF(INDIRECT(Equipo!$D$4&amp;"!B10:B1000"),$B58,INDIRECT(Equipo!$D$4&amp;"!"&amp;ADDRESS(10,COLUMN(E$9)-1)&amp;":"&amp;ADDRESS(1000,COLUMN(E$9)-1))),
SUMIF(INDIRECT(Equipo!$E$4&amp;"!B10:B1000"),$B58,INDIRECT(Equipo!$E$4&amp;"!"&amp;ADDRESS(10,COLUMN(E$9)-1)&amp;":"&amp;ADDRESS(1000,COLUMN(E$9)-1))),
SUMIF(INDIRECT(Equipo!$F$4&amp;"!B10:B1000"),$B58,INDIRECT(Equipo!$F$4&amp;"!"&amp;ADDRESS(10,COLUMN(E$9)-1)&amp;":"&amp;ADDRESS(1000,COLUMN(E$9)-1))),
SUMIF(INDIRECT(Equipo!$G$4&amp;"!B10:B1000"),$B58,INDIRECT(Equipo!$G$4&amp;"!"&amp;ADDRESS(10,COLUMN(E$9)-1)&amp;":"&amp;ADDRESS(1000,COLUMN(E$9)-1)))))</f>
        <v>0</v>
      </c>
      <c r="F58" s="19">
        <f t="array" ref="F58">IF(ISBLANK(Tareas!$B54),"-",SUM(
SUMIF(INDIRECT(Equipo!$C$4&amp;"!B10:B1000"),$B58,INDIRECT(Equipo!$C$4&amp;"!"&amp;ADDRESS(10,COLUMN(F$9)-1)&amp;":"&amp;ADDRESS(1000,COLUMN(F$9)-1))),
SUMIF(INDIRECT(Equipo!$D$4&amp;"!B10:B1000"),$B58,INDIRECT(Equipo!$D$4&amp;"!"&amp;ADDRESS(10,COLUMN(F$9)-1)&amp;":"&amp;ADDRESS(1000,COLUMN(F$9)-1))),
SUMIF(INDIRECT(Equipo!$E$4&amp;"!B10:B1000"),$B58,INDIRECT(Equipo!$E$4&amp;"!"&amp;ADDRESS(10,COLUMN(F$9)-1)&amp;":"&amp;ADDRESS(1000,COLUMN(F$9)-1))),
SUMIF(INDIRECT(Equipo!$F$4&amp;"!B10:B1000"),$B58,INDIRECT(Equipo!$F$4&amp;"!"&amp;ADDRESS(10,COLUMN(F$9)-1)&amp;":"&amp;ADDRESS(1000,COLUMN(F$9)-1))),
SUMIF(INDIRECT(Equipo!$G$4&amp;"!B10:B1000"),$B58,INDIRECT(Equipo!$G$4&amp;"!"&amp;ADDRESS(10,COLUMN(F$9)-1)&amp;":"&amp;ADDRESS(1000,COLUMN(F$9)-1)))))</f>
        <v>0</v>
      </c>
      <c r="G58" s="19">
        <f t="array" ref="G58">IF(ISBLANK(Tareas!$B54),"-",SUM(
SUMIF(INDIRECT(Equipo!$C$4&amp;"!B10:B1000"),$B58,INDIRECT(Equipo!$C$4&amp;"!"&amp;ADDRESS(10,COLUMN(G$9)-1)&amp;":"&amp;ADDRESS(1000,COLUMN(G$9)-1))),
SUMIF(INDIRECT(Equipo!$D$4&amp;"!B10:B1000"),$B58,INDIRECT(Equipo!$D$4&amp;"!"&amp;ADDRESS(10,COLUMN(G$9)-1)&amp;":"&amp;ADDRESS(1000,COLUMN(G$9)-1))),
SUMIF(INDIRECT(Equipo!$E$4&amp;"!B10:B1000"),$B58,INDIRECT(Equipo!$E$4&amp;"!"&amp;ADDRESS(10,COLUMN(G$9)-1)&amp;":"&amp;ADDRESS(1000,COLUMN(G$9)-1))),
SUMIF(INDIRECT(Equipo!$F$4&amp;"!B10:B1000"),$B58,INDIRECT(Equipo!$F$4&amp;"!"&amp;ADDRESS(10,COLUMN(G$9)-1)&amp;":"&amp;ADDRESS(1000,COLUMN(G$9)-1))),
SUMIF(INDIRECT(Equipo!$G$4&amp;"!B10:B1000"),$B58,INDIRECT(Equipo!$G$4&amp;"!"&amp;ADDRESS(10,COLUMN(G$9)-1)&amp;":"&amp;ADDRESS(1000,COLUMN(G$9)-1)))))</f>
        <v>0</v>
      </c>
      <c r="H58" s="19">
        <f t="array" ref="H58">IF(ISBLANK(Tareas!$B54),"-",SUM(
SUMIF(INDIRECT(Equipo!$C$4&amp;"!B10:B1000"),$B58,INDIRECT(Equipo!$C$4&amp;"!"&amp;ADDRESS(10,COLUMN(H$9)-1)&amp;":"&amp;ADDRESS(1000,COLUMN(H$9)-1))),
SUMIF(INDIRECT(Equipo!$D$4&amp;"!B10:B1000"),$B58,INDIRECT(Equipo!$D$4&amp;"!"&amp;ADDRESS(10,COLUMN(H$9)-1)&amp;":"&amp;ADDRESS(1000,COLUMN(H$9)-1))),
SUMIF(INDIRECT(Equipo!$E$4&amp;"!B10:B1000"),$B58,INDIRECT(Equipo!$E$4&amp;"!"&amp;ADDRESS(10,COLUMN(H$9)-1)&amp;":"&amp;ADDRESS(1000,COLUMN(H$9)-1))),
SUMIF(INDIRECT(Equipo!$F$4&amp;"!B10:B1000"),$B58,INDIRECT(Equipo!$F$4&amp;"!"&amp;ADDRESS(10,COLUMN(H$9)-1)&amp;":"&amp;ADDRESS(1000,COLUMN(H$9)-1))),
SUMIF(INDIRECT(Equipo!$G$4&amp;"!B10:B1000"),$B58,INDIRECT(Equipo!$G$4&amp;"!"&amp;ADDRESS(10,COLUMN(H$9)-1)&amp;":"&amp;ADDRESS(1000,COLUMN(H$9)-1)))))</f>
        <v>0</v>
      </c>
      <c r="I58" s="19">
        <f t="array" ref="I58">IF(ISBLANK(Tareas!$B54),"-",SUM(
SUMIF(INDIRECT(Equipo!$C$4&amp;"!B10:B1000"),$B58,INDIRECT(Equipo!$C$4&amp;"!"&amp;ADDRESS(10,COLUMN(I$9)-1)&amp;":"&amp;ADDRESS(1000,COLUMN(I$9)-1))),
SUMIF(INDIRECT(Equipo!$D$4&amp;"!B10:B1000"),$B58,INDIRECT(Equipo!$D$4&amp;"!"&amp;ADDRESS(10,COLUMN(I$9)-1)&amp;":"&amp;ADDRESS(1000,COLUMN(I$9)-1))),
SUMIF(INDIRECT(Equipo!$E$4&amp;"!B10:B1000"),$B58,INDIRECT(Equipo!$E$4&amp;"!"&amp;ADDRESS(10,COLUMN(I$9)-1)&amp;":"&amp;ADDRESS(1000,COLUMN(I$9)-1))),
SUMIF(INDIRECT(Equipo!$F$4&amp;"!B10:B1000"),$B58,INDIRECT(Equipo!$F$4&amp;"!"&amp;ADDRESS(10,COLUMN(I$9)-1)&amp;":"&amp;ADDRESS(1000,COLUMN(I$9)-1))),
SUMIF(INDIRECT(Equipo!$G$4&amp;"!B10:B1000"),$B58,INDIRECT(Equipo!$G$4&amp;"!"&amp;ADDRESS(10,COLUMN(I$9)-1)&amp;":"&amp;ADDRESS(1000,COLUMN(I$9)-1)))))</f>
        <v>0</v>
      </c>
      <c r="J58" s="19">
        <f t="array" ref="J58">IF(ISBLANK(Tareas!$B54),"-",SUM(
SUMIF(INDIRECT(Equipo!$C$4&amp;"!B10:B1000"),$B58,INDIRECT(Equipo!$C$4&amp;"!"&amp;ADDRESS(10,COLUMN(J$9)-1)&amp;":"&amp;ADDRESS(1000,COLUMN(J$9)-1))),
SUMIF(INDIRECT(Equipo!$D$4&amp;"!B10:B1000"),$B58,INDIRECT(Equipo!$D$4&amp;"!"&amp;ADDRESS(10,COLUMN(J$9)-1)&amp;":"&amp;ADDRESS(1000,COLUMN(J$9)-1))),
SUMIF(INDIRECT(Equipo!$E$4&amp;"!B10:B1000"),$B58,INDIRECT(Equipo!$E$4&amp;"!"&amp;ADDRESS(10,COLUMN(J$9)-1)&amp;":"&amp;ADDRESS(1000,COLUMN(J$9)-1))),
SUMIF(INDIRECT(Equipo!$F$4&amp;"!B10:B1000"),$B58,INDIRECT(Equipo!$F$4&amp;"!"&amp;ADDRESS(10,COLUMN(J$9)-1)&amp;":"&amp;ADDRESS(1000,COLUMN(J$9)-1))),
SUMIF(INDIRECT(Equipo!$G$4&amp;"!B10:B1000"),$B58,INDIRECT(Equipo!$G$4&amp;"!"&amp;ADDRESS(10,COLUMN(J$9)-1)&amp;":"&amp;ADDRESS(1000,COLUMN(J$9)-1)))))</f>
        <v>0</v>
      </c>
      <c r="K58" s="19">
        <f t="array" ref="K58">IF(ISBLANK(Tareas!$B54),"-",SUM(
SUMIF(INDIRECT(Equipo!$C$4&amp;"!B10:B1000"),$B58,INDIRECT(Equipo!$C$4&amp;"!"&amp;ADDRESS(10,COLUMN(K$9)-1)&amp;":"&amp;ADDRESS(1000,COLUMN(K$9)-1))),
SUMIF(INDIRECT(Equipo!$D$4&amp;"!B10:B1000"),$B58,INDIRECT(Equipo!$D$4&amp;"!"&amp;ADDRESS(10,COLUMN(K$9)-1)&amp;":"&amp;ADDRESS(1000,COLUMN(K$9)-1))),
SUMIF(INDIRECT(Equipo!$E$4&amp;"!B10:B1000"),$B58,INDIRECT(Equipo!$E$4&amp;"!"&amp;ADDRESS(10,COLUMN(K$9)-1)&amp;":"&amp;ADDRESS(1000,COLUMN(K$9)-1))),
SUMIF(INDIRECT(Equipo!$F$4&amp;"!B10:B1000"),$B58,INDIRECT(Equipo!$F$4&amp;"!"&amp;ADDRESS(10,COLUMN(K$9)-1)&amp;":"&amp;ADDRESS(1000,COLUMN(K$9)-1))),
SUMIF(INDIRECT(Equipo!$G$4&amp;"!B10:B1000"),$B58,INDIRECT(Equipo!$G$4&amp;"!"&amp;ADDRESS(10,COLUMN(K$9)-1)&amp;":"&amp;ADDRESS(1000,COLUMN(K$9)-1)))))</f>
        <v>0.3</v>
      </c>
    </row>
    <row r="59" ht="15.75" customHeight="1">
      <c r="B59" s="1" t="str">
        <f>IF(ISBLANK(Tareas!B55)," - ",Tareas!B55)</f>
        <v>50. Corrección del código (post-revisión)</v>
      </c>
      <c r="D59" s="19">
        <f t="array" ref="D59">IF(ISBLANK(Tareas!$B55),"-",SUM(
SUMIF(INDIRECT(Equipo!$C$4&amp;"!B10:B1000"),$B59,INDIRECT(Equipo!$C$4&amp;"!"&amp;ADDRESS(10,COLUMN(D$9)-1)&amp;":"&amp;ADDRESS(1000,COLUMN(D$9)-1))),
SUMIF(INDIRECT(Equipo!$D$4&amp;"!B10:B1000"),$B59,INDIRECT(Equipo!$D$4&amp;"!"&amp;ADDRESS(10,COLUMN(D$9)-1)&amp;":"&amp;ADDRESS(1000,COLUMN(D$9)-1))),
SUMIF(INDIRECT(Equipo!$E$4&amp;"!B10:B1000"),$B59,INDIRECT(Equipo!$E$4&amp;"!"&amp;ADDRESS(10,COLUMN(D$9)-1)&amp;":"&amp;ADDRESS(1000,COLUMN(D$9)-1))),
SUMIF(INDIRECT(Equipo!$F$4&amp;"!B10:B1000"),$B59,INDIRECT(Equipo!$F$4&amp;"!"&amp;ADDRESS(10,COLUMN(D$9)-1)&amp;":"&amp;ADDRESS(1000,COLUMN(D$9)-1))),
SUMIF(INDIRECT(Equipo!$G$4&amp;"!B10:B1000"),$B59,INDIRECT(Equipo!$G$4&amp;"!"&amp;ADDRESS(10,COLUMN(D$9)-1)&amp;":"&amp;ADDRESS(1000,COLUMN(D$9)-1)))))</f>
        <v>0</v>
      </c>
      <c r="E59" s="19">
        <f t="array" ref="E59">IF(ISBLANK(Tareas!$B55),"-",SUM(
SUMIF(INDIRECT(Equipo!$C$4&amp;"!B10:B1000"),$B59,INDIRECT(Equipo!$C$4&amp;"!"&amp;ADDRESS(10,COLUMN(E$9)-1)&amp;":"&amp;ADDRESS(1000,COLUMN(E$9)-1))),
SUMIF(INDIRECT(Equipo!$D$4&amp;"!B10:B1000"),$B59,INDIRECT(Equipo!$D$4&amp;"!"&amp;ADDRESS(10,COLUMN(E$9)-1)&amp;":"&amp;ADDRESS(1000,COLUMN(E$9)-1))),
SUMIF(INDIRECT(Equipo!$E$4&amp;"!B10:B1000"),$B59,INDIRECT(Equipo!$E$4&amp;"!"&amp;ADDRESS(10,COLUMN(E$9)-1)&amp;":"&amp;ADDRESS(1000,COLUMN(E$9)-1))),
SUMIF(INDIRECT(Equipo!$F$4&amp;"!B10:B1000"),$B59,INDIRECT(Equipo!$F$4&amp;"!"&amp;ADDRESS(10,COLUMN(E$9)-1)&amp;":"&amp;ADDRESS(1000,COLUMN(E$9)-1))),
SUMIF(INDIRECT(Equipo!$G$4&amp;"!B10:B1000"),$B59,INDIRECT(Equipo!$G$4&amp;"!"&amp;ADDRESS(10,COLUMN(E$9)-1)&amp;":"&amp;ADDRESS(1000,COLUMN(E$9)-1)))))</f>
        <v>0</v>
      </c>
      <c r="F59" s="19">
        <f t="array" ref="F59">IF(ISBLANK(Tareas!$B55),"-",SUM(
SUMIF(INDIRECT(Equipo!$C$4&amp;"!B10:B1000"),$B59,INDIRECT(Equipo!$C$4&amp;"!"&amp;ADDRESS(10,COLUMN(F$9)-1)&amp;":"&amp;ADDRESS(1000,COLUMN(F$9)-1))),
SUMIF(INDIRECT(Equipo!$D$4&amp;"!B10:B1000"),$B59,INDIRECT(Equipo!$D$4&amp;"!"&amp;ADDRESS(10,COLUMN(F$9)-1)&amp;":"&amp;ADDRESS(1000,COLUMN(F$9)-1))),
SUMIF(INDIRECT(Equipo!$E$4&amp;"!B10:B1000"),$B59,INDIRECT(Equipo!$E$4&amp;"!"&amp;ADDRESS(10,COLUMN(F$9)-1)&amp;":"&amp;ADDRESS(1000,COLUMN(F$9)-1))),
SUMIF(INDIRECT(Equipo!$F$4&amp;"!B10:B1000"),$B59,INDIRECT(Equipo!$F$4&amp;"!"&amp;ADDRESS(10,COLUMN(F$9)-1)&amp;":"&amp;ADDRESS(1000,COLUMN(F$9)-1))),
SUMIF(INDIRECT(Equipo!$G$4&amp;"!B10:B1000"),$B59,INDIRECT(Equipo!$G$4&amp;"!"&amp;ADDRESS(10,COLUMN(F$9)-1)&amp;":"&amp;ADDRESS(1000,COLUMN(F$9)-1)))))</f>
        <v>0</v>
      </c>
      <c r="G59" s="19">
        <f t="array" ref="G59">IF(ISBLANK(Tareas!$B55),"-",SUM(
SUMIF(INDIRECT(Equipo!$C$4&amp;"!B10:B1000"),$B59,INDIRECT(Equipo!$C$4&amp;"!"&amp;ADDRESS(10,COLUMN(G$9)-1)&amp;":"&amp;ADDRESS(1000,COLUMN(G$9)-1))),
SUMIF(INDIRECT(Equipo!$D$4&amp;"!B10:B1000"),$B59,INDIRECT(Equipo!$D$4&amp;"!"&amp;ADDRESS(10,COLUMN(G$9)-1)&amp;":"&amp;ADDRESS(1000,COLUMN(G$9)-1))),
SUMIF(INDIRECT(Equipo!$E$4&amp;"!B10:B1000"),$B59,INDIRECT(Equipo!$E$4&amp;"!"&amp;ADDRESS(10,COLUMN(G$9)-1)&amp;":"&amp;ADDRESS(1000,COLUMN(G$9)-1))),
SUMIF(INDIRECT(Equipo!$F$4&amp;"!B10:B1000"),$B59,INDIRECT(Equipo!$F$4&amp;"!"&amp;ADDRESS(10,COLUMN(G$9)-1)&amp;":"&amp;ADDRESS(1000,COLUMN(G$9)-1))),
SUMIF(INDIRECT(Equipo!$G$4&amp;"!B10:B1000"),$B59,INDIRECT(Equipo!$G$4&amp;"!"&amp;ADDRESS(10,COLUMN(G$9)-1)&amp;":"&amp;ADDRESS(1000,COLUMN(G$9)-1)))))</f>
        <v>0</v>
      </c>
      <c r="H59" s="19">
        <f t="array" ref="H59">IF(ISBLANK(Tareas!$B55),"-",SUM(
SUMIF(INDIRECT(Equipo!$C$4&amp;"!B10:B1000"),$B59,INDIRECT(Equipo!$C$4&amp;"!"&amp;ADDRESS(10,COLUMN(H$9)-1)&amp;":"&amp;ADDRESS(1000,COLUMN(H$9)-1))),
SUMIF(INDIRECT(Equipo!$D$4&amp;"!B10:B1000"),$B59,INDIRECT(Equipo!$D$4&amp;"!"&amp;ADDRESS(10,COLUMN(H$9)-1)&amp;":"&amp;ADDRESS(1000,COLUMN(H$9)-1))),
SUMIF(INDIRECT(Equipo!$E$4&amp;"!B10:B1000"),$B59,INDIRECT(Equipo!$E$4&amp;"!"&amp;ADDRESS(10,COLUMN(H$9)-1)&amp;":"&amp;ADDRESS(1000,COLUMN(H$9)-1))),
SUMIF(INDIRECT(Equipo!$F$4&amp;"!B10:B1000"),$B59,INDIRECT(Equipo!$F$4&amp;"!"&amp;ADDRESS(10,COLUMN(H$9)-1)&amp;":"&amp;ADDRESS(1000,COLUMN(H$9)-1))),
SUMIF(INDIRECT(Equipo!$G$4&amp;"!B10:B1000"),$B59,INDIRECT(Equipo!$G$4&amp;"!"&amp;ADDRESS(10,COLUMN(H$9)-1)&amp;":"&amp;ADDRESS(1000,COLUMN(H$9)-1)))))</f>
        <v>0</v>
      </c>
      <c r="I59" s="19">
        <f t="array" ref="I59">IF(ISBLANK(Tareas!$B55),"-",SUM(
SUMIF(INDIRECT(Equipo!$C$4&amp;"!B10:B1000"),$B59,INDIRECT(Equipo!$C$4&amp;"!"&amp;ADDRESS(10,COLUMN(I$9)-1)&amp;":"&amp;ADDRESS(1000,COLUMN(I$9)-1))),
SUMIF(INDIRECT(Equipo!$D$4&amp;"!B10:B1000"),$B59,INDIRECT(Equipo!$D$4&amp;"!"&amp;ADDRESS(10,COLUMN(I$9)-1)&amp;":"&amp;ADDRESS(1000,COLUMN(I$9)-1))),
SUMIF(INDIRECT(Equipo!$E$4&amp;"!B10:B1000"),$B59,INDIRECT(Equipo!$E$4&amp;"!"&amp;ADDRESS(10,COLUMN(I$9)-1)&amp;":"&amp;ADDRESS(1000,COLUMN(I$9)-1))),
SUMIF(INDIRECT(Equipo!$F$4&amp;"!B10:B1000"),$B59,INDIRECT(Equipo!$F$4&amp;"!"&amp;ADDRESS(10,COLUMN(I$9)-1)&amp;":"&amp;ADDRESS(1000,COLUMN(I$9)-1))),
SUMIF(INDIRECT(Equipo!$G$4&amp;"!B10:B1000"),$B59,INDIRECT(Equipo!$G$4&amp;"!"&amp;ADDRESS(10,COLUMN(I$9)-1)&amp;":"&amp;ADDRESS(1000,COLUMN(I$9)-1)))))</f>
        <v>0</v>
      </c>
      <c r="J59" s="19">
        <f t="array" ref="J59">IF(ISBLANK(Tareas!$B55),"-",SUM(
SUMIF(INDIRECT(Equipo!$C$4&amp;"!B10:B1000"),$B59,INDIRECT(Equipo!$C$4&amp;"!"&amp;ADDRESS(10,COLUMN(J$9)-1)&amp;":"&amp;ADDRESS(1000,COLUMN(J$9)-1))),
SUMIF(INDIRECT(Equipo!$D$4&amp;"!B10:B1000"),$B59,INDIRECT(Equipo!$D$4&amp;"!"&amp;ADDRESS(10,COLUMN(J$9)-1)&amp;":"&amp;ADDRESS(1000,COLUMN(J$9)-1))),
SUMIF(INDIRECT(Equipo!$E$4&amp;"!B10:B1000"),$B59,INDIRECT(Equipo!$E$4&amp;"!"&amp;ADDRESS(10,COLUMN(J$9)-1)&amp;":"&amp;ADDRESS(1000,COLUMN(J$9)-1))),
SUMIF(INDIRECT(Equipo!$F$4&amp;"!B10:B1000"),$B59,INDIRECT(Equipo!$F$4&amp;"!"&amp;ADDRESS(10,COLUMN(J$9)-1)&amp;":"&amp;ADDRESS(1000,COLUMN(J$9)-1))),
SUMIF(INDIRECT(Equipo!$G$4&amp;"!B10:B1000"),$B59,INDIRECT(Equipo!$G$4&amp;"!"&amp;ADDRESS(10,COLUMN(J$9)-1)&amp;":"&amp;ADDRESS(1000,COLUMN(J$9)-1)))))</f>
        <v>0</v>
      </c>
      <c r="K59" s="19">
        <f t="array" ref="K59">IF(ISBLANK(Tareas!$B55),"-",SUM(
SUMIF(INDIRECT(Equipo!$C$4&amp;"!B10:B1000"),$B59,INDIRECT(Equipo!$C$4&amp;"!"&amp;ADDRESS(10,COLUMN(K$9)-1)&amp;":"&amp;ADDRESS(1000,COLUMN(K$9)-1))),
SUMIF(INDIRECT(Equipo!$D$4&amp;"!B10:B1000"),$B59,INDIRECT(Equipo!$D$4&amp;"!"&amp;ADDRESS(10,COLUMN(K$9)-1)&amp;":"&amp;ADDRESS(1000,COLUMN(K$9)-1))),
SUMIF(INDIRECT(Equipo!$E$4&amp;"!B10:B1000"),$B59,INDIRECT(Equipo!$E$4&amp;"!"&amp;ADDRESS(10,COLUMN(K$9)-1)&amp;":"&amp;ADDRESS(1000,COLUMN(K$9)-1))),
SUMIF(INDIRECT(Equipo!$F$4&amp;"!B10:B1000"),$B59,INDIRECT(Equipo!$F$4&amp;"!"&amp;ADDRESS(10,COLUMN(K$9)-1)&amp;":"&amp;ADDRESS(1000,COLUMN(K$9)-1))),
SUMIF(INDIRECT(Equipo!$G$4&amp;"!B10:B1000"),$B59,INDIRECT(Equipo!$G$4&amp;"!"&amp;ADDRESS(10,COLUMN(K$9)-1)&amp;":"&amp;ADDRESS(1000,COLUMN(K$9)-1)))))</f>
        <v>1.8</v>
      </c>
    </row>
    <row r="60" ht="15.75" customHeight="1">
      <c r="B60" s="1" t="str">
        <f>IF(ISBLANK(Tareas!B56)," - ",Tareas!B56)</f>
        <v>51. Documentación de los resultados y errores de las pruebas</v>
      </c>
      <c r="D60" s="19">
        <f t="array" ref="D60">IF(ISBLANK(Tareas!$B56),"-",SUM(
SUMIF(INDIRECT(Equipo!$C$4&amp;"!B10:B1000"),$B60,INDIRECT(Equipo!$C$4&amp;"!"&amp;ADDRESS(10,COLUMN(D$9)-1)&amp;":"&amp;ADDRESS(1000,COLUMN(D$9)-1))),
SUMIF(INDIRECT(Equipo!$D$4&amp;"!B10:B1000"),$B60,INDIRECT(Equipo!$D$4&amp;"!"&amp;ADDRESS(10,COLUMN(D$9)-1)&amp;":"&amp;ADDRESS(1000,COLUMN(D$9)-1))),
SUMIF(INDIRECT(Equipo!$E$4&amp;"!B10:B1000"),$B60,INDIRECT(Equipo!$E$4&amp;"!"&amp;ADDRESS(10,COLUMN(D$9)-1)&amp;":"&amp;ADDRESS(1000,COLUMN(D$9)-1))),
SUMIF(INDIRECT(Equipo!$F$4&amp;"!B10:B1000"),$B60,INDIRECT(Equipo!$F$4&amp;"!"&amp;ADDRESS(10,COLUMN(D$9)-1)&amp;":"&amp;ADDRESS(1000,COLUMN(D$9)-1))),
SUMIF(INDIRECT(Equipo!$G$4&amp;"!B10:B1000"),$B60,INDIRECT(Equipo!$G$4&amp;"!"&amp;ADDRESS(10,COLUMN(D$9)-1)&amp;":"&amp;ADDRESS(1000,COLUMN(D$9)-1)))))</f>
        <v>0</v>
      </c>
      <c r="E60" s="19">
        <f t="array" ref="E60">IF(ISBLANK(Tareas!$B56),"-",SUM(
SUMIF(INDIRECT(Equipo!$C$4&amp;"!B10:B1000"),$B60,INDIRECT(Equipo!$C$4&amp;"!"&amp;ADDRESS(10,COLUMN(E$9)-1)&amp;":"&amp;ADDRESS(1000,COLUMN(E$9)-1))),
SUMIF(INDIRECT(Equipo!$D$4&amp;"!B10:B1000"),$B60,INDIRECT(Equipo!$D$4&amp;"!"&amp;ADDRESS(10,COLUMN(E$9)-1)&amp;":"&amp;ADDRESS(1000,COLUMN(E$9)-1))),
SUMIF(INDIRECT(Equipo!$E$4&amp;"!B10:B1000"),$B60,INDIRECT(Equipo!$E$4&amp;"!"&amp;ADDRESS(10,COLUMN(E$9)-1)&amp;":"&amp;ADDRESS(1000,COLUMN(E$9)-1))),
SUMIF(INDIRECT(Equipo!$F$4&amp;"!B10:B1000"),$B60,INDIRECT(Equipo!$F$4&amp;"!"&amp;ADDRESS(10,COLUMN(E$9)-1)&amp;":"&amp;ADDRESS(1000,COLUMN(E$9)-1))),
SUMIF(INDIRECT(Equipo!$G$4&amp;"!B10:B1000"),$B60,INDIRECT(Equipo!$G$4&amp;"!"&amp;ADDRESS(10,COLUMN(E$9)-1)&amp;":"&amp;ADDRESS(1000,COLUMN(E$9)-1)))))</f>
        <v>0</v>
      </c>
      <c r="F60" s="19">
        <f t="array" ref="F60">IF(ISBLANK(Tareas!$B56),"-",SUM(
SUMIF(INDIRECT(Equipo!$C$4&amp;"!B10:B1000"),$B60,INDIRECT(Equipo!$C$4&amp;"!"&amp;ADDRESS(10,COLUMN(F$9)-1)&amp;":"&amp;ADDRESS(1000,COLUMN(F$9)-1))),
SUMIF(INDIRECT(Equipo!$D$4&amp;"!B10:B1000"),$B60,INDIRECT(Equipo!$D$4&amp;"!"&amp;ADDRESS(10,COLUMN(F$9)-1)&amp;":"&amp;ADDRESS(1000,COLUMN(F$9)-1))),
SUMIF(INDIRECT(Equipo!$E$4&amp;"!B10:B1000"),$B60,INDIRECT(Equipo!$E$4&amp;"!"&amp;ADDRESS(10,COLUMN(F$9)-1)&amp;":"&amp;ADDRESS(1000,COLUMN(F$9)-1))),
SUMIF(INDIRECT(Equipo!$F$4&amp;"!B10:B1000"),$B60,INDIRECT(Equipo!$F$4&amp;"!"&amp;ADDRESS(10,COLUMN(F$9)-1)&amp;":"&amp;ADDRESS(1000,COLUMN(F$9)-1))),
SUMIF(INDIRECT(Equipo!$G$4&amp;"!B10:B1000"),$B60,INDIRECT(Equipo!$G$4&amp;"!"&amp;ADDRESS(10,COLUMN(F$9)-1)&amp;":"&amp;ADDRESS(1000,COLUMN(F$9)-1)))))</f>
        <v>0</v>
      </c>
      <c r="G60" s="19">
        <f t="array" ref="G60">IF(ISBLANK(Tareas!$B56),"-",SUM(
SUMIF(INDIRECT(Equipo!$C$4&amp;"!B10:B1000"),$B60,INDIRECT(Equipo!$C$4&amp;"!"&amp;ADDRESS(10,COLUMN(G$9)-1)&amp;":"&amp;ADDRESS(1000,COLUMN(G$9)-1))),
SUMIF(INDIRECT(Equipo!$D$4&amp;"!B10:B1000"),$B60,INDIRECT(Equipo!$D$4&amp;"!"&amp;ADDRESS(10,COLUMN(G$9)-1)&amp;":"&amp;ADDRESS(1000,COLUMN(G$9)-1))),
SUMIF(INDIRECT(Equipo!$E$4&amp;"!B10:B1000"),$B60,INDIRECT(Equipo!$E$4&amp;"!"&amp;ADDRESS(10,COLUMN(G$9)-1)&amp;":"&amp;ADDRESS(1000,COLUMN(G$9)-1))),
SUMIF(INDIRECT(Equipo!$F$4&amp;"!B10:B1000"),$B60,INDIRECT(Equipo!$F$4&amp;"!"&amp;ADDRESS(10,COLUMN(G$9)-1)&amp;":"&amp;ADDRESS(1000,COLUMN(G$9)-1))),
SUMIF(INDIRECT(Equipo!$G$4&amp;"!B10:B1000"),$B60,INDIRECT(Equipo!$G$4&amp;"!"&amp;ADDRESS(10,COLUMN(G$9)-1)&amp;":"&amp;ADDRESS(1000,COLUMN(G$9)-1)))))</f>
        <v>0</v>
      </c>
      <c r="H60" s="19">
        <f t="array" ref="H60">IF(ISBLANK(Tareas!$B56),"-",SUM(
SUMIF(INDIRECT(Equipo!$C$4&amp;"!B10:B1000"),$B60,INDIRECT(Equipo!$C$4&amp;"!"&amp;ADDRESS(10,COLUMN(H$9)-1)&amp;":"&amp;ADDRESS(1000,COLUMN(H$9)-1))),
SUMIF(INDIRECT(Equipo!$D$4&amp;"!B10:B1000"),$B60,INDIRECT(Equipo!$D$4&amp;"!"&amp;ADDRESS(10,COLUMN(H$9)-1)&amp;":"&amp;ADDRESS(1000,COLUMN(H$9)-1))),
SUMIF(INDIRECT(Equipo!$E$4&amp;"!B10:B1000"),$B60,INDIRECT(Equipo!$E$4&amp;"!"&amp;ADDRESS(10,COLUMN(H$9)-1)&amp;":"&amp;ADDRESS(1000,COLUMN(H$9)-1))),
SUMIF(INDIRECT(Equipo!$F$4&amp;"!B10:B1000"),$B60,INDIRECT(Equipo!$F$4&amp;"!"&amp;ADDRESS(10,COLUMN(H$9)-1)&amp;":"&amp;ADDRESS(1000,COLUMN(H$9)-1))),
SUMIF(INDIRECT(Equipo!$G$4&amp;"!B10:B1000"),$B60,INDIRECT(Equipo!$G$4&amp;"!"&amp;ADDRESS(10,COLUMN(H$9)-1)&amp;":"&amp;ADDRESS(1000,COLUMN(H$9)-1)))))</f>
        <v>0</v>
      </c>
      <c r="I60" s="19">
        <f t="array" ref="I60">IF(ISBLANK(Tareas!$B56),"-",SUM(
SUMIF(INDIRECT(Equipo!$C$4&amp;"!B10:B1000"),$B60,INDIRECT(Equipo!$C$4&amp;"!"&amp;ADDRESS(10,COLUMN(I$9)-1)&amp;":"&amp;ADDRESS(1000,COLUMN(I$9)-1))),
SUMIF(INDIRECT(Equipo!$D$4&amp;"!B10:B1000"),$B60,INDIRECT(Equipo!$D$4&amp;"!"&amp;ADDRESS(10,COLUMN(I$9)-1)&amp;":"&amp;ADDRESS(1000,COLUMN(I$9)-1))),
SUMIF(INDIRECT(Equipo!$E$4&amp;"!B10:B1000"),$B60,INDIRECT(Equipo!$E$4&amp;"!"&amp;ADDRESS(10,COLUMN(I$9)-1)&amp;":"&amp;ADDRESS(1000,COLUMN(I$9)-1))),
SUMIF(INDIRECT(Equipo!$F$4&amp;"!B10:B1000"),$B60,INDIRECT(Equipo!$F$4&amp;"!"&amp;ADDRESS(10,COLUMN(I$9)-1)&amp;":"&amp;ADDRESS(1000,COLUMN(I$9)-1))),
SUMIF(INDIRECT(Equipo!$G$4&amp;"!B10:B1000"),$B60,INDIRECT(Equipo!$G$4&amp;"!"&amp;ADDRESS(10,COLUMN(I$9)-1)&amp;":"&amp;ADDRESS(1000,COLUMN(I$9)-1)))))</f>
        <v>0</v>
      </c>
      <c r="J60" s="19">
        <f t="array" ref="J60">IF(ISBLANK(Tareas!$B56),"-",SUM(
SUMIF(INDIRECT(Equipo!$C$4&amp;"!B10:B1000"),$B60,INDIRECT(Equipo!$C$4&amp;"!"&amp;ADDRESS(10,COLUMN(J$9)-1)&amp;":"&amp;ADDRESS(1000,COLUMN(J$9)-1))),
SUMIF(INDIRECT(Equipo!$D$4&amp;"!B10:B1000"),$B60,INDIRECT(Equipo!$D$4&amp;"!"&amp;ADDRESS(10,COLUMN(J$9)-1)&amp;":"&amp;ADDRESS(1000,COLUMN(J$9)-1))),
SUMIF(INDIRECT(Equipo!$E$4&amp;"!B10:B1000"),$B60,INDIRECT(Equipo!$E$4&amp;"!"&amp;ADDRESS(10,COLUMN(J$9)-1)&amp;":"&amp;ADDRESS(1000,COLUMN(J$9)-1))),
SUMIF(INDIRECT(Equipo!$F$4&amp;"!B10:B1000"),$B60,INDIRECT(Equipo!$F$4&amp;"!"&amp;ADDRESS(10,COLUMN(J$9)-1)&amp;":"&amp;ADDRESS(1000,COLUMN(J$9)-1))),
SUMIF(INDIRECT(Equipo!$G$4&amp;"!B10:B1000"),$B60,INDIRECT(Equipo!$G$4&amp;"!"&amp;ADDRESS(10,COLUMN(J$9)-1)&amp;":"&amp;ADDRESS(1000,COLUMN(J$9)-1)))))</f>
        <v>0</v>
      </c>
      <c r="K60" s="19">
        <f t="array" ref="K60">IF(ISBLANK(Tareas!$B56),"-",SUM(
SUMIF(INDIRECT(Equipo!$C$4&amp;"!B10:B1000"),$B60,INDIRECT(Equipo!$C$4&amp;"!"&amp;ADDRESS(10,COLUMN(K$9)-1)&amp;":"&amp;ADDRESS(1000,COLUMN(K$9)-1))),
SUMIF(INDIRECT(Equipo!$D$4&amp;"!B10:B1000"),$B60,INDIRECT(Equipo!$D$4&amp;"!"&amp;ADDRESS(10,COLUMN(K$9)-1)&amp;":"&amp;ADDRESS(1000,COLUMN(K$9)-1))),
SUMIF(INDIRECT(Equipo!$E$4&amp;"!B10:B1000"),$B60,INDIRECT(Equipo!$E$4&amp;"!"&amp;ADDRESS(10,COLUMN(K$9)-1)&amp;":"&amp;ADDRESS(1000,COLUMN(K$9)-1))),
SUMIF(INDIRECT(Equipo!$F$4&amp;"!B10:B1000"),$B60,INDIRECT(Equipo!$F$4&amp;"!"&amp;ADDRESS(10,COLUMN(K$9)-1)&amp;":"&amp;ADDRESS(1000,COLUMN(K$9)-1))),
SUMIF(INDIRECT(Equipo!$G$4&amp;"!B10:B1000"),$B60,INDIRECT(Equipo!$G$4&amp;"!"&amp;ADDRESS(10,COLUMN(K$9)-1)&amp;":"&amp;ADDRESS(1000,COLUMN(K$9)-1)))))</f>
        <v>0.3</v>
      </c>
    </row>
    <row r="61" ht="15.75" customHeight="1">
      <c r="B61" s="1" t="str">
        <f>IF(ISBLANK(Tareas!B57)," - ",Tareas!B57)</f>
        <v>52. Disposición del código en la línea base (GCS)</v>
      </c>
      <c r="D61" s="19">
        <f t="array" ref="D61">IF(ISBLANK(Tareas!$B57),"-",SUM(
SUMIF(INDIRECT(Equipo!$C$4&amp;"!B10:B1000"),$B61,INDIRECT(Equipo!$C$4&amp;"!"&amp;ADDRESS(10,COLUMN(D$9)-1)&amp;":"&amp;ADDRESS(1000,COLUMN(D$9)-1))),
SUMIF(INDIRECT(Equipo!$D$4&amp;"!B10:B1000"),$B61,INDIRECT(Equipo!$D$4&amp;"!"&amp;ADDRESS(10,COLUMN(D$9)-1)&amp;":"&amp;ADDRESS(1000,COLUMN(D$9)-1))),
SUMIF(INDIRECT(Equipo!$E$4&amp;"!B10:B1000"),$B61,INDIRECT(Equipo!$E$4&amp;"!"&amp;ADDRESS(10,COLUMN(D$9)-1)&amp;":"&amp;ADDRESS(1000,COLUMN(D$9)-1))),
SUMIF(INDIRECT(Equipo!$F$4&amp;"!B10:B1000"),$B61,INDIRECT(Equipo!$F$4&amp;"!"&amp;ADDRESS(10,COLUMN(D$9)-1)&amp;":"&amp;ADDRESS(1000,COLUMN(D$9)-1))),
SUMIF(INDIRECT(Equipo!$G$4&amp;"!B10:B1000"),$B61,INDIRECT(Equipo!$G$4&amp;"!"&amp;ADDRESS(10,COLUMN(D$9)-1)&amp;":"&amp;ADDRESS(1000,COLUMN(D$9)-1)))))</f>
        <v>0</v>
      </c>
      <c r="E61" s="19">
        <f t="array" ref="E61">IF(ISBLANK(Tareas!$B57),"-",SUM(
SUMIF(INDIRECT(Equipo!$C$4&amp;"!B10:B1000"),$B61,INDIRECT(Equipo!$C$4&amp;"!"&amp;ADDRESS(10,COLUMN(E$9)-1)&amp;":"&amp;ADDRESS(1000,COLUMN(E$9)-1))),
SUMIF(INDIRECT(Equipo!$D$4&amp;"!B10:B1000"),$B61,INDIRECT(Equipo!$D$4&amp;"!"&amp;ADDRESS(10,COLUMN(E$9)-1)&amp;":"&amp;ADDRESS(1000,COLUMN(E$9)-1))),
SUMIF(INDIRECT(Equipo!$E$4&amp;"!B10:B1000"),$B61,INDIRECT(Equipo!$E$4&amp;"!"&amp;ADDRESS(10,COLUMN(E$9)-1)&amp;":"&amp;ADDRESS(1000,COLUMN(E$9)-1))),
SUMIF(INDIRECT(Equipo!$F$4&amp;"!B10:B1000"),$B61,INDIRECT(Equipo!$F$4&amp;"!"&amp;ADDRESS(10,COLUMN(E$9)-1)&amp;":"&amp;ADDRESS(1000,COLUMN(E$9)-1))),
SUMIF(INDIRECT(Equipo!$G$4&amp;"!B10:B1000"),$B61,INDIRECT(Equipo!$G$4&amp;"!"&amp;ADDRESS(10,COLUMN(E$9)-1)&amp;":"&amp;ADDRESS(1000,COLUMN(E$9)-1)))))</f>
        <v>0</v>
      </c>
      <c r="F61" s="19">
        <f t="array" ref="F61">IF(ISBLANK(Tareas!$B57),"-",SUM(
SUMIF(INDIRECT(Equipo!$C$4&amp;"!B10:B1000"),$B61,INDIRECT(Equipo!$C$4&amp;"!"&amp;ADDRESS(10,COLUMN(F$9)-1)&amp;":"&amp;ADDRESS(1000,COLUMN(F$9)-1))),
SUMIF(INDIRECT(Equipo!$D$4&amp;"!B10:B1000"),$B61,INDIRECT(Equipo!$D$4&amp;"!"&amp;ADDRESS(10,COLUMN(F$9)-1)&amp;":"&amp;ADDRESS(1000,COLUMN(F$9)-1))),
SUMIF(INDIRECT(Equipo!$E$4&amp;"!B10:B1000"),$B61,INDIRECT(Equipo!$E$4&amp;"!"&amp;ADDRESS(10,COLUMN(F$9)-1)&amp;":"&amp;ADDRESS(1000,COLUMN(F$9)-1))),
SUMIF(INDIRECT(Equipo!$F$4&amp;"!B10:B1000"),$B61,INDIRECT(Equipo!$F$4&amp;"!"&amp;ADDRESS(10,COLUMN(F$9)-1)&amp;":"&amp;ADDRESS(1000,COLUMN(F$9)-1))),
SUMIF(INDIRECT(Equipo!$G$4&amp;"!B10:B1000"),$B61,INDIRECT(Equipo!$G$4&amp;"!"&amp;ADDRESS(10,COLUMN(F$9)-1)&amp;":"&amp;ADDRESS(1000,COLUMN(F$9)-1)))))</f>
        <v>0</v>
      </c>
      <c r="G61" s="19">
        <f t="array" ref="G61">IF(ISBLANK(Tareas!$B57),"-",SUM(
SUMIF(INDIRECT(Equipo!$C$4&amp;"!B10:B1000"),$B61,INDIRECT(Equipo!$C$4&amp;"!"&amp;ADDRESS(10,COLUMN(G$9)-1)&amp;":"&amp;ADDRESS(1000,COLUMN(G$9)-1))),
SUMIF(INDIRECT(Equipo!$D$4&amp;"!B10:B1000"),$B61,INDIRECT(Equipo!$D$4&amp;"!"&amp;ADDRESS(10,COLUMN(G$9)-1)&amp;":"&amp;ADDRESS(1000,COLUMN(G$9)-1))),
SUMIF(INDIRECT(Equipo!$E$4&amp;"!B10:B1000"),$B61,INDIRECT(Equipo!$E$4&amp;"!"&amp;ADDRESS(10,COLUMN(G$9)-1)&amp;":"&amp;ADDRESS(1000,COLUMN(G$9)-1))),
SUMIF(INDIRECT(Equipo!$F$4&amp;"!B10:B1000"),$B61,INDIRECT(Equipo!$F$4&amp;"!"&amp;ADDRESS(10,COLUMN(G$9)-1)&amp;":"&amp;ADDRESS(1000,COLUMN(G$9)-1))),
SUMIF(INDIRECT(Equipo!$G$4&amp;"!B10:B1000"),$B61,INDIRECT(Equipo!$G$4&amp;"!"&amp;ADDRESS(10,COLUMN(G$9)-1)&amp;":"&amp;ADDRESS(1000,COLUMN(G$9)-1)))))</f>
        <v>0</v>
      </c>
      <c r="H61" s="19">
        <f t="array" ref="H61">IF(ISBLANK(Tareas!$B57),"-",SUM(
SUMIF(INDIRECT(Equipo!$C$4&amp;"!B10:B1000"),$B61,INDIRECT(Equipo!$C$4&amp;"!"&amp;ADDRESS(10,COLUMN(H$9)-1)&amp;":"&amp;ADDRESS(1000,COLUMN(H$9)-1))),
SUMIF(INDIRECT(Equipo!$D$4&amp;"!B10:B1000"),$B61,INDIRECT(Equipo!$D$4&amp;"!"&amp;ADDRESS(10,COLUMN(H$9)-1)&amp;":"&amp;ADDRESS(1000,COLUMN(H$9)-1))),
SUMIF(INDIRECT(Equipo!$E$4&amp;"!B10:B1000"),$B61,INDIRECT(Equipo!$E$4&amp;"!"&amp;ADDRESS(10,COLUMN(H$9)-1)&amp;":"&amp;ADDRESS(1000,COLUMN(H$9)-1))),
SUMIF(INDIRECT(Equipo!$F$4&amp;"!B10:B1000"),$B61,INDIRECT(Equipo!$F$4&amp;"!"&amp;ADDRESS(10,COLUMN(H$9)-1)&amp;":"&amp;ADDRESS(1000,COLUMN(H$9)-1))),
SUMIF(INDIRECT(Equipo!$G$4&amp;"!B10:B1000"),$B61,INDIRECT(Equipo!$G$4&amp;"!"&amp;ADDRESS(10,COLUMN(H$9)-1)&amp;":"&amp;ADDRESS(1000,COLUMN(H$9)-1)))))</f>
        <v>0</v>
      </c>
      <c r="I61" s="19">
        <f t="array" ref="I61">IF(ISBLANK(Tareas!$B57),"-",SUM(
SUMIF(INDIRECT(Equipo!$C$4&amp;"!B10:B1000"),$B61,INDIRECT(Equipo!$C$4&amp;"!"&amp;ADDRESS(10,COLUMN(I$9)-1)&amp;":"&amp;ADDRESS(1000,COLUMN(I$9)-1))),
SUMIF(INDIRECT(Equipo!$D$4&amp;"!B10:B1000"),$B61,INDIRECT(Equipo!$D$4&amp;"!"&amp;ADDRESS(10,COLUMN(I$9)-1)&amp;":"&amp;ADDRESS(1000,COLUMN(I$9)-1))),
SUMIF(INDIRECT(Equipo!$E$4&amp;"!B10:B1000"),$B61,INDIRECT(Equipo!$E$4&amp;"!"&amp;ADDRESS(10,COLUMN(I$9)-1)&amp;":"&amp;ADDRESS(1000,COLUMN(I$9)-1))),
SUMIF(INDIRECT(Equipo!$F$4&amp;"!B10:B1000"),$B61,INDIRECT(Equipo!$F$4&amp;"!"&amp;ADDRESS(10,COLUMN(I$9)-1)&amp;":"&amp;ADDRESS(1000,COLUMN(I$9)-1))),
SUMIF(INDIRECT(Equipo!$G$4&amp;"!B10:B1000"),$B61,INDIRECT(Equipo!$G$4&amp;"!"&amp;ADDRESS(10,COLUMN(I$9)-1)&amp;":"&amp;ADDRESS(1000,COLUMN(I$9)-1)))))</f>
        <v>0</v>
      </c>
      <c r="J61" s="19">
        <f t="array" ref="J61">IF(ISBLANK(Tareas!$B57),"-",SUM(
SUMIF(INDIRECT(Equipo!$C$4&amp;"!B10:B1000"),$B61,INDIRECT(Equipo!$C$4&amp;"!"&amp;ADDRESS(10,COLUMN(J$9)-1)&amp;":"&amp;ADDRESS(1000,COLUMN(J$9)-1))),
SUMIF(INDIRECT(Equipo!$D$4&amp;"!B10:B1000"),$B61,INDIRECT(Equipo!$D$4&amp;"!"&amp;ADDRESS(10,COLUMN(J$9)-1)&amp;":"&amp;ADDRESS(1000,COLUMN(J$9)-1))),
SUMIF(INDIRECT(Equipo!$E$4&amp;"!B10:B1000"),$B61,INDIRECT(Equipo!$E$4&amp;"!"&amp;ADDRESS(10,COLUMN(J$9)-1)&amp;":"&amp;ADDRESS(1000,COLUMN(J$9)-1))),
SUMIF(INDIRECT(Equipo!$F$4&amp;"!B10:B1000"),$B61,INDIRECT(Equipo!$F$4&amp;"!"&amp;ADDRESS(10,COLUMN(J$9)-1)&amp;":"&amp;ADDRESS(1000,COLUMN(J$9)-1))),
SUMIF(INDIRECT(Equipo!$G$4&amp;"!B10:B1000"),$B61,INDIRECT(Equipo!$G$4&amp;"!"&amp;ADDRESS(10,COLUMN(J$9)-1)&amp;":"&amp;ADDRESS(1000,COLUMN(J$9)-1)))))</f>
        <v>0</v>
      </c>
      <c r="K61" s="19">
        <f t="array" ref="K61">IF(ISBLANK(Tareas!$B57),"-",SUM(
SUMIF(INDIRECT(Equipo!$C$4&amp;"!B10:B1000"),$B61,INDIRECT(Equipo!$C$4&amp;"!"&amp;ADDRESS(10,COLUMN(K$9)-1)&amp;":"&amp;ADDRESS(1000,COLUMN(K$9)-1))),
SUMIF(INDIRECT(Equipo!$D$4&amp;"!B10:B1000"),$B61,INDIRECT(Equipo!$D$4&amp;"!"&amp;ADDRESS(10,COLUMN(K$9)-1)&amp;":"&amp;ADDRESS(1000,COLUMN(K$9)-1))),
SUMIF(INDIRECT(Equipo!$E$4&amp;"!B10:B1000"),$B61,INDIRECT(Equipo!$E$4&amp;"!"&amp;ADDRESS(10,COLUMN(K$9)-1)&amp;":"&amp;ADDRESS(1000,COLUMN(K$9)-1))),
SUMIF(INDIRECT(Equipo!$F$4&amp;"!B10:B1000"),$B61,INDIRECT(Equipo!$F$4&amp;"!"&amp;ADDRESS(10,COLUMN(K$9)-1)&amp;":"&amp;ADDRESS(1000,COLUMN(K$9)-1))),
SUMIF(INDIRECT(Equipo!$G$4&amp;"!B10:B1000"),$B61,INDIRECT(Equipo!$G$4&amp;"!"&amp;ADDRESS(10,COLUMN(K$9)-1)&amp;":"&amp;ADDRESS(1000,COLUMN(K$9)-1)))))</f>
        <v>0.6</v>
      </c>
    </row>
    <row r="62" ht="15.75" customHeight="1">
      <c r="B62" s="1" t="str">
        <f>IF(ISBLANK(Tareas!B58)," - ",Tareas!B58)</f>
        <v>53. Entrega del ciclo de vida</v>
      </c>
      <c r="D62" s="19">
        <f t="array" ref="D62">IF(ISBLANK(Tareas!$B58),"-",SUM(
SUMIF(INDIRECT(Equipo!$C$4&amp;"!B10:B1000"),$B62,INDIRECT(Equipo!$C$4&amp;"!"&amp;ADDRESS(10,COLUMN(D$9)-1)&amp;":"&amp;ADDRESS(1000,COLUMN(D$9)-1))),
SUMIF(INDIRECT(Equipo!$D$4&amp;"!B10:B1000"),$B62,INDIRECT(Equipo!$D$4&amp;"!"&amp;ADDRESS(10,COLUMN(D$9)-1)&amp;":"&amp;ADDRESS(1000,COLUMN(D$9)-1))),
SUMIF(INDIRECT(Equipo!$E$4&amp;"!B10:B1000"),$B62,INDIRECT(Equipo!$E$4&amp;"!"&amp;ADDRESS(10,COLUMN(D$9)-1)&amp;":"&amp;ADDRESS(1000,COLUMN(D$9)-1))),
SUMIF(INDIRECT(Equipo!$F$4&amp;"!B10:B1000"),$B62,INDIRECT(Equipo!$F$4&amp;"!"&amp;ADDRESS(10,COLUMN(D$9)-1)&amp;":"&amp;ADDRESS(1000,COLUMN(D$9)-1))),
SUMIF(INDIRECT(Equipo!$G$4&amp;"!B10:B1000"),$B62,INDIRECT(Equipo!$G$4&amp;"!"&amp;ADDRESS(10,COLUMN(D$9)-1)&amp;":"&amp;ADDRESS(1000,COLUMN(D$9)-1)))))</f>
        <v>0</v>
      </c>
      <c r="E62" s="19">
        <f t="array" ref="E62">IF(ISBLANK(Tareas!$B58),"-",SUM(
SUMIF(INDIRECT(Equipo!$C$4&amp;"!B10:B1000"),$B62,INDIRECT(Equipo!$C$4&amp;"!"&amp;ADDRESS(10,COLUMN(E$9)-1)&amp;":"&amp;ADDRESS(1000,COLUMN(E$9)-1))),
SUMIF(INDIRECT(Equipo!$D$4&amp;"!B10:B1000"),$B62,INDIRECT(Equipo!$D$4&amp;"!"&amp;ADDRESS(10,COLUMN(E$9)-1)&amp;":"&amp;ADDRESS(1000,COLUMN(E$9)-1))),
SUMIF(INDIRECT(Equipo!$E$4&amp;"!B10:B1000"),$B62,INDIRECT(Equipo!$E$4&amp;"!"&amp;ADDRESS(10,COLUMN(E$9)-1)&amp;":"&amp;ADDRESS(1000,COLUMN(E$9)-1))),
SUMIF(INDIRECT(Equipo!$F$4&amp;"!B10:B1000"),$B62,INDIRECT(Equipo!$F$4&amp;"!"&amp;ADDRESS(10,COLUMN(E$9)-1)&amp;":"&amp;ADDRESS(1000,COLUMN(E$9)-1))),
SUMIF(INDIRECT(Equipo!$G$4&amp;"!B10:B1000"),$B62,INDIRECT(Equipo!$G$4&amp;"!"&amp;ADDRESS(10,COLUMN(E$9)-1)&amp;":"&amp;ADDRESS(1000,COLUMN(E$9)-1)))))</f>
        <v>0</v>
      </c>
      <c r="F62" s="19">
        <f t="array" ref="F62">IF(ISBLANK(Tareas!$B58),"-",SUM(
SUMIF(INDIRECT(Equipo!$C$4&amp;"!B10:B1000"),$B62,INDIRECT(Equipo!$C$4&amp;"!"&amp;ADDRESS(10,COLUMN(F$9)-1)&amp;":"&amp;ADDRESS(1000,COLUMN(F$9)-1))),
SUMIF(INDIRECT(Equipo!$D$4&amp;"!B10:B1000"),$B62,INDIRECT(Equipo!$D$4&amp;"!"&amp;ADDRESS(10,COLUMN(F$9)-1)&amp;":"&amp;ADDRESS(1000,COLUMN(F$9)-1))),
SUMIF(INDIRECT(Equipo!$E$4&amp;"!B10:B1000"),$B62,INDIRECT(Equipo!$E$4&amp;"!"&amp;ADDRESS(10,COLUMN(F$9)-1)&amp;":"&amp;ADDRESS(1000,COLUMN(F$9)-1))),
SUMIF(INDIRECT(Equipo!$F$4&amp;"!B10:B1000"),$B62,INDIRECT(Equipo!$F$4&amp;"!"&amp;ADDRESS(10,COLUMN(F$9)-1)&amp;":"&amp;ADDRESS(1000,COLUMN(F$9)-1))),
SUMIF(INDIRECT(Equipo!$G$4&amp;"!B10:B1000"),$B62,INDIRECT(Equipo!$G$4&amp;"!"&amp;ADDRESS(10,COLUMN(F$9)-1)&amp;":"&amp;ADDRESS(1000,COLUMN(F$9)-1)))))</f>
        <v>0</v>
      </c>
      <c r="G62" s="19">
        <f t="array" ref="G62">IF(ISBLANK(Tareas!$B58),"-",SUM(
SUMIF(INDIRECT(Equipo!$C$4&amp;"!B10:B1000"),$B62,INDIRECT(Equipo!$C$4&amp;"!"&amp;ADDRESS(10,COLUMN(G$9)-1)&amp;":"&amp;ADDRESS(1000,COLUMN(G$9)-1))),
SUMIF(INDIRECT(Equipo!$D$4&amp;"!B10:B1000"),$B62,INDIRECT(Equipo!$D$4&amp;"!"&amp;ADDRESS(10,COLUMN(G$9)-1)&amp;":"&amp;ADDRESS(1000,COLUMN(G$9)-1))),
SUMIF(INDIRECT(Equipo!$E$4&amp;"!B10:B1000"),$B62,INDIRECT(Equipo!$E$4&amp;"!"&amp;ADDRESS(10,COLUMN(G$9)-1)&amp;":"&amp;ADDRESS(1000,COLUMN(G$9)-1))),
SUMIF(INDIRECT(Equipo!$F$4&amp;"!B10:B1000"),$B62,INDIRECT(Equipo!$F$4&amp;"!"&amp;ADDRESS(10,COLUMN(G$9)-1)&amp;":"&amp;ADDRESS(1000,COLUMN(G$9)-1))),
SUMIF(INDIRECT(Equipo!$G$4&amp;"!B10:B1000"),$B62,INDIRECT(Equipo!$G$4&amp;"!"&amp;ADDRESS(10,COLUMN(G$9)-1)&amp;":"&amp;ADDRESS(1000,COLUMN(G$9)-1)))))</f>
        <v>0</v>
      </c>
      <c r="H62" s="19">
        <f t="array" ref="H62">IF(ISBLANK(Tareas!$B58),"-",SUM(
SUMIF(INDIRECT(Equipo!$C$4&amp;"!B10:B1000"),$B62,INDIRECT(Equipo!$C$4&amp;"!"&amp;ADDRESS(10,COLUMN(H$9)-1)&amp;":"&amp;ADDRESS(1000,COLUMN(H$9)-1))),
SUMIF(INDIRECT(Equipo!$D$4&amp;"!B10:B1000"),$B62,INDIRECT(Equipo!$D$4&amp;"!"&amp;ADDRESS(10,COLUMN(H$9)-1)&amp;":"&amp;ADDRESS(1000,COLUMN(H$9)-1))),
SUMIF(INDIRECT(Equipo!$E$4&amp;"!B10:B1000"),$B62,INDIRECT(Equipo!$E$4&amp;"!"&amp;ADDRESS(10,COLUMN(H$9)-1)&amp;":"&amp;ADDRESS(1000,COLUMN(H$9)-1))),
SUMIF(INDIRECT(Equipo!$F$4&amp;"!B10:B1000"),$B62,INDIRECT(Equipo!$F$4&amp;"!"&amp;ADDRESS(10,COLUMN(H$9)-1)&amp;":"&amp;ADDRESS(1000,COLUMN(H$9)-1))),
SUMIF(INDIRECT(Equipo!$G$4&amp;"!B10:B1000"),$B62,INDIRECT(Equipo!$G$4&amp;"!"&amp;ADDRESS(10,COLUMN(H$9)-1)&amp;":"&amp;ADDRESS(1000,COLUMN(H$9)-1)))))</f>
        <v>0</v>
      </c>
      <c r="I62" s="19">
        <f t="array" ref="I62">IF(ISBLANK(Tareas!$B58),"-",SUM(
SUMIF(INDIRECT(Equipo!$C$4&amp;"!B10:B1000"),$B62,INDIRECT(Equipo!$C$4&amp;"!"&amp;ADDRESS(10,COLUMN(I$9)-1)&amp;":"&amp;ADDRESS(1000,COLUMN(I$9)-1))),
SUMIF(INDIRECT(Equipo!$D$4&amp;"!B10:B1000"),$B62,INDIRECT(Equipo!$D$4&amp;"!"&amp;ADDRESS(10,COLUMN(I$9)-1)&amp;":"&amp;ADDRESS(1000,COLUMN(I$9)-1))),
SUMIF(INDIRECT(Equipo!$E$4&amp;"!B10:B1000"),$B62,INDIRECT(Equipo!$E$4&amp;"!"&amp;ADDRESS(10,COLUMN(I$9)-1)&amp;":"&amp;ADDRESS(1000,COLUMN(I$9)-1))),
SUMIF(INDIRECT(Equipo!$F$4&amp;"!B10:B1000"),$B62,INDIRECT(Equipo!$F$4&amp;"!"&amp;ADDRESS(10,COLUMN(I$9)-1)&amp;":"&amp;ADDRESS(1000,COLUMN(I$9)-1))),
SUMIF(INDIRECT(Equipo!$G$4&amp;"!B10:B1000"),$B62,INDIRECT(Equipo!$G$4&amp;"!"&amp;ADDRESS(10,COLUMN(I$9)-1)&amp;":"&amp;ADDRESS(1000,COLUMN(I$9)-1)))))</f>
        <v>0</v>
      </c>
      <c r="J62" s="19">
        <f t="array" ref="J62">IF(ISBLANK(Tareas!$B58),"-",SUM(
SUMIF(INDIRECT(Equipo!$C$4&amp;"!B10:B1000"),$B62,INDIRECT(Equipo!$C$4&amp;"!"&amp;ADDRESS(10,COLUMN(J$9)-1)&amp;":"&amp;ADDRESS(1000,COLUMN(J$9)-1))),
SUMIF(INDIRECT(Equipo!$D$4&amp;"!B10:B1000"),$B62,INDIRECT(Equipo!$D$4&amp;"!"&amp;ADDRESS(10,COLUMN(J$9)-1)&amp;":"&amp;ADDRESS(1000,COLUMN(J$9)-1))),
SUMIF(INDIRECT(Equipo!$E$4&amp;"!B10:B1000"),$B62,INDIRECT(Equipo!$E$4&amp;"!"&amp;ADDRESS(10,COLUMN(J$9)-1)&amp;":"&amp;ADDRESS(1000,COLUMN(J$9)-1))),
SUMIF(INDIRECT(Equipo!$F$4&amp;"!B10:B1000"),$B62,INDIRECT(Equipo!$F$4&amp;"!"&amp;ADDRESS(10,COLUMN(J$9)-1)&amp;":"&amp;ADDRESS(1000,COLUMN(J$9)-1))),
SUMIF(INDIRECT(Equipo!$G$4&amp;"!B10:B1000"),$B62,INDIRECT(Equipo!$G$4&amp;"!"&amp;ADDRESS(10,COLUMN(J$9)-1)&amp;":"&amp;ADDRESS(1000,COLUMN(J$9)-1)))))</f>
        <v>0</v>
      </c>
      <c r="K62" s="19">
        <f t="array" ref="K62">IF(ISBLANK(Tareas!$B58),"-",SUM(
SUMIF(INDIRECT(Equipo!$C$4&amp;"!B10:B1000"),$B62,INDIRECT(Equipo!$C$4&amp;"!"&amp;ADDRESS(10,COLUMN(K$9)-1)&amp;":"&amp;ADDRESS(1000,COLUMN(K$9)-1))),
SUMIF(INDIRECT(Equipo!$D$4&amp;"!B10:B1000"),$B62,INDIRECT(Equipo!$D$4&amp;"!"&amp;ADDRESS(10,COLUMN(K$9)-1)&amp;":"&amp;ADDRESS(1000,COLUMN(K$9)-1))),
SUMIF(INDIRECT(Equipo!$E$4&amp;"!B10:B1000"),$B62,INDIRECT(Equipo!$E$4&amp;"!"&amp;ADDRESS(10,COLUMN(K$9)-1)&amp;":"&amp;ADDRESS(1000,COLUMN(K$9)-1))),
SUMIF(INDIRECT(Equipo!$F$4&amp;"!B10:B1000"),$B62,INDIRECT(Equipo!$F$4&amp;"!"&amp;ADDRESS(10,COLUMN(K$9)-1)&amp;":"&amp;ADDRESS(1000,COLUMN(K$9)-1))),
SUMIF(INDIRECT(Equipo!$G$4&amp;"!B10:B1000"),$B62,INDIRECT(Equipo!$G$4&amp;"!"&amp;ADDRESS(10,COLUMN(K$9)-1)&amp;":"&amp;ADDRESS(1000,COLUMN(K$9)-1)))))</f>
        <v>1</v>
      </c>
    </row>
    <row r="63" ht="15.75" customHeight="1">
      <c r="B63" s="1" t="str">
        <f>IF(ISBLANK(Tareas!B59)," - ",Tareas!B59)</f>
        <v> - </v>
      </c>
      <c r="D63" s="19" t="str">
        <f t="array" ref="D63">IF(ISBLANK(Tareas!$B59),"-",SUM(
SUMIF(INDIRECT(Equipo!$C$4&amp;"!B10:B1000"),$B63,INDIRECT(Equipo!$C$4&amp;"!"&amp;ADDRESS(10,COLUMN(D$9)-1)&amp;":"&amp;ADDRESS(1000,COLUMN(D$9)-1))),
SUMIF(INDIRECT(Equipo!$D$4&amp;"!B10:B1000"),$B63,INDIRECT(Equipo!$D$4&amp;"!"&amp;ADDRESS(10,COLUMN(D$9)-1)&amp;":"&amp;ADDRESS(1000,COLUMN(D$9)-1))),
SUMIF(INDIRECT(Equipo!$E$4&amp;"!B10:B1000"),$B63,INDIRECT(Equipo!$E$4&amp;"!"&amp;ADDRESS(10,COLUMN(D$9)-1)&amp;":"&amp;ADDRESS(1000,COLUMN(D$9)-1))),
SUMIF(INDIRECT(Equipo!$F$4&amp;"!B10:B1000"),$B63,INDIRECT(Equipo!$F$4&amp;"!"&amp;ADDRESS(10,COLUMN(D$9)-1)&amp;":"&amp;ADDRESS(1000,COLUMN(D$9)-1))),
SUMIF(INDIRECT(Equipo!$G$4&amp;"!B10:B1000"),$B63,INDIRECT(Equipo!$G$4&amp;"!"&amp;ADDRESS(10,COLUMN(D$9)-1)&amp;":"&amp;ADDRESS(1000,COLUMN(D$9)-1)))))</f>
        <v>-</v>
      </c>
      <c r="E63" s="19" t="str">
        <f t="array" ref="E63">IF(ISBLANK(Tareas!$B59),"-",SUM(
SUMIF(INDIRECT(Equipo!$C$4&amp;"!B10:B1000"),$B63,INDIRECT(Equipo!$C$4&amp;"!"&amp;ADDRESS(10,COLUMN(E$9)-1)&amp;":"&amp;ADDRESS(1000,COLUMN(E$9)-1))),
SUMIF(INDIRECT(Equipo!$D$4&amp;"!B10:B1000"),$B63,INDIRECT(Equipo!$D$4&amp;"!"&amp;ADDRESS(10,COLUMN(E$9)-1)&amp;":"&amp;ADDRESS(1000,COLUMN(E$9)-1))),
SUMIF(INDIRECT(Equipo!$E$4&amp;"!B10:B1000"),$B63,INDIRECT(Equipo!$E$4&amp;"!"&amp;ADDRESS(10,COLUMN(E$9)-1)&amp;":"&amp;ADDRESS(1000,COLUMN(E$9)-1))),
SUMIF(INDIRECT(Equipo!$F$4&amp;"!B10:B1000"),$B63,INDIRECT(Equipo!$F$4&amp;"!"&amp;ADDRESS(10,COLUMN(E$9)-1)&amp;":"&amp;ADDRESS(1000,COLUMN(E$9)-1))),
SUMIF(INDIRECT(Equipo!$G$4&amp;"!B10:B1000"),$B63,INDIRECT(Equipo!$G$4&amp;"!"&amp;ADDRESS(10,COLUMN(E$9)-1)&amp;":"&amp;ADDRESS(1000,COLUMN(E$9)-1)))))</f>
        <v>-</v>
      </c>
      <c r="F63" s="19" t="str">
        <f t="array" ref="F63">IF(ISBLANK(Tareas!$B59),"-",SUM(
SUMIF(INDIRECT(Equipo!$C$4&amp;"!B10:B1000"),$B63,INDIRECT(Equipo!$C$4&amp;"!"&amp;ADDRESS(10,COLUMN(F$9)-1)&amp;":"&amp;ADDRESS(1000,COLUMN(F$9)-1))),
SUMIF(INDIRECT(Equipo!$D$4&amp;"!B10:B1000"),$B63,INDIRECT(Equipo!$D$4&amp;"!"&amp;ADDRESS(10,COLUMN(F$9)-1)&amp;":"&amp;ADDRESS(1000,COLUMN(F$9)-1))),
SUMIF(INDIRECT(Equipo!$E$4&amp;"!B10:B1000"),$B63,INDIRECT(Equipo!$E$4&amp;"!"&amp;ADDRESS(10,COLUMN(F$9)-1)&amp;":"&amp;ADDRESS(1000,COLUMN(F$9)-1))),
SUMIF(INDIRECT(Equipo!$F$4&amp;"!B10:B1000"),$B63,INDIRECT(Equipo!$F$4&amp;"!"&amp;ADDRESS(10,COLUMN(F$9)-1)&amp;":"&amp;ADDRESS(1000,COLUMN(F$9)-1))),
SUMIF(INDIRECT(Equipo!$G$4&amp;"!B10:B1000"),$B63,INDIRECT(Equipo!$G$4&amp;"!"&amp;ADDRESS(10,COLUMN(F$9)-1)&amp;":"&amp;ADDRESS(1000,COLUMN(F$9)-1)))))</f>
        <v>-</v>
      </c>
      <c r="G63" s="19" t="str">
        <f t="array" ref="G63">IF(ISBLANK(Tareas!$B59),"-",SUM(
SUMIF(INDIRECT(Equipo!$C$4&amp;"!B10:B1000"),$B63,INDIRECT(Equipo!$C$4&amp;"!"&amp;ADDRESS(10,COLUMN(G$9)-1)&amp;":"&amp;ADDRESS(1000,COLUMN(G$9)-1))),
SUMIF(INDIRECT(Equipo!$D$4&amp;"!B10:B1000"),$B63,INDIRECT(Equipo!$D$4&amp;"!"&amp;ADDRESS(10,COLUMN(G$9)-1)&amp;":"&amp;ADDRESS(1000,COLUMN(G$9)-1))),
SUMIF(INDIRECT(Equipo!$E$4&amp;"!B10:B1000"),$B63,INDIRECT(Equipo!$E$4&amp;"!"&amp;ADDRESS(10,COLUMN(G$9)-1)&amp;":"&amp;ADDRESS(1000,COLUMN(G$9)-1))),
SUMIF(INDIRECT(Equipo!$F$4&amp;"!B10:B1000"),$B63,INDIRECT(Equipo!$F$4&amp;"!"&amp;ADDRESS(10,COLUMN(G$9)-1)&amp;":"&amp;ADDRESS(1000,COLUMN(G$9)-1))),
SUMIF(INDIRECT(Equipo!$G$4&amp;"!B10:B1000"),$B63,INDIRECT(Equipo!$G$4&amp;"!"&amp;ADDRESS(10,COLUMN(G$9)-1)&amp;":"&amp;ADDRESS(1000,COLUMN(G$9)-1)))))</f>
        <v>-</v>
      </c>
      <c r="H63" s="19" t="str">
        <f t="array" ref="H63">IF(ISBLANK(Tareas!$B59),"-",SUM(
SUMIF(INDIRECT(Equipo!$C$4&amp;"!B10:B1000"),$B63,INDIRECT(Equipo!$C$4&amp;"!"&amp;ADDRESS(10,COLUMN(H$9)-1)&amp;":"&amp;ADDRESS(1000,COLUMN(H$9)-1))),
SUMIF(INDIRECT(Equipo!$D$4&amp;"!B10:B1000"),$B63,INDIRECT(Equipo!$D$4&amp;"!"&amp;ADDRESS(10,COLUMN(H$9)-1)&amp;":"&amp;ADDRESS(1000,COLUMN(H$9)-1))),
SUMIF(INDIRECT(Equipo!$E$4&amp;"!B10:B1000"),$B63,INDIRECT(Equipo!$E$4&amp;"!"&amp;ADDRESS(10,COLUMN(H$9)-1)&amp;":"&amp;ADDRESS(1000,COLUMN(H$9)-1))),
SUMIF(INDIRECT(Equipo!$F$4&amp;"!B10:B1000"),$B63,INDIRECT(Equipo!$F$4&amp;"!"&amp;ADDRESS(10,COLUMN(H$9)-1)&amp;":"&amp;ADDRESS(1000,COLUMN(H$9)-1))),
SUMIF(INDIRECT(Equipo!$G$4&amp;"!B10:B1000"),$B63,INDIRECT(Equipo!$G$4&amp;"!"&amp;ADDRESS(10,COLUMN(H$9)-1)&amp;":"&amp;ADDRESS(1000,COLUMN(H$9)-1)))))</f>
        <v>-</v>
      </c>
      <c r="I63" s="19" t="str">
        <f t="array" ref="I63">IF(ISBLANK(Tareas!$B59),"-",SUM(
SUMIF(INDIRECT(Equipo!$C$4&amp;"!B10:B1000"),$B63,INDIRECT(Equipo!$C$4&amp;"!"&amp;ADDRESS(10,COLUMN(I$9)-1)&amp;":"&amp;ADDRESS(1000,COLUMN(I$9)-1))),
SUMIF(INDIRECT(Equipo!$D$4&amp;"!B10:B1000"),$B63,INDIRECT(Equipo!$D$4&amp;"!"&amp;ADDRESS(10,COLUMN(I$9)-1)&amp;":"&amp;ADDRESS(1000,COLUMN(I$9)-1))),
SUMIF(INDIRECT(Equipo!$E$4&amp;"!B10:B1000"),$B63,INDIRECT(Equipo!$E$4&amp;"!"&amp;ADDRESS(10,COLUMN(I$9)-1)&amp;":"&amp;ADDRESS(1000,COLUMN(I$9)-1))),
SUMIF(INDIRECT(Equipo!$F$4&amp;"!B10:B1000"),$B63,INDIRECT(Equipo!$F$4&amp;"!"&amp;ADDRESS(10,COLUMN(I$9)-1)&amp;":"&amp;ADDRESS(1000,COLUMN(I$9)-1))),
SUMIF(INDIRECT(Equipo!$G$4&amp;"!B10:B1000"),$B63,INDIRECT(Equipo!$G$4&amp;"!"&amp;ADDRESS(10,COLUMN(I$9)-1)&amp;":"&amp;ADDRESS(1000,COLUMN(I$9)-1)))))</f>
        <v>-</v>
      </c>
      <c r="J63" s="19" t="str">
        <f t="array" ref="J63">IF(ISBLANK(Tareas!$B59),"-",SUM(
SUMIF(INDIRECT(Equipo!$C$4&amp;"!B10:B1000"),$B63,INDIRECT(Equipo!$C$4&amp;"!"&amp;ADDRESS(10,COLUMN(J$9)-1)&amp;":"&amp;ADDRESS(1000,COLUMN(J$9)-1))),
SUMIF(INDIRECT(Equipo!$D$4&amp;"!B10:B1000"),$B63,INDIRECT(Equipo!$D$4&amp;"!"&amp;ADDRESS(10,COLUMN(J$9)-1)&amp;":"&amp;ADDRESS(1000,COLUMN(J$9)-1))),
SUMIF(INDIRECT(Equipo!$E$4&amp;"!B10:B1000"),$B63,INDIRECT(Equipo!$E$4&amp;"!"&amp;ADDRESS(10,COLUMN(J$9)-1)&amp;":"&amp;ADDRESS(1000,COLUMN(J$9)-1))),
SUMIF(INDIRECT(Equipo!$F$4&amp;"!B10:B1000"),$B63,INDIRECT(Equipo!$F$4&amp;"!"&amp;ADDRESS(10,COLUMN(J$9)-1)&amp;":"&amp;ADDRESS(1000,COLUMN(J$9)-1))),
SUMIF(INDIRECT(Equipo!$G$4&amp;"!B10:B1000"),$B63,INDIRECT(Equipo!$G$4&amp;"!"&amp;ADDRESS(10,COLUMN(J$9)-1)&amp;":"&amp;ADDRESS(1000,COLUMN(J$9)-1)))))</f>
        <v>-</v>
      </c>
      <c r="K63" s="19" t="str">
        <f t="array" ref="K63">IF(ISBLANK(Tareas!$B59),"-",SUM(
SUMIF(INDIRECT(Equipo!$C$4&amp;"!B10:B1000"),$B63,INDIRECT(Equipo!$C$4&amp;"!"&amp;ADDRESS(10,COLUMN(K$9)-1)&amp;":"&amp;ADDRESS(1000,COLUMN(K$9)-1))),
SUMIF(INDIRECT(Equipo!$D$4&amp;"!B10:B1000"),$B63,INDIRECT(Equipo!$D$4&amp;"!"&amp;ADDRESS(10,COLUMN(K$9)-1)&amp;":"&amp;ADDRESS(1000,COLUMN(K$9)-1))),
SUMIF(INDIRECT(Equipo!$E$4&amp;"!B10:B1000"),$B63,INDIRECT(Equipo!$E$4&amp;"!"&amp;ADDRESS(10,COLUMN(K$9)-1)&amp;":"&amp;ADDRESS(1000,COLUMN(K$9)-1))),
SUMIF(INDIRECT(Equipo!$F$4&amp;"!B10:B1000"),$B63,INDIRECT(Equipo!$F$4&amp;"!"&amp;ADDRESS(10,COLUMN(K$9)-1)&amp;":"&amp;ADDRESS(1000,COLUMN(K$9)-1))),
SUMIF(INDIRECT(Equipo!$G$4&amp;"!B10:B1000"),$B63,INDIRECT(Equipo!$G$4&amp;"!"&amp;ADDRESS(10,COLUMN(K$9)-1)&amp;":"&amp;ADDRESS(1000,COLUMN(K$9)-1)))))</f>
        <v>-</v>
      </c>
    </row>
    <row r="64" ht="15.75" customHeight="1">
      <c r="B64" s="1" t="str">
        <f>IF(ISBLANK(Tareas!B60)," - ",Tareas!B60)</f>
        <v> - </v>
      </c>
      <c r="D64" s="19" t="str">
        <f t="array" ref="D64">IF(ISBLANK(Tareas!$B60),"-",SUM(
SUMIF(INDIRECT(Equipo!$C$4&amp;"!B10:B1000"),$B64,INDIRECT(Equipo!$C$4&amp;"!"&amp;ADDRESS(10,COLUMN(D$9)-1)&amp;":"&amp;ADDRESS(1000,COLUMN(D$9)-1))),
SUMIF(INDIRECT(Equipo!$D$4&amp;"!B10:B1000"),$B64,INDIRECT(Equipo!$D$4&amp;"!"&amp;ADDRESS(10,COLUMN(D$9)-1)&amp;":"&amp;ADDRESS(1000,COLUMN(D$9)-1))),
SUMIF(INDIRECT(Equipo!$E$4&amp;"!B10:B1000"),$B64,INDIRECT(Equipo!$E$4&amp;"!"&amp;ADDRESS(10,COLUMN(D$9)-1)&amp;":"&amp;ADDRESS(1000,COLUMN(D$9)-1))),
SUMIF(INDIRECT(Equipo!$F$4&amp;"!B10:B1000"),$B64,INDIRECT(Equipo!$F$4&amp;"!"&amp;ADDRESS(10,COLUMN(D$9)-1)&amp;":"&amp;ADDRESS(1000,COLUMN(D$9)-1))),
SUMIF(INDIRECT(Equipo!$G$4&amp;"!B10:B1000"),$B64,INDIRECT(Equipo!$G$4&amp;"!"&amp;ADDRESS(10,COLUMN(D$9)-1)&amp;":"&amp;ADDRESS(1000,COLUMN(D$9)-1)))))</f>
        <v>-</v>
      </c>
      <c r="E64" s="19" t="str">
        <f t="array" ref="E64">IF(ISBLANK(Tareas!$B60),"-",SUM(
SUMIF(INDIRECT(Equipo!$C$4&amp;"!B10:B1000"),$B64,INDIRECT(Equipo!$C$4&amp;"!"&amp;ADDRESS(10,COLUMN(E$9)-1)&amp;":"&amp;ADDRESS(1000,COLUMN(E$9)-1))),
SUMIF(INDIRECT(Equipo!$D$4&amp;"!B10:B1000"),$B64,INDIRECT(Equipo!$D$4&amp;"!"&amp;ADDRESS(10,COLUMN(E$9)-1)&amp;":"&amp;ADDRESS(1000,COLUMN(E$9)-1))),
SUMIF(INDIRECT(Equipo!$E$4&amp;"!B10:B1000"),$B64,INDIRECT(Equipo!$E$4&amp;"!"&amp;ADDRESS(10,COLUMN(E$9)-1)&amp;":"&amp;ADDRESS(1000,COLUMN(E$9)-1))),
SUMIF(INDIRECT(Equipo!$F$4&amp;"!B10:B1000"),$B64,INDIRECT(Equipo!$F$4&amp;"!"&amp;ADDRESS(10,COLUMN(E$9)-1)&amp;":"&amp;ADDRESS(1000,COLUMN(E$9)-1))),
SUMIF(INDIRECT(Equipo!$G$4&amp;"!B10:B1000"),$B64,INDIRECT(Equipo!$G$4&amp;"!"&amp;ADDRESS(10,COLUMN(E$9)-1)&amp;":"&amp;ADDRESS(1000,COLUMN(E$9)-1)))))</f>
        <v>-</v>
      </c>
      <c r="F64" s="19" t="str">
        <f t="array" ref="F64">IF(ISBLANK(Tareas!$B60),"-",SUM(
SUMIF(INDIRECT(Equipo!$C$4&amp;"!B10:B1000"),$B64,INDIRECT(Equipo!$C$4&amp;"!"&amp;ADDRESS(10,COLUMN(F$9)-1)&amp;":"&amp;ADDRESS(1000,COLUMN(F$9)-1))),
SUMIF(INDIRECT(Equipo!$D$4&amp;"!B10:B1000"),$B64,INDIRECT(Equipo!$D$4&amp;"!"&amp;ADDRESS(10,COLUMN(F$9)-1)&amp;":"&amp;ADDRESS(1000,COLUMN(F$9)-1))),
SUMIF(INDIRECT(Equipo!$E$4&amp;"!B10:B1000"),$B64,INDIRECT(Equipo!$E$4&amp;"!"&amp;ADDRESS(10,COLUMN(F$9)-1)&amp;":"&amp;ADDRESS(1000,COLUMN(F$9)-1))),
SUMIF(INDIRECT(Equipo!$F$4&amp;"!B10:B1000"),$B64,INDIRECT(Equipo!$F$4&amp;"!"&amp;ADDRESS(10,COLUMN(F$9)-1)&amp;":"&amp;ADDRESS(1000,COLUMN(F$9)-1))),
SUMIF(INDIRECT(Equipo!$G$4&amp;"!B10:B1000"),$B64,INDIRECT(Equipo!$G$4&amp;"!"&amp;ADDRESS(10,COLUMN(F$9)-1)&amp;":"&amp;ADDRESS(1000,COLUMN(F$9)-1)))))</f>
        <v>-</v>
      </c>
      <c r="G64" s="19" t="str">
        <f t="array" ref="G64">IF(ISBLANK(Tareas!$B60),"-",SUM(
SUMIF(INDIRECT(Equipo!$C$4&amp;"!B10:B1000"),$B64,INDIRECT(Equipo!$C$4&amp;"!"&amp;ADDRESS(10,COLUMN(G$9)-1)&amp;":"&amp;ADDRESS(1000,COLUMN(G$9)-1))),
SUMIF(INDIRECT(Equipo!$D$4&amp;"!B10:B1000"),$B64,INDIRECT(Equipo!$D$4&amp;"!"&amp;ADDRESS(10,COLUMN(G$9)-1)&amp;":"&amp;ADDRESS(1000,COLUMN(G$9)-1))),
SUMIF(INDIRECT(Equipo!$E$4&amp;"!B10:B1000"),$B64,INDIRECT(Equipo!$E$4&amp;"!"&amp;ADDRESS(10,COLUMN(G$9)-1)&amp;":"&amp;ADDRESS(1000,COLUMN(G$9)-1))),
SUMIF(INDIRECT(Equipo!$F$4&amp;"!B10:B1000"),$B64,INDIRECT(Equipo!$F$4&amp;"!"&amp;ADDRESS(10,COLUMN(G$9)-1)&amp;":"&amp;ADDRESS(1000,COLUMN(G$9)-1))),
SUMIF(INDIRECT(Equipo!$G$4&amp;"!B10:B1000"),$B64,INDIRECT(Equipo!$G$4&amp;"!"&amp;ADDRESS(10,COLUMN(G$9)-1)&amp;":"&amp;ADDRESS(1000,COLUMN(G$9)-1)))))</f>
        <v>-</v>
      </c>
      <c r="H64" s="19" t="str">
        <f t="array" ref="H64">IF(ISBLANK(Tareas!$B60),"-",SUM(
SUMIF(INDIRECT(Equipo!$C$4&amp;"!B10:B1000"),$B64,INDIRECT(Equipo!$C$4&amp;"!"&amp;ADDRESS(10,COLUMN(H$9)-1)&amp;":"&amp;ADDRESS(1000,COLUMN(H$9)-1))),
SUMIF(INDIRECT(Equipo!$D$4&amp;"!B10:B1000"),$B64,INDIRECT(Equipo!$D$4&amp;"!"&amp;ADDRESS(10,COLUMN(H$9)-1)&amp;":"&amp;ADDRESS(1000,COLUMN(H$9)-1))),
SUMIF(INDIRECT(Equipo!$E$4&amp;"!B10:B1000"),$B64,INDIRECT(Equipo!$E$4&amp;"!"&amp;ADDRESS(10,COLUMN(H$9)-1)&amp;":"&amp;ADDRESS(1000,COLUMN(H$9)-1))),
SUMIF(INDIRECT(Equipo!$F$4&amp;"!B10:B1000"),$B64,INDIRECT(Equipo!$F$4&amp;"!"&amp;ADDRESS(10,COLUMN(H$9)-1)&amp;":"&amp;ADDRESS(1000,COLUMN(H$9)-1))),
SUMIF(INDIRECT(Equipo!$G$4&amp;"!B10:B1000"),$B64,INDIRECT(Equipo!$G$4&amp;"!"&amp;ADDRESS(10,COLUMN(H$9)-1)&amp;":"&amp;ADDRESS(1000,COLUMN(H$9)-1)))))</f>
        <v>-</v>
      </c>
      <c r="I64" s="19" t="str">
        <f t="array" ref="I64">IF(ISBLANK(Tareas!$B60),"-",SUM(
SUMIF(INDIRECT(Equipo!$C$4&amp;"!B10:B1000"),$B64,INDIRECT(Equipo!$C$4&amp;"!"&amp;ADDRESS(10,COLUMN(I$9)-1)&amp;":"&amp;ADDRESS(1000,COLUMN(I$9)-1))),
SUMIF(INDIRECT(Equipo!$D$4&amp;"!B10:B1000"),$B64,INDIRECT(Equipo!$D$4&amp;"!"&amp;ADDRESS(10,COLUMN(I$9)-1)&amp;":"&amp;ADDRESS(1000,COLUMN(I$9)-1))),
SUMIF(INDIRECT(Equipo!$E$4&amp;"!B10:B1000"),$B64,INDIRECT(Equipo!$E$4&amp;"!"&amp;ADDRESS(10,COLUMN(I$9)-1)&amp;":"&amp;ADDRESS(1000,COLUMN(I$9)-1))),
SUMIF(INDIRECT(Equipo!$F$4&amp;"!B10:B1000"),$B64,INDIRECT(Equipo!$F$4&amp;"!"&amp;ADDRESS(10,COLUMN(I$9)-1)&amp;":"&amp;ADDRESS(1000,COLUMN(I$9)-1))),
SUMIF(INDIRECT(Equipo!$G$4&amp;"!B10:B1000"),$B64,INDIRECT(Equipo!$G$4&amp;"!"&amp;ADDRESS(10,COLUMN(I$9)-1)&amp;":"&amp;ADDRESS(1000,COLUMN(I$9)-1)))))</f>
        <v>-</v>
      </c>
      <c r="J64" s="19" t="str">
        <f t="array" ref="J64">IF(ISBLANK(Tareas!$B60),"-",SUM(
SUMIF(INDIRECT(Equipo!$C$4&amp;"!B10:B1000"),$B64,INDIRECT(Equipo!$C$4&amp;"!"&amp;ADDRESS(10,COLUMN(J$9)-1)&amp;":"&amp;ADDRESS(1000,COLUMN(J$9)-1))),
SUMIF(INDIRECT(Equipo!$D$4&amp;"!B10:B1000"),$B64,INDIRECT(Equipo!$D$4&amp;"!"&amp;ADDRESS(10,COLUMN(J$9)-1)&amp;":"&amp;ADDRESS(1000,COLUMN(J$9)-1))),
SUMIF(INDIRECT(Equipo!$E$4&amp;"!B10:B1000"),$B64,INDIRECT(Equipo!$E$4&amp;"!"&amp;ADDRESS(10,COLUMN(J$9)-1)&amp;":"&amp;ADDRESS(1000,COLUMN(J$9)-1))),
SUMIF(INDIRECT(Equipo!$F$4&amp;"!B10:B1000"),$B64,INDIRECT(Equipo!$F$4&amp;"!"&amp;ADDRESS(10,COLUMN(J$9)-1)&amp;":"&amp;ADDRESS(1000,COLUMN(J$9)-1))),
SUMIF(INDIRECT(Equipo!$G$4&amp;"!B10:B1000"),$B64,INDIRECT(Equipo!$G$4&amp;"!"&amp;ADDRESS(10,COLUMN(J$9)-1)&amp;":"&amp;ADDRESS(1000,COLUMN(J$9)-1)))))</f>
        <v>-</v>
      </c>
      <c r="K64" s="19" t="str">
        <f t="array" ref="K64">IF(ISBLANK(Tareas!$B60),"-",SUM(
SUMIF(INDIRECT(Equipo!$C$4&amp;"!B10:B1000"),$B64,INDIRECT(Equipo!$C$4&amp;"!"&amp;ADDRESS(10,COLUMN(K$9)-1)&amp;":"&amp;ADDRESS(1000,COLUMN(K$9)-1))),
SUMIF(INDIRECT(Equipo!$D$4&amp;"!B10:B1000"),$B64,INDIRECT(Equipo!$D$4&amp;"!"&amp;ADDRESS(10,COLUMN(K$9)-1)&amp;":"&amp;ADDRESS(1000,COLUMN(K$9)-1))),
SUMIF(INDIRECT(Equipo!$E$4&amp;"!B10:B1000"),$B64,INDIRECT(Equipo!$E$4&amp;"!"&amp;ADDRESS(10,COLUMN(K$9)-1)&amp;":"&amp;ADDRESS(1000,COLUMN(K$9)-1))),
SUMIF(INDIRECT(Equipo!$F$4&amp;"!B10:B1000"),$B64,INDIRECT(Equipo!$F$4&amp;"!"&amp;ADDRESS(10,COLUMN(K$9)-1)&amp;":"&amp;ADDRESS(1000,COLUMN(K$9)-1))),
SUMIF(INDIRECT(Equipo!$G$4&amp;"!B10:B1000"),$B64,INDIRECT(Equipo!$G$4&amp;"!"&amp;ADDRESS(10,COLUMN(K$9)-1)&amp;":"&amp;ADDRESS(1000,COLUMN(K$9)-1)))))</f>
        <v>-</v>
      </c>
    </row>
    <row r="65" ht="15.75" customHeight="1">
      <c r="B65" s="1" t="str">
        <f>IF(ISBLANK(Tareas!B61)," - ",Tareas!B61)</f>
        <v> - </v>
      </c>
      <c r="D65" s="19" t="str">
        <f t="array" ref="D65">IF(ISBLANK(Tareas!$B61),"-",SUM(
SUMIF(INDIRECT(Equipo!$C$4&amp;"!B10:B1000"),$B65,INDIRECT(Equipo!$C$4&amp;"!"&amp;ADDRESS(10,COLUMN(D$9)-1)&amp;":"&amp;ADDRESS(1000,COLUMN(D$9)-1))),
SUMIF(INDIRECT(Equipo!$D$4&amp;"!B10:B1000"),$B65,INDIRECT(Equipo!$D$4&amp;"!"&amp;ADDRESS(10,COLUMN(D$9)-1)&amp;":"&amp;ADDRESS(1000,COLUMN(D$9)-1))),
SUMIF(INDIRECT(Equipo!$E$4&amp;"!B10:B1000"),$B65,INDIRECT(Equipo!$E$4&amp;"!"&amp;ADDRESS(10,COLUMN(D$9)-1)&amp;":"&amp;ADDRESS(1000,COLUMN(D$9)-1))),
SUMIF(INDIRECT(Equipo!$F$4&amp;"!B10:B1000"),$B65,INDIRECT(Equipo!$F$4&amp;"!"&amp;ADDRESS(10,COLUMN(D$9)-1)&amp;":"&amp;ADDRESS(1000,COLUMN(D$9)-1))),
SUMIF(INDIRECT(Equipo!$G$4&amp;"!B10:B1000"),$B65,INDIRECT(Equipo!$G$4&amp;"!"&amp;ADDRESS(10,COLUMN(D$9)-1)&amp;":"&amp;ADDRESS(1000,COLUMN(D$9)-1)))))</f>
        <v>-</v>
      </c>
      <c r="E65" s="19" t="str">
        <f t="array" ref="E65">IF(ISBLANK(Tareas!$B61),"-",SUM(
SUMIF(INDIRECT(Equipo!$C$4&amp;"!B10:B1000"),$B65,INDIRECT(Equipo!$C$4&amp;"!"&amp;ADDRESS(10,COLUMN(E$9)-1)&amp;":"&amp;ADDRESS(1000,COLUMN(E$9)-1))),
SUMIF(INDIRECT(Equipo!$D$4&amp;"!B10:B1000"),$B65,INDIRECT(Equipo!$D$4&amp;"!"&amp;ADDRESS(10,COLUMN(E$9)-1)&amp;":"&amp;ADDRESS(1000,COLUMN(E$9)-1))),
SUMIF(INDIRECT(Equipo!$E$4&amp;"!B10:B1000"),$B65,INDIRECT(Equipo!$E$4&amp;"!"&amp;ADDRESS(10,COLUMN(E$9)-1)&amp;":"&amp;ADDRESS(1000,COLUMN(E$9)-1))),
SUMIF(INDIRECT(Equipo!$F$4&amp;"!B10:B1000"),$B65,INDIRECT(Equipo!$F$4&amp;"!"&amp;ADDRESS(10,COLUMN(E$9)-1)&amp;":"&amp;ADDRESS(1000,COLUMN(E$9)-1))),
SUMIF(INDIRECT(Equipo!$G$4&amp;"!B10:B1000"),$B65,INDIRECT(Equipo!$G$4&amp;"!"&amp;ADDRESS(10,COLUMN(E$9)-1)&amp;":"&amp;ADDRESS(1000,COLUMN(E$9)-1)))))</f>
        <v>-</v>
      </c>
      <c r="F65" s="19" t="str">
        <f t="array" ref="F65">IF(ISBLANK(Tareas!$B61),"-",SUM(
SUMIF(INDIRECT(Equipo!$C$4&amp;"!B10:B1000"),$B65,INDIRECT(Equipo!$C$4&amp;"!"&amp;ADDRESS(10,COLUMN(F$9)-1)&amp;":"&amp;ADDRESS(1000,COLUMN(F$9)-1))),
SUMIF(INDIRECT(Equipo!$D$4&amp;"!B10:B1000"),$B65,INDIRECT(Equipo!$D$4&amp;"!"&amp;ADDRESS(10,COLUMN(F$9)-1)&amp;":"&amp;ADDRESS(1000,COLUMN(F$9)-1))),
SUMIF(INDIRECT(Equipo!$E$4&amp;"!B10:B1000"),$B65,INDIRECT(Equipo!$E$4&amp;"!"&amp;ADDRESS(10,COLUMN(F$9)-1)&amp;":"&amp;ADDRESS(1000,COLUMN(F$9)-1))),
SUMIF(INDIRECT(Equipo!$F$4&amp;"!B10:B1000"),$B65,INDIRECT(Equipo!$F$4&amp;"!"&amp;ADDRESS(10,COLUMN(F$9)-1)&amp;":"&amp;ADDRESS(1000,COLUMN(F$9)-1))),
SUMIF(INDIRECT(Equipo!$G$4&amp;"!B10:B1000"),$B65,INDIRECT(Equipo!$G$4&amp;"!"&amp;ADDRESS(10,COLUMN(F$9)-1)&amp;":"&amp;ADDRESS(1000,COLUMN(F$9)-1)))))</f>
        <v>-</v>
      </c>
      <c r="G65" s="19" t="str">
        <f t="array" ref="G65">IF(ISBLANK(Tareas!$B61),"-",SUM(
SUMIF(INDIRECT(Equipo!$C$4&amp;"!B10:B1000"),$B65,INDIRECT(Equipo!$C$4&amp;"!"&amp;ADDRESS(10,COLUMN(G$9)-1)&amp;":"&amp;ADDRESS(1000,COLUMN(G$9)-1))),
SUMIF(INDIRECT(Equipo!$D$4&amp;"!B10:B1000"),$B65,INDIRECT(Equipo!$D$4&amp;"!"&amp;ADDRESS(10,COLUMN(G$9)-1)&amp;":"&amp;ADDRESS(1000,COLUMN(G$9)-1))),
SUMIF(INDIRECT(Equipo!$E$4&amp;"!B10:B1000"),$B65,INDIRECT(Equipo!$E$4&amp;"!"&amp;ADDRESS(10,COLUMN(G$9)-1)&amp;":"&amp;ADDRESS(1000,COLUMN(G$9)-1))),
SUMIF(INDIRECT(Equipo!$F$4&amp;"!B10:B1000"),$B65,INDIRECT(Equipo!$F$4&amp;"!"&amp;ADDRESS(10,COLUMN(G$9)-1)&amp;":"&amp;ADDRESS(1000,COLUMN(G$9)-1))),
SUMIF(INDIRECT(Equipo!$G$4&amp;"!B10:B1000"),$B65,INDIRECT(Equipo!$G$4&amp;"!"&amp;ADDRESS(10,COLUMN(G$9)-1)&amp;":"&amp;ADDRESS(1000,COLUMN(G$9)-1)))))</f>
        <v>-</v>
      </c>
      <c r="H65" s="19" t="str">
        <f t="array" ref="H65">IF(ISBLANK(Tareas!$B61),"-",SUM(
SUMIF(INDIRECT(Equipo!$C$4&amp;"!B10:B1000"),$B65,INDIRECT(Equipo!$C$4&amp;"!"&amp;ADDRESS(10,COLUMN(H$9)-1)&amp;":"&amp;ADDRESS(1000,COLUMN(H$9)-1))),
SUMIF(INDIRECT(Equipo!$D$4&amp;"!B10:B1000"),$B65,INDIRECT(Equipo!$D$4&amp;"!"&amp;ADDRESS(10,COLUMN(H$9)-1)&amp;":"&amp;ADDRESS(1000,COLUMN(H$9)-1))),
SUMIF(INDIRECT(Equipo!$E$4&amp;"!B10:B1000"),$B65,INDIRECT(Equipo!$E$4&amp;"!"&amp;ADDRESS(10,COLUMN(H$9)-1)&amp;":"&amp;ADDRESS(1000,COLUMN(H$9)-1))),
SUMIF(INDIRECT(Equipo!$F$4&amp;"!B10:B1000"),$B65,INDIRECT(Equipo!$F$4&amp;"!"&amp;ADDRESS(10,COLUMN(H$9)-1)&amp;":"&amp;ADDRESS(1000,COLUMN(H$9)-1))),
SUMIF(INDIRECT(Equipo!$G$4&amp;"!B10:B1000"),$B65,INDIRECT(Equipo!$G$4&amp;"!"&amp;ADDRESS(10,COLUMN(H$9)-1)&amp;":"&amp;ADDRESS(1000,COLUMN(H$9)-1)))))</f>
        <v>-</v>
      </c>
      <c r="I65" s="19" t="str">
        <f t="array" ref="I65">IF(ISBLANK(Tareas!$B61),"-",SUM(
SUMIF(INDIRECT(Equipo!$C$4&amp;"!B10:B1000"),$B65,INDIRECT(Equipo!$C$4&amp;"!"&amp;ADDRESS(10,COLUMN(I$9)-1)&amp;":"&amp;ADDRESS(1000,COLUMN(I$9)-1))),
SUMIF(INDIRECT(Equipo!$D$4&amp;"!B10:B1000"),$B65,INDIRECT(Equipo!$D$4&amp;"!"&amp;ADDRESS(10,COLUMN(I$9)-1)&amp;":"&amp;ADDRESS(1000,COLUMN(I$9)-1))),
SUMIF(INDIRECT(Equipo!$E$4&amp;"!B10:B1000"),$B65,INDIRECT(Equipo!$E$4&amp;"!"&amp;ADDRESS(10,COLUMN(I$9)-1)&amp;":"&amp;ADDRESS(1000,COLUMN(I$9)-1))),
SUMIF(INDIRECT(Equipo!$F$4&amp;"!B10:B1000"),$B65,INDIRECT(Equipo!$F$4&amp;"!"&amp;ADDRESS(10,COLUMN(I$9)-1)&amp;":"&amp;ADDRESS(1000,COLUMN(I$9)-1))),
SUMIF(INDIRECT(Equipo!$G$4&amp;"!B10:B1000"),$B65,INDIRECT(Equipo!$G$4&amp;"!"&amp;ADDRESS(10,COLUMN(I$9)-1)&amp;":"&amp;ADDRESS(1000,COLUMN(I$9)-1)))))</f>
        <v>-</v>
      </c>
      <c r="J65" s="19" t="str">
        <f t="array" ref="J65">IF(ISBLANK(Tareas!$B61),"-",SUM(
SUMIF(INDIRECT(Equipo!$C$4&amp;"!B10:B1000"),$B65,INDIRECT(Equipo!$C$4&amp;"!"&amp;ADDRESS(10,COLUMN(J$9)-1)&amp;":"&amp;ADDRESS(1000,COLUMN(J$9)-1))),
SUMIF(INDIRECT(Equipo!$D$4&amp;"!B10:B1000"),$B65,INDIRECT(Equipo!$D$4&amp;"!"&amp;ADDRESS(10,COLUMN(J$9)-1)&amp;":"&amp;ADDRESS(1000,COLUMN(J$9)-1))),
SUMIF(INDIRECT(Equipo!$E$4&amp;"!B10:B1000"),$B65,INDIRECT(Equipo!$E$4&amp;"!"&amp;ADDRESS(10,COLUMN(J$9)-1)&amp;":"&amp;ADDRESS(1000,COLUMN(J$9)-1))),
SUMIF(INDIRECT(Equipo!$F$4&amp;"!B10:B1000"),$B65,INDIRECT(Equipo!$F$4&amp;"!"&amp;ADDRESS(10,COLUMN(J$9)-1)&amp;":"&amp;ADDRESS(1000,COLUMN(J$9)-1))),
SUMIF(INDIRECT(Equipo!$G$4&amp;"!B10:B1000"),$B65,INDIRECT(Equipo!$G$4&amp;"!"&amp;ADDRESS(10,COLUMN(J$9)-1)&amp;":"&amp;ADDRESS(1000,COLUMN(J$9)-1)))))</f>
        <v>-</v>
      </c>
      <c r="K65" s="19" t="str">
        <f t="array" ref="K65">IF(ISBLANK(Tareas!$B61),"-",SUM(
SUMIF(INDIRECT(Equipo!$C$4&amp;"!B10:B1000"),$B65,INDIRECT(Equipo!$C$4&amp;"!"&amp;ADDRESS(10,COLUMN(K$9)-1)&amp;":"&amp;ADDRESS(1000,COLUMN(K$9)-1))),
SUMIF(INDIRECT(Equipo!$D$4&amp;"!B10:B1000"),$B65,INDIRECT(Equipo!$D$4&amp;"!"&amp;ADDRESS(10,COLUMN(K$9)-1)&amp;":"&amp;ADDRESS(1000,COLUMN(K$9)-1))),
SUMIF(INDIRECT(Equipo!$E$4&amp;"!B10:B1000"),$B65,INDIRECT(Equipo!$E$4&amp;"!"&amp;ADDRESS(10,COLUMN(K$9)-1)&amp;":"&amp;ADDRESS(1000,COLUMN(K$9)-1))),
SUMIF(INDIRECT(Equipo!$F$4&amp;"!B10:B1000"),$B65,INDIRECT(Equipo!$F$4&amp;"!"&amp;ADDRESS(10,COLUMN(K$9)-1)&amp;":"&amp;ADDRESS(1000,COLUMN(K$9)-1))),
SUMIF(INDIRECT(Equipo!$G$4&amp;"!B10:B1000"),$B65,INDIRECT(Equipo!$G$4&amp;"!"&amp;ADDRESS(10,COLUMN(K$9)-1)&amp;":"&amp;ADDRESS(1000,COLUMN(K$9)-1)))))</f>
        <v>-</v>
      </c>
    </row>
    <row r="66" ht="15.75" customHeight="1">
      <c r="B66" s="1" t="str">
        <f>IF(ISBLANK(Tareas!B62)," - ",Tareas!B62)</f>
        <v> - </v>
      </c>
      <c r="D66" s="19" t="str">
        <f t="array" ref="D66">IF(ISBLANK(Tareas!$B62),"-",SUM(
SUMIF(INDIRECT(Equipo!$C$4&amp;"!B10:B1000"),$B66,INDIRECT(Equipo!$C$4&amp;"!"&amp;ADDRESS(10,COLUMN(D$9)-1)&amp;":"&amp;ADDRESS(1000,COLUMN(D$9)-1))),
SUMIF(INDIRECT(Equipo!$D$4&amp;"!B10:B1000"),$B66,INDIRECT(Equipo!$D$4&amp;"!"&amp;ADDRESS(10,COLUMN(D$9)-1)&amp;":"&amp;ADDRESS(1000,COLUMN(D$9)-1))),
SUMIF(INDIRECT(Equipo!$E$4&amp;"!B10:B1000"),$B66,INDIRECT(Equipo!$E$4&amp;"!"&amp;ADDRESS(10,COLUMN(D$9)-1)&amp;":"&amp;ADDRESS(1000,COLUMN(D$9)-1))),
SUMIF(INDIRECT(Equipo!$F$4&amp;"!B10:B1000"),$B66,INDIRECT(Equipo!$F$4&amp;"!"&amp;ADDRESS(10,COLUMN(D$9)-1)&amp;":"&amp;ADDRESS(1000,COLUMN(D$9)-1))),
SUMIF(INDIRECT(Equipo!$G$4&amp;"!B10:B1000"),$B66,INDIRECT(Equipo!$G$4&amp;"!"&amp;ADDRESS(10,COLUMN(D$9)-1)&amp;":"&amp;ADDRESS(1000,COLUMN(D$9)-1)))))</f>
        <v>-</v>
      </c>
      <c r="E66" s="19" t="str">
        <f t="array" ref="E66">IF(ISBLANK(Tareas!$B62),"-",SUM(
SUMIF(INDIRECT(Equipo!$C$4&amp;"!B10:B1000"),$B66,INDIRECT(Equipo!$C$4&amp;"!"&amp;ADDRESS(10,COLUMN(E$9)-1)&amp;":"&amp;ADDRESS(1000,COLUMN(E$9)-1))),
SUMIF(INDIRECT(Equipo!$D$4&amp;"!B10:B1000"),$B66,INDIRECT(Equipo!$D$4&amp;"!"&amp;ADDRESS(10,COLUMN(E$9)-1)&amp;":"&amp;ADDRESS(1000,COLUMN(E$9)-1))),
SUMIF(INDIRECT(Equipo!$E$4&amp;"!B10:B1000"),$B66,INDIRECT(Equipo!$E$4&amp;"!"&amp;ADDRESS(10,COLUMN(E$9)-1)&amp;":"&amp;ADDRESS(1000,COLUMN(E$9)-1))),
SUMIF(INDIRECT(Equipo!$F$4&amp;"!B10:B1000"),$B66,INDIRECT(Equipo!$F$4&amp;"!"&amp;ADDRESS(10,COLUMN(E$9)-1)&amp;":"&amp;ADDRESS(1000,COLUMN(E$9)-1))),
SUMIF(INDIRECT(Equipo!$G$4&amp;"!B10:B1000"),$B66,INDIRECT(Equipo!$G$4&amp;"!"&amp;ADDRESS(10,COLUMN(E$9)-1)&amp;":"&amp;ADDRESS(1000,COLUMN(E$9)-1)))))</f>
        <v>-</v>
      </c>
      <c r="F66" s="19" t="str">
        <f t="array" ref="F66">IF(ISBLANK(Tareas!$B62),"-",SUM(
SUMIF(INDIRECT(Equipo!$C$4&amp;"!B10:B1000"),$B66,INDIRECT(Equipo!$C$4&amp;"!"&amp;ADDRESS(10,COLUMN(F$9)-1)&amp;":"&amp;ADDRESS(1000,COLUMN(F$9)-1))),
SUMIF(INDIRECT(Equipo!$D$4&amp;"!B10:B1000"),$B66,INDIRECT(Equipo!$D$4&amp;"!"&amp;ADDRESS(10,COLUMN(F$9)-1)&amp;":"&amp;ADDRESS(1000,COLUMN(F$9)-1))),
SUMIF(INDIRECT(Equipo!$E$4&amp;"!B10:B1000"),$B66,INDIRECT(Equipo!$E$4&amp;"!"&amp;ADDRESS(10,COLUMN(F$9)-1)&amp;":"&amp;ADDRESS(1000,COLUMN(F$9)-1))),
SUMIF(INDIRECT(Equipo!$F$4&amp;"!B10:B1000"),$B66,INDIRECT(Equipo!$F$4&amp;"!"&amp;ADDRESS(10,COLUMN(F$9)-1)&amp;":"&amp;ADDRESS(1000,COLUMN(F$9)-1))),
SUMIF(INDIRECT(Equipo!$G$4&amp;"!B10:B1000"),$B66,INDIRECT(Equipo!$G$4&amp;"!"&amp;ADDRESS(10,COLUMN(F$9)-1)&amp;":"&amp;ADDRESS(1000,COLUMN(F$9)-1)))))</f>
        <v>-</v>
      </c>
      <c r="G66" s="19" t="str">
        <f t="array" ref="G66">IF(ISBLANK(Tareas!$B62),"-",SUM(
SUMIF(INDIRECT(Equipo!$C$4&amp;"!B10:B1000"),$B66,INDIRECT(Equipo!$C$4&amp;"!"&amp;ADDRESS(10,COLUMN(G$9)-1)&amp;":"&amp;ADDRESS(1000,COLUMN(G$9)-1))),
SUMIF(INDIRECT(Equipo!$D$4&amp;"!B10:B1000"),$B66,INDIRECT(Equipo!$D$4&amp;"!"&amp;ADDRESS(10,COLUMN(G$9)-1)&amp;":"&amp;ADDRESS(1000,COLUMN(G$9)-1))),
SUMIF(INDIRECT(Equipo!$E$4&amp;"!B10:B1000"),$B66,INDIRECT(Equipo!$E$4&amp;"!"&amp;ADDRESS(10,COLUMN(G$9)-1)&amp;":"&amp;ADDRESS(1000,COLUMN(G$9)-1))),
SUMIF(INDIRECT(Equipo!$F$4&amp;"!B10:B1000"),$B66,INDIRECT(Equipo!$F$4&amp;"!"&amp;ADDRESS(10,COLUMN(G$9)-1)&amp;":"&amp;ADDRESS(1000,COLUMN(G$9)-1))),
SUMIF(INDIRECT(Equipo!$G$4&amp;"!B10:B1000"),$B66,INDIRECT(Equipo!$G$4&amp;"!"&amp;ADDRESS(10,COLUMN(G$9)-1)&amp;":"&amp;ADDRESS(1000,COLUMN(G$9)-1)))))</f>
        <v>-</v>
      </c>
      <c r="H66" s="19" t="str">
        <f t="array" ref="H66">IF(ISBLANK(Tareas!$B62),"-",SUM(
SUMIF(INDIRECT(Equipo!$C$4&amp;"!B10:B1000"),$B66,INDIRECT(Equipo!$C$4&amp;"!"&amp;ADDRESS(10,COLUMN(H$9)-1)&amp;":"&amp;ADDRESS(1000,COLUMN(H$9)-1))),
SUMIF(INDIRECT(Equipo!$D$4&amp;"!B10:B1000"),$B66,INDIRECT(Equipo!$D$4&amp;"!"&amp;ADDRESS(10,COLUMN(H$9)-1)&amp;":"&amp;ADDRESS(1000,COLUMN(H$9)-1))),
SUMIF(INDIRECT(Equipo!$E$4&amp;"!B10:B1000"),$B66,INDIRECT(Equipo!$E$4&amp;"!"&amp;ADDRESS(10,COLUMN(H$9)-1)&amp;":"&amp;ADDRESS(1000,COLUMN(H$9)-1))),
SUMIF(INDIRECT(Equipo!$F$4&amp;"!B10:B1000"),$B66,INDIRECT(Equipo!$F$4&amp;"!"&amp;ADDRESS(10,COLUMN(H$9)-1)&amp;":"&amp;ADDRESS(1000,COLUMN(H$9)-1))),
SUMIF(INDIRECT(Equipo!$G$4&amp;"!B10:B1000"),$B66,INDIRECT(Equipo!$G$4&amp;"!"&amp;ADDRESS(10,COLUMN(H$9)-1)&amp;":"&amp;ADDRESS(1000,COLUMN(H$9)-1)))))</f>
        <v>-</v>
      </c>
      <c r="I66" s="19" t="str">
        <f t="array" ref="I66">IF(ISBLANK(Tareas!$B62),"-",SUM(
SUMIF(INDIRECT(Equipo!$C$4&amp;"!B10:B1000"),$B66,INDIRECT(Equipo!$C$4&amp;"!"&amp;ADDRESS(10,COLUMN(I$9)-1)&amp;":"&amp;ADDRESS(1000,COLUMN(I$9)-1))),
SUMIF(INDIRECT(Equipo!$D$4&amp;"!B10:B1000"),$B66,INDIRECT(Equipo!$D$4&amp;"!"&amp;ADDRESS(10,COLUMN(I$9)-1)&amp;":"&amp;ADDRESS(1000,COLUMN(I$9)-1))),
SUMIF(INDIRECT(Equipo!$E$4&amp;"!B10:B1000"),$B66,INDIRECT(Equipo!$E$4&amp;"!"&amp;ADDRESS(10,COLUMN(I$9)-1)&amp;":"&amp;ADDRESS(1000,COLUMN(I$9)-1))),
SUMIF(INDIRECT(Equipo!$F$4&amp;"!B10:B1000"),$B66,INDIRECT(Equipo!$F$4&amp;"!"&amp;ADDRESS(10,COLUMN(I$9)-1)&amp;":"&amp;ADDRESS(1000,COLUMN(I$9)-1))),
SUMIF(INDIRECT(Equipo!$G$4&amp;"!B10:B1000"),$B66,INDIRECT(Equipo!$G$4&amp;"!"&amp;ADDRESS(10,COLUMN(I$9)-1)&amp;":"&amp;ADDRESS(1000,COLUMN(I$9)-1)))))</f>
        <v>-</v>
      </c>
      <c r="J66" s="19" t="str">
        <f t="array" ref="J66">IF(ISBLANK(Tareas!$B62),"-",SUM(
SUMIF(INDIRECT(Equipo!$C$4&amp;"!B10:B1000"),$B66,INDIRECT(Equipo!$C$4&amp;"!"&amp;ADDRESS(10,COLUMN(J$9)-1)&amp;":"&amp;ADDRESS(1000,COLUMN(J$9)-1))),
SUMIF(INDIRECT(Equipo!$D$4&amp;"!B10:B1000"),$B66,INDIRECT(Equipo!$D$4&amp;"!"&amp;ADDRESS(10,COLUMN(J$9)-1)&amp;":"&amp;ADDRESS(1000,COLUMN(J$9)-1))),
SUMIF(INDIRECT(Equipo!$E$4&amp;"!B10:B1000"),$B66,INDIRECT(Equipo!$E$4&amp;"!"&amp;ADDRESS(10,COLUMN(J$9)-1)&amp;":"&amp;ADDRESS(1000,COLUMN(J$9)-1))),
SUMIF(INDIRECT(Equipo!$F$4&amp;"!B10:B1000"),$B66,INDIRECT(Equipo!$F$4&amp;"!"&amp;ADDRESS(10,COLUMN(J$9)-1)&amp;":"&amp;ADDRESS(1000,COLUMN(J$9)-1))),
SUMIF(INDIRECT(Equipo!$G$4&amp;"!B10:B1000"),$B66,INDIRECT(Equipo!$G$4&amp;"!"&amp;ADDRESS(10,COLUMN(J$9)-1)&amp;":"&amp;ADDRESS(1000,COLUMN(J$9)-1)))))</f>
        <v>-</v>
      </c>
      <c r="K66" s="19" t="str">
        <f t="array" ref="K66">IF(ISBLANK(Tareas!$B62),"-",SUM(
SUMIF(INDIRECT(Equipo!$C$4&amp;"!B10:B1000"),$B66,INDIRECT(Equipo!$C$4&amp;"!"&amp;ADDRESS(10,COLUMN(K$9)-1)&amp;":"&amp;ADDRESS(1000,COLUMN(K$9)-1))),
SUMIF(INDIRECT(Equipo!$D$4&amp;"!B10:B1000"),$B66,INDIRECT(Equipo!$D$4&amp;"!"&amp;ADDRESS(10,COLUMN(K$9)-1)&amp;":"&amp;ADDRESS(1000,COLUMN(K$9)-1))),
SUMIF(INDIRECT(Equipo!$E$4&amp;"!B10:B1000"),$B66,INDIRECT(Equipo!$E$4&amp;"!"&amp;ADDRESS(10,COLUMN(K$9)-1)&amp;":"&amp;ADDRESS(1000,COLUMN(K$9)-1))),
SUMIF(INDIRECT(Equipo!$F$4&amp;"!B10:B1000"),$B66,INDIRECT(Equipo!$F$4&amp;"!"&amp;ADDRESS(10,COLUMN(K$9)-1)&amp;":"&amp;ADDRESS(1000,COLUMN(K$9)-1))),
SUMIF(INDIRECT(Equipo!$G$4&amp;"!B10:B1000"),$B66,INDIRECT(Equipo!$G$4&amp;"!"&amp;ADDRESS(10,COLUMN(K$9)-1)&amp;":"&amp;ADDRESS(1000,COLUMN(K$9)-1)))))</f>
        <v>-</v>
      </c>
    </row>
    <row r="67" ht="15.75" customHeight="1">
      <c r="B67" s="1" t="str">
        <f>IF(ISBLANK(Tareas!B63)," - ",Tareas!B63)</f>
        <v> - </v>
      </c>
      <c r="D67" s="19" t="str">
        <f t="array" ref="D67">IF(ISBLANK(Tareas!$B63),"-",SUM(
SUMIF(INDIRECT(Equipo!$C$4&amp;"!B10:B1000"),$B67,INDIRECT(Equipo!$C$4&amp;"!"&amp;ADDRESS(10,COLUMN(D$9)-1)&amp;":"&amp;ADDRESS(1000,COLUMN(D$9)-1))),
SUMIF(INDIRECT(Equipo!$D$4&amp;"!B10:B1000"),$B67,INDIRECT(Equipo!$D$4&amp;"!"&amp;ADDRESS(10,COLUMN(D$9)-1)&amp;":"&amp;ADDRESS(1000,COLUMN(D$9)-1))),
SUMIF(INDIRECT(Equipo!$E$4&amp;"!B10:B1000"),$B67,INDIRECT(Equipo!$E$4&amp;"!"&amp;ADDRESS(10,COLUMN(D$9)-1)&amp;":"&amp;ADDRESS(1000,COLUMN(D$9)-1))),
SUMIF(INDIRECT(Equipo!$F$4&amp;"!B10:B1000"),$B67,INDIRECT(Equipo!$F$4&amp;"!"&amp;ADDRESS(10,COLUMN(D$9)-1)&amp;":"&amp;ADDRESS(1000,COLUMN(D$9)-1))),
SUMIF(INDIRECT(Equipo!$G$4&amp;"!B10:B1000"),$B67,INDIRECT(Equipo!$G$4&amp;"!"&amp;ADDRESS(10,COLUMN(D$9)-1)&amp;":"&amp;ADDRESS(1000,COLUMN(D$9)-1)))))</f>
        <v>-</v>
      </c>
      <c r="E67" s="19" t="str">
        <f t="array" ref="E67">IF(ISBLANK(Tareas!$B63),"-",SUM(
SUMIF(INDIRECT(Equipo!$C$4&amp;"!B10:B1000"),$B67,INDIRECT(Equipo!$C$4&amp;"!"&amp;ADDRESS(10,COLUMN(E$9)-1)&amp;":"&amp;ADDRESS(1000,COLUMN(E$9)-1))),
SUMIF(INDIRECT(Equipo!$D$4&amp;"!B10:B1000"),$B67,INDIRECT(Equipo!$D$4&amp;"!"&amp;ADDRESS(10,COLUMN(E$9)-1)&amp;":"&amp;ADDRESS(1000,COLUMN(E$9)-1))),
SUMIF(INDIRECT(Equipo!$E$4&amp;"!B10:B1000"),$B67,INDIRECT(Equipo!$E$4&amp;"!"&amp;ADDRESS(10,COLUMN(E$9)-1)&amp;":"&amp;ADDRESS(1000,COLUMN(E$9)-1))),
SUMIF(INDIRECT(Equipo!$F$4&amp;"!B10:B1000"),$B67,INDIRECT(Equipo!$F$4&amp;"!"&amp;ADDRESS(10,COLUMN(E$9)-1)&amp;":"&amp;ADDRESS(1000,COLUMN(E$9)-1))),
SUMIF(INDIRECT(Equipo!$G$4&amp;"!B10:B1000"),$B67,INDIRECT(Equipo!$G$4&amp;"!"&amp;ADDRESS(10,COLUMN(E$9)-1)&amp;":"&amp;ADDRESS(1000,COLUMN(E$9)-1)))))</f>
        <v>-</v>
      </c>
      <c r="F67" s="19" t="str">
        <f t="array" ref="F67">IF(ISBLANK(Tareas!$B63),"-",SUM(
SUMIF(INDIRECT(Equipo!$C$4&amp;"!B10:B1000"),$B67,INDIRECT(Equipo!$C$4&amp;"!"&amp;ADDRESS(10,COLUMN(F$9)-1)&amp;":"&amp;ADDRESS(1000,COLUMN(F$9)-1))),
SUMIF(INDIRECT(Equipo!$D$4&amp;"!B10:B1000"),$B67,INDIRECT(Equipo!$D$4&amp;"!"&amp;ADDRESS(10,COLUMN(F$9)-1)&amp;":"&amp;ADDRESS(1000,COLUMN(F$9)-1))),
SUMIF(INDIRECT(Equipo!$E$4&amp;"!B10:B1000"),$B67,INDIRECT(Equipo!$E$4&amp;"!"&amp;ADDRESS(10,COLUMN(F$9)-1)&amp;":"&amp;ADDRESS(1000,COLUMN(F$9)-1))),
SUMIF(INDIRECT(Equipo!$F$4&amp;"!B10:B1000"),$B67,INDIRECT(Equipo!$F$4&amp;"!"&amp;ADDRESS(10,COLUMN(F$9)-1)&amp;":"&amp;ADDRESS(1000,COLUMN(F$9)-1))),
SUMIF(INDIRECT(Equipo!$G$4&amp;"!B10:B1000"),$B67,INDIRECT(Equipo!$G$4&amp;"!"&amp;ADDRESS(10,COLUMN(F$9)-1)&amp;":"&amp;ADDRESS(1000,COLUMN(F$9)-1)))))</f>
        <v>-</v>
      </c>
      <c r="G67" s="19" t="str">
        <f t="array" ref="G67">IF(ISBLANK(Tareas!$B63),"-",SUM(
SUMIF(INDIRECT(Equipo!$C$4&amp;"!B10:B1000"),$B67,INDIRECT(Equipo!$C$4&amp;"!"&amp;ADDRESS(10,COLUMN(G$9)-1)&amp;":"&amp;ADDRESS(1000,COLUMN(G$9)-1))),
SUMIF(INDIRECT(Equipo!$D$4&amp;"!B10:B1000"),$B67,INDIRECT(Equipo!$D$4&amp;"!"&amp;ADDRESS(10,COLUMN(G$9)-1)&amp;":"&amp;ADDRESS(1000,COLUMN(G$9)-1))),
SUMIF(INDIRECT(Equipo!$E$4&amp;"!B10:B1000"),$B67,INDIRECT(Equipo!$E$4&amp;"!"&amp;ADDRESS(10,COLUMN(G$9)-1)&amp;":"&amp;ADDRESS(1000,COLUMN(G$9)-1))),
SUMIF(INDIRECT(Equipo!$F$4&amp;"!B10:B1000"),$B67,INDIRECT(Equipo!$F$4&amp;"!"&amp;ADDRESS(10,COLUMN(G$9)-1)&amp;":"&amp;ADDRESS(1000,COLUMN(G$9)-1))),
SUMIF(INDIRECT(Equipo!$G$4&amp;"!B10:B1000"),$B67,INDIRECT(Equipo!$G$4&amp;"!"&amp;ADDRESS(10,COLUMN(G$9)-1)&amp;":"&amp;ADDRESS(1000,COLUMN(G$9)-1)))))</f>
        <v>-</v>
      </c>
      <c r="H67" s="19" t="str">
        <f t="array" ref="H67">IF(ISBLANK(Tareas!$B63),"-",SUM(
SUMIF(INDIRECT(Equipo!$C$4&amp;"!B10:B1000"),$B67,INDIRECT(Equipo!$C$4&amp;"!"&amp;ADDRESS(10,COLUMN(H$9)-1)&amp;":"&amp;ADDRESS(1000,COLUMN(H$9)-1))),
SUMIF(INDIRECT(Equipo!$D$4&amp;"!B10:B1000"),$B67,INDIRECT(Equipo!$D$4&amp;"!"&amp;ADDRESS(10,COLUMN(H$9)-1)&amp;":"&amp;ADDRESS(1000,COLUMN(H$9)-1))),
SUMIF(INDIRECT(Equipo!$E$4&amp;"!B10:B1000"),$B67,INDIRECT(Equipo!$E$4&amp;"!"&amp;ADDRESS(10,COLUMN(H$9)-1)&amp;":"&amp;ADDRESS(1000,COLUMN(H$9)-1))),
SUMIF(INDIRECT(Equipo!$F$4&amp;"!B10:B1000"),$B67,INDIRECT(Equipo!$F$4&amp;"!"&amp;ADDRESS(10,COLUMN(H$9)-1)&amp;":"&amp;ADDRESS(1000,COLUMN(H$9)-1))),
SUMIF(INDIRECT(Equipo!$G$4&amp;"!B10:B1000"),$B67,INDIRECT(Equipo!$G$4&amp;"!"&amp;ADDRESS(10,COLUMN(H$9)-1)&amp;":"&amp;ADDRESS(1000,COLUMN(H$9)-1)))))</f>
        <v>-</v>
      </c>
      <c r="I67" s="19" t="str">
        <f t="array" ref="I67">IF(ISBLANK(Tareas!$B63),"-",SUM(
SUMIF(INDIRECT(Equipo!$C$4&amp;"!B10:B1000"),$B67,INDIRECT(Equipo!$C$4&amp;"!"&amp;ADDRESS(10,COLUMN(I$9)-1)&amp;":"&amp;ADDRESS(1000,COLUMN(I$9)-1))),
SUMIF(INDIRECT(Equipo!$D$4&amp;"!B10:B1000"),$B67,INDIRECT(Equipo!$D$4&amp;"!"&amp;ADDRESS(10,COLUMN(I$9)-1)&amp;":"&amp;ADDRESS(1000,COLUMN(I$9)-1))),
SUMIF(INDIRECT(Equipo!$E$4&amp;"!B10:B1000"),$B67,INDIRECT(Equipo!$E$4&amp;"!"&amp;ADDRESS(10,COLUMN(I$9)-1)&amp;":"&amp;ADDRESS(1000,COLUMN(I$9)-1))),
SUMIF(INDIRECT(Equipo!$F$4&amp;"!B10:B1000"),$B67,INDIRECT(Equipo!$F$4&amp;"!"&amp;ADDRESS(10,COLUMN(I$9)-1)&amp;":"&amp;ADDRESS(1000,COLUMN(I$9)-1))),
SUMIF(INDIRECT(Equipo!$G$4&amp;"!B10:B1000"),$B67,INDIRECT(Equipo!$G$4&amp;"!"&amp;ADDRESS(10,COLUMN(I$9)-1)&amp;":"&amp;ADDRESS(1000,COLUMN(I$9)-1)))))</f>
        <v>-</v>
      </c>
      <c r="J67" s="19" t="str">
        <f t="array" ref="J67">IF(ISBLANK(Tareas!$B63),"-",SUM(
SUMIF(INDIRECT(Equipo!$C$4&amp;"!B10:B1000"),$B67,INDIRECT(Equipo!$C$4&amp;"!"&amp;ADDRESS(10,COLUMN(J$9)-1)&amp;":"&amp;ADDRESS(1000,COLUMN(J$9)-1))),
SUMIF(INDIRECT(Equipo!$D$4&amp;"!B10:B1000"),$B67,INDIRECT(Equipo!$D$4&amp;"!"&amp;ADDRESS(10,COLUMN(J$9)-1)&amp;":"&amp;ADDRESS(1000,COLUMN(J$9)-1))),
SUMIF(INDIRECT(Equipo!$E$4&amp;"!B10:B1000"),$B67,INDIRECT(Equipo!$E$4&amp;"!"&amp;ADDRESS(10,COLUMN(J$9)-1)&amp;":"&amp;ADDRESS(1000,COLUMN(J$9)-1))),
SUMIF(INDIRECT(Equipo!$F$4&amp;"!B10:B1000"),$B67,INDIRECT(Equipo!$F$4&amp;"!"&amp;ADDRESS(10,COLUMN(J$9)-1)&amp;":"&amp;ADDRESS(1000,COLUMN(J$9)-1))),
SUMIF(INDIRECT(Equipo!$G$4&amp;"!B10:B1000"),$B67,INDIRECT(Equipo!$G$4&amp;"!"&amp;ADDRESS(10,COLUMN(J$9)-1)&amp;":"&amp;ADDRESS(1000,COLUMN(J$9)-1)))))</f>
        <v>-</v>
      </c>
      <c r="K67" s="19" t="str">
        <f t="array" ref="K67">IF(ISBLANK(Tareas!$B63),"-",SUM(
SUMIF(INDIRECT(Equipo!$C$4&amp;"!B10:B1000"),$B67,INDIRECT(Equipo!$C$4&amp;"!"&amp;ADDRESS(10,COLUMN(K$9)-1)&amp;":"&amp;ADDRESS(1000,COLUMN(K$9)-1))),
SUMIF(INDIRECT(Equipo!$D$4&amp;"!B10:B1000"),$B67,INDIRECT(Equipo!$D$4&amp;"!"&amp;ADDRESS(10,COLUMN(K$9)-1)&amp;":"&amp;ADDRESS(1000,COLUMN(K$9)-1))),
SUMIF(INDIRECT(Equipo!$E$4&amp;"!B10:B1000"),$B67,INDIRECT(Equipo!$E$4&amp;"!"&amp;ADDRESS(10,COLUMN(K$9)-1)&amp;":"&amp;ADDRESS(1000,COLUMN(K$9)-1))),
SUMIF(INDIRECT(Equipo!$F$4&amp;"!B10:B1000"),$B67,INDIRECT(Equipo!$F$4&amp;"!"&amp;ADDRESS(10,COLUMN(K$9)-1)&amp;":"&amp;ADDRESS(1000,COLUMN(K$9)-1))),
SUMIF(INDIRECT(Equipo!$G$4&amp;"!B10:B1000"),$B67,INDIRECT(Equipo!$G$4&amp;"!"&amp;ADDRESS(10,COLUMN(K$9)-1)&amp;":"&amp;ADDRESS(1000,COLUMN(K$9)-1)))))</f>
        <v>-</v>
      </c>
    </row>
    <row r="68" ht="15.75" customHeight="1">
      <c r="B68" s="1" t="str">
        <f>IF(ISBLANK(Tareas!B64)," - ",Tareas!B64)</f>
        <v> - </v>
      </c>
      <c r="D68" s="19" t="str">
        <f t="array" ref="D68">IF(ISBLANK(Tareas!$B64),"-",SUM(
SUMIF(INDIRECT(Equipo!$C$4&amp;"!B10:B1000"),$B68,INDIRECT(Equipo!$C$4&amp;"!"&amp;ADDRESS(10,COLUMN(D$9)-1)&amp;":"&amp;ADDRESS(1000,COLUMN(D$9)-1))),
SUMIF(INDIRECT(Equipo!$D$4&amp;"!B10:B1000"),$B68,INDIRECT(Equipo!$D$4&amp;"!"&amp;ADDRESS(10,COLUMN(D$9)-1)&amp;":"&amp;ADDRESS(1000,COLUMN(D$9)-1))),
SUMIF(INDIRECT(Equipo!$E$4&amp;"!B10:B1000"),$B68,INDIRECT(Equipo!$E$4&amp;"!"&amp;ADDRESS(10,COLUMN(D$9)-1)&amp;":"&amp;ADDRESS(1000,COLUMN(D$9)-1))),
SUMIF(INDIRECT(Equipo!$F$4&amp;"!B10:B1000"),$B68,INDIRECT(Equipo!$F$4&amp;"!"&amp;ADDRESS(10,COLUMN(D$9)-1)&amp;":"&amp;ADDRESS(1000,COLUMN(D$9)-1))),
SUMIF(INDIRECT(Equipo!$G$4&amp;"!B10:B1000"),$B68,INDIRECT(Equipo!$G$4&amp;"!"&amp;ADDRESS(10,COLUMN(D$9)-1)&amp;":"&amp;ADDRESS(1000,COLUMN(D$9)-1)))))</f>
        <v>-</v>
      </c>
      <c r="E68" s="19" t="str">
        <f t="array" ref="E68">IF(ISBLANK(Tareas!$B64),"-",SUM(
SUMIF(INDIRECT(Equipo!$C$4&amp;"!B10:B1000"),$B68,INDIRECT(Equipo!$C$4&amp;"!"&amp;ADDRESS(10,COLUMN(E$9)-1)&amp;":"&amp;ADDRESS(1000,COLUMN(E$9)-1))),
SUMIF(INDIRECT(Equipo!$D$4&amp;"!B10:B1000"),$B68,INDIRECT(Equipo!$D$4&amp;"!"&amp;ADDRESS(10,COLUMN(E$9)-1)&amp;":"&amp;ADDRESS(1000,COLUMN(E$9)-1))),
SUMIF(INDIRECT(Equipo!$E$4&amp;"!B10:B1000"),$B68,INDIRECT(Equipo!$E$4&amp;"!"&amp;ADDRESS(10,COLUMN(E$9)-1)&amp;":"&amp;ADDRESS(1000,COLUMN(E$9)-1))),
SUMIF(INDIRECT(Equipo!$F$4&amp;"!B10:B1000"),$B68,INDIRECT(Equipo!$F$4&amp;"!"&amp;ADDRESS(10,COLUMN(E$9)-1)&amp;":"&amp;ADDRESS(1000,COLUMN(E$9)-1))),
SUMIF(INDIRECT(Equipo!$G$4&amp;"!B10:B1000"),$B68,INDIRECT(Equipo!$G$4&amp;"!"&amp;ADDRESS(10,COLUMN(E$9)-1)&amp;":"&amp;ADDRESS(1000,COLUMN(E$9)-1)))))</f>
        <v>-</v>
      </c>
      <c r="F68" s="19" t="str">
        <f t="array" ref="F68">IF(ISBLANK(Tareas!$B64),"-",SUM(
SUMIF(INDIRECT(Equipo!$C$4&amp;"!B10:B1000"),$B68,INDIRECT(Equipo!$C$4&amp;"!"&amp;ADDRESS(10,COLUMN(F$9)-1)&amp;":"&amp;ADDRESS(1000,COLUMN(F$9)-1))),
SUMIF(INDIRECT(Equipo!$D$4&amp;"!B10:B1000"),$B68,INDIRECT(Equipo!$D$4&amp;"!"&amp;ADDRESS(10,COLUMN(F$9)-1)&amp;":"&amp;ADDRESS(1000,COLUMN(F$9)-1))),
SUMIF(INDIRECT(Equipo!$E$4&amp;"!B10:B1000"),$B68,INDIRECT(Equipo!$E$4&amp;"!"&amp;ADDRESS(10,COLUMN(F$9)-1)&amp;":"&amp;ADDRESS(1000,COLUMN(F$9)-1))),
SUMIF(INDIRECT(Equipo!$F$4&amp;"!B10:B1000"),$B68,INDIRECT(Equipo!$F$4&amp;"!"&amp;ADDRESS(10,COLUMN(F$9)-1)&amp;":"&amp;ADDRESS(1000,COLUMN(F$9)-1))),
SUMIF(INDIRECT(Equipo!$G$4&amp;"!B10:B1000"),$B68,INDIRECT(Equipo!$G$4&amp;"!"&amp;ADDRESS(10,COLUMN(F$9)-1)&amp;":"&amp;ADDRESS(1000,COLUMN(F$9)-1)))))</f>
        <v>-</v>
      </c>
      <c r="G68" s="19" t="str">
        <f t="array" ref="G68">IF(ISBLANK(Tareas!$B64),"-",SUM(
SUMIF(INDIRECT(Equipo!$C$4&amp;"!B10:B1000"),$B68,INDIRECT(Equipo!$C$4&amp;"!"&amp;ADDRESS(10,COLUMN(G$9)-1)&amp;":"&amp;ADDRESS(1000,COLUMN(G$9)-1))),
SUMIF(INDIRECT(Equipo!$D$4&amp;"!B10:B1000"),$B68,INDIRECT(Equipo!$D$4&amp;"!"&amp;ADDRESS(10,COLUMN(G$9)-1)&amp;":"&amp;ADDRESS(1000,COLUMN(G$9)-1))),
SUMIF(INDIRECT(Equipo!$E$4&amp;"!B10:B1000"),$B68,INDIRECT(Equipo!$E$4&amp;"!"&amp;ADDRESS(10,COLUMN(G$9)-1)&amp;":"&amp;ADDRESS(1000,COLUMN(G$9)-1))),
SUMIF(INDIRECT(Equipo!$F$4&amp;"!B10:B1000"),$B68,INDIRECT(Equipo!$F$4&amp;"!"&amp;ADDRESS(10,COLUMN(G$9)-1)&amp;":"&amp;ADDRESS(1000,COLUMN(G$9)-1))),
SUMIF(INDIRECT(Equipo!$G$4&amp;"!B10:B1000"),$B68,INDIRECT(Equipo!$G$4&amp;"!"&amp;ADDRESS(10,COLUMN(G$9)-1)&amp;":"&amp;ADDRESS(1000,COLUMN(G$9)-1)))))</f>
        <v>-</v>
      </c>
      <c r="H68" s="19" t="str">
        <f t="array" ref="H68">IF(ISBLANK(Tareas!$B64),"-",SUM(
SUMIF(INDIRECT(Equipo!$C$4&amp;"!B10:B1000"),$B68,INDIRECT(Equipo!$C$4&amp;"!"&amp;ADDRESS(10,COLUMN(H$9)-1)&amp;":"&amp;ADDRESS(1000,COLUMN(H$9)-1))),
SUMIF(INDIRECT(Equipo!$D$4&amp;"!B10:B1000"),$B68,INDIRECT(Equipo!$D$4&amp;"!"&amp;ADDRESS(10,COLUMN(H$9)-1)&amp;":"&amp;ADDRESS(1000,COLUMN(H$9)-1))),
SUMIF(INDIRECT(Equipo!$E$4&amp;"!B10:B1000"),$B68,INDIRECT(Equipo!$E$4&amp;"!"&amp;ADDRESS(10,COLUMN(H$9)-1)&amp;":"&amp;ADDRESS(1000,COLUMN(H$9)-1))),
SUMIF(INDIRECT(Equipo!$F$4&amp;"!B10:B1000"),$B68,INDIRECT(Equipo!$F$4&amp;"!"&amp;ADDRESS(10,COLUMN(H$9)-1)&amp;":"&amp;ADDRESS(1000,COLUMN(H$9)-1))),
SUMIF(INDIRECT(Equipo!$G$4&amp;"!B10:B1000"),$B68,INDIRECT(Equipo!$G$4&amp;"!"&amp;ADDRESS(10,COLUMN(H$9)-1)&amp;":"&amp;ADDRESS(1000,COLUMN(H$9)-1)))))</f>
        <v>-</v>
      </c>
      <c r="I68" s="19" t="str">
        <f t="array" ref="I68">IF(ISBLANK(Tareas!$B64),"-",SUM(
SUMIF(INDIRECT(Equipo!$C$4&amp;"!B10:B1000"),$B68,INDIRECT(Equipo!$C$4&amp;"!"&amp;ADDRESS(10,COLUMN(I$9)-1)&amp;":"&amp;ADDRESS(1000,COLUMN(I$9)-1))),
SUMIF(INDIRECT(Equipo!$D$4&amp;"!B10:B1000"),$B68,INDIRECT(Equipo!$D$4&amp;"!"&amp;ADDRESS(10,COLUMN(I$9)-1)&amp;":"&amp;ADDRESS(1000,COLUMN(I$9)-1))),
SUMIF(INDIRECT(Equipo!$E$4&amp;"!B10:B1000"),$B68,INDIRECT(Equipo!$E$4&amp;"!"&amp;ADDRESS(10,COLUMN(I$9)-1)&amp;":"&amp;ADDRESS(1000,COLUMN(I$9)-1))),
SUMIF(INDIRECT(Equipo!$F$4&amp;"!B10:B1000"),$B68,INDIRECT(Equipo!$F$4&amp;"!"&amp;ADDRESS(10,COLUMN(I$9)-1)&amp;":"&amp;ADDRESS(1000,COLUMN(I$9)-1))),
SUMIF(INDIRECT(Equipo!$G$4&amp;"!B10:B1000"),$B68,INDIRECT(Equipo!$G$4&amp;"!"&amp;ADDRESS(10,COLUMN(I$9)-1)&amp;":"&amp;ADDRESS(1000,COLUMN(I$9)-1)))))</f>
        <v>-</v>
      </c>
      <c r="J68" s="19" t="str">
        <f t="array" ref="J68">IF(ISBLANK(Tareas!$B64),"-",SUM(
SUMIF(INDIRECT(Equipo!$C$4&amp;"!B10:B1000"),$B68,INDIRECT(Equipo!$C$4&amp;"!"&amp;ADDRESS(10,COLUMN(J$9)-1)&amp;":"&amp;ADDRESS(1000,COLUMN(J$9)-1))),
SUMIF(INDIRECT(Equipo!$D$4&amp;"!B10:B1000"),$B68,INDIRECT(Equipo!$D$4&amp;"!"&amp;ADDRESS(10,COLUMN(J$9)-1)&amp;":"&amp;ADDRESS(1000,COLUMN(J$9)-1))),
SUMIF(INDIRECT(Equipo!$E$4&amp;"!B10:B1000"),$B68,INDIRECT(Equipo!$E$4&amp;"!"&amp;ADDRESS(10,COLUMN(J$9)-1)&amp;":"&amp;ADDRESS(1000,COLUMN(J$9)-1))),
SUMIF(INDIRECT(Equipo!$F$4&amp;"!B10:B1000"),$B68,INDIRECT(Equipo!$F$4&amp;"!"&amp;ADDRESS(10,COLUMN(J$9)-1)&amp;":"&amp;ADDRESS(1000,COLUMN(J$9)-1))),
SUMIF(INDIRECT(Equipo!$G$4&amp;"!B10:B1000"),$B68,INDIRECT(Equipo!$G$4&amp;"!"&amp;ADDRESS(10,COLUMN(J$9)-1)&amp;":"&amp;ADDRESS(1000,COLUMN(J$9)-1)))))</f>
        <v>-</v>
      </c>
      <c r="K68" s="19" t="str">
        <f t="array" ref="K68">IF(ISBLANK(Tareas!$B64),"-",SUM(
SUMIF(INDIRECT(Equipo!$C$4&amp;"!B10:B1000"),$B68,INDIRECT(Equipo!$C$4&amp;"!"&amp;ADDRESS(10,COLUMN(K$9)-1)&amp;":"&amp;ADDRESS(1000,COLUMN(K$9)-1))),
SUMIF(INDIRECT(Equipo!$D$4&amp;"!B10:B1000"),$B68,INDIRECT(Equipo!$D$4&amp;"!"&amp;ADDRESS(10,COLUMN(K$9)-1)&amp;":"&amp;ADDRESS(1000,COLUMN(K$9)-1))),
SUMIF(INDIRECT(Equipo!$E$4&amp;"!B10:B1000"),$B68,INDIRECT(Equipo!$E$4&amp;"!"&amp;ADDRESS(10,COLUMN(K$9)-1)&amp;":"&amp;ADDRESS(1000,COLUMN(K$9)-1))),
SUMIF(INDIRECT(Equipo!$F$4&amp;"!B10:B1000"),$B68,INDIRECT(Equipo!$F$4&amp;"!"&amp;ADDRESS(10,COLUMN(K$9)-1)&amp;":"&amp;ADDRESS(1000,COLUMN(K$9)-1))),
SUMIF(INDIRECT(Equipo!$G$4&amp;"!B10:B1000"),$B68,INDIRECT(Equipo!$G$4&amp;"!"&amp;ADDRESS(10,COLUMN(K$9)-1)&amp;":"&amp;ADDRESS(1000,COLUMN(K$9)-1)))))</f>
        <v>-</v>
      </c>
    </row>
    <row r="69" ht="15.75" customHeight="1">
      <c r="B69" s="1" t="str">
        <f>IF(ISBLANK(Tareas!B65)," - ",Tareas!B65)</f>
        <v> - </v>
      </c>
      <c r="D69" s="19" t="str">
        <f t="array" ref="D69">IF(ISBLANK(Tareas!$B65),"-",SUM(
SUMIF(INDIRECT(Equipo!$C$4&amp;"!B10:B1000"),$B69,INDIRECT(Equipo!$C$4&amp;"!"&amp;ADDRESS(10,COLUMN(D$9)-1)&amp;":"&amp;ADDRESS(1000,COLUMN(D$9)-1))),
SUMIF(INDIRECT(Equipo!$D$4&amp;"!B10:B1000"),$B69,INDIRECT(Equipo!$D$4&amp;"!"&amp;ADDRESS(10,COLUMN(D$9)-1)&amp;":"&amp;ADDRESS(1000,COLUMN(D$9)-1))),
SUMIF(INDIRECT(Equipo!$E$4&amp;"!B10:B1000"),$B69,INDIRECT(Equipo!$E$4&amp;"!"&amp;ADDRESS(10,COLUMN(D$9)-1)&amp;":"&amp;ADDRESS(1000,COLUMN(D$9)-1))),
SUMIF(INDIRECT(Equipo!$F$4&amp;"!B10:B1000"),$B69,INDIRECT(Equipo!$F$4&amp;"!"&amp;ADDRESS(10,COLUMN(D$9)-1)&amp;":"&amp;ADDRESS(1000,COLUMN(D$9)-1))),
SUMIF(INDIRECT(Equipo!$G$4&amp;"!B10:B1000"),$B69,INDIRECT(Equipo!$G$4&amp;"!"&amp;ADDRESS(10,COLUMN(D$9)-1)&amp;":"&amp;ADDRESS(1000,COLUMN(D$9)-1)))))</f>
        <v>-</v>
      </c>
      <c r="E69" s="19" t="str">
        <f t="array" ref="E69">IF(ISBLANK(Tareas!$B65),"-",SUM(
SUMIF(INDIRECT(Equipo!$C$4&amp;"!B10:B1000"),$B69,INDIRECT(Equipo!$C$4&amp;"!"&amp;ADDRESS(10,COLUMN(E$9)-1)&amp;":"&amp;ADDRESS(1000,COLUMN(E$9)-1))),
SUMIF(INDIRECT(Equipo!$D$4&amp;"!B10:B1000"),$B69,INDIRECT(Equipo!$D$4&amp;"!"&amp;ADDRESS(10,COLUMN(E$9)-1)&amp;":"&amp;ADDRESS(1000,COLUMN(E$9)-1))),
SUMIF(INDIRECT(Equipo!$E$4&amp;"!B10:B1000"),$B69,INDIRECT(Equipo!$E$4&amp;"!"&amp;ADDRESS(10,COLUMN(E$9)-1)&amp;":"&amp;ADDRESS(1000,COLUMN(E$9)-1))),
SUMIF(INDIRECT(Equipo!$F$4&amp;"!B10:B1000"),$B69,INDIRECT(Equipo!$F$4&amp;"!"&amp;ADDRESS(10,COLUMN(E$9)-1)&amp;":"&amp;ADDRESS(1000,COLUMN(E$9)-1))),
SUMIF(INDIRECT(Equipo!$G$4&amp;"!B10:B1000"),$B69,INDIRECT(Equipo!$G$4&amp;"!"&amp;ADDRESS(10,COLUMN(E$9)-1)&amp;":"&amp;ADDRESS(1000,COLUMN(E$9)-1)))))</f>
        <v>-</v>
      </c>
      <c r="F69" s="19" t="str">
        <f t="array" ref="F69">IF(ISBLANK(Tareas!$B65),"-",SUM(
SUMIF(INDIRECT(Equipo!$C$4&amp;"!B10:B1000"),$B69,INDIRECT(Equipo!$C$4&amp;"!"&amp;ADDRESS(10,COLUMN(F$9)-1)&amp;":"&amp;ADDRESS(1000,COLUMN(F$9)-1))),
SUMIF(INDIRECT(Equipo!$D$4&amp;"!B10:B1000"),$B69,INDIRECT(Equipo!$D$4&amp;"!"&amp;ADDRESS(10,COLUMN(F$9)-1)&amp;":"&amp;ADDRESS(1000,COLUMN(F$9)-1))),
SUMIF(INDIRECT(Equipo!$E$4&amp;"!B10:B1000"),$B69,INDIRECT(Equipo!$E$4&amp;"!"&amp;ADDRESS(10,COLUMN(F$9)-1)&amp;":"&amp;ADDRESS(1000,COLUMN(F$9)-1))),
SUMIF(INDIRECT(Equipo!$F$4&amp;"!B10:B1000"),$B69,INDIRECT(Equipo!$F$4&amp;"!"&amp;ADDRESS(10,COLUMN(F$9)-1)&amp;":"&amp;ADDRESS(1000,COLUMN(F$9)-1))),
SUMIF(INDIRECT(Equipo!$G$4&amp;"!B10:B1000"),$B69,INDIRECT(Equipo!$G$4&amp;"!"&amp;ADDRESS(10,COLUMN(F$9)-1)&amp;":"&amp;ADDRESS(1000,COLUMN(F$9)-1)))))</f>
        <v>-</v>
      </c>
      <c r="G69" s="19" t="str">
        <f t="array" ref="G69">IF(ISBLANK(Tareas!$B65),"-",SUM(
SUMIF(INDIRECT(Equipo!$C$4&amp;"!B10:B1000"),$B69,INDIRECT(Equipo!$C$4&amp;"!"&amp;ADDRESS(10,COLUMN(G$9)-1)&amp;":"&amp;ADDRESS(1000,COLUMN(G$9)-1))),
SUMIF(INDIRECT(Equipo!$D$4&amp;"!B10:B1000"),$B69,INDIRECT(Equipo!$D$4&amp;"!"&amp;ADDRESS(10,COLUMN(G$9)-1)&amp;":"&amp;ADDRESS(1000,COLUMN(G$9)-1))),
SUMIF(INDIRECT(Equipo!$E$4&amp;"!B10:B1000"),$B69,INDIRECT(Equipo!$E$4&amp;"!"&amp;ADDRESS(10,COLUMN(G$9)-1)&amp;":"&amp;ADDRESS(1000,COLUMN(G$9)-1))),
SUMIF(INDIRECT(Equipo!$F$4&amp;"!B10:B1000"),$B69,INDIRECT(Equipo!$F$4&amp;"!"&amp;ADDRESS(10,COLUMN(G$9)-1)&amp;":"&amp;ADDRESS(1000,COLUMN(G$9)-1))),
SUMIF(INDIRECT(Equipo!$G$4&amp;"!B10:B1000"),$B69,INDIRECT(Equipo!$G$4&amp;"!"&amp;ADDRESS(10,COLUMN(G$9)-1)&amp;":"&amp;ADDRESS(1000,COLUMN(G$9)-1)))))</f>
        <v>-</v>
      </c>
      <c r="H69" s="19" t="str">
        <f t="array" ref="H69">IF(ISBLANK(Tareas!$B65),"-",SUM(
SUMIF(INDIRECT(Equipo!$C$4&amp;"!B10:B1000"),$B69,INDIRECT(Equipo!$C$4&amp;"!"&amp;ADDRESS(10,COLUMN(H$9)-1)&amp;":"&amp;ADDRESS(1000,COLUMN(H$9)-1))),
SUMIF(INDIRECT(Equipo!$D$4&amp;"!B10:B1000"),$B69,INDIRECT(Equipo!$D$4&amp;"!"&amp;ADDRESS(10,COLUMN(H$9)-1)&amp;":"&amp;ADDRESS(1000,COLUMN(H$9)-1))),
SUMIF(INDIRECT(Equipo!$E$4&amp;"!B10:B1000"),$B69,INDIRECT(Equipo!$E$4&amp;"!"&amp;ADDRESS(10,COLUMN(H$9)-1)&amp;":"&amp;ADDRESS(1000,COLUMN(H$9)-1))),
SUMIF(INDIRECT(Equipo!$F$4&amp;"!B10:B1000"),$B69,INDIRECT(Equipo!$F$4&amp;"!"&amp;ADDRESS(10,COLUMN(H$9)-1)&amp;":"&amp;ADDRESS(1000,COLUMN(H$9)-1))),
SUMIF(INDIRECT(Equipo!$G$4&amp;"!B10:B1000"),$B69,INDIRECT(Equipo!$G$4&amp;"!"&amp;ADDRESS(10,COLUMN(H$9)-1)&amp;":"&amp;ADDRESS(1000,COLUMN(H$9)-1)))))</f>
        <v>-</v>
      </c>
      <c r="I69" s="19" t="str">
        <f t="array" ref="I69">IF(ISBLANK(Tareas!$B65),"-",SUM(
SUMIF(INDIRECT(Equipo!$C$4&amp;"!B10:B1000"),$B69,INDIRECT(Equipo!$C$4&amp;"!"&amp;ADDRESS(10,COLUMN(I$9)-1)&amp;":"&amp;ADDRESS(1000,COLUMN(I$9)-1))),
SUMIF(INDIRECT(Equipo!$D$4&amp;"!B10:B1000"),$B69,INDIRECT(Equipo!$D$4&amp;"!"&amp;ADDRESS(10,COLUMN(I$9)-1)&amp;":"&amp;ADDRESS(1000,COLUMN(I$9)-1))),
SUMIF(INDIRECT(Equipo!$E$4&amp;"!B10:B1000"),$B69,INDIRECT(Equipo!$E$4&amp;"!"&amp;ADDRESS(10,COLUMN(I$9)-1)&amp;":"&amp;ADDRESS(1000,COLUMN(I$9)-1))),
SUMIF(INDIRECT(Equipo!$F$4&amp;"!B10:B1000"),$B69,INDIRECT(Equipo!$F$4&amp;"!"&amp;ADDRESS(10,COLUMN(I$9)-1)&amp;":"&amp;ADDRESS(1000,COLUMN(I$9)-1))),
SUMIF(INDIRECT(Equipo!$G$4&amp;"!B10:B1000"),$B69,INDIRECT(Equipo!$G$4&amp;"!"&amp;ADDRESS(10,COLUMN(I$9)-1)&amp;":"&amp;ADDRESS(1000,COLUMN(I$9)-1)))))</f>
        <v>-</v>
      </c>
      <c r="J69" s="19" t="str">
        <f t="array" ref="J69">IF(ISBLANK(Tareas!$B65),"-",SUM(
SUMIF(INDIRECT(Equipo!$C$4&amp;"!B10:B1000"),$B69,INDIRECT(Equipo!$C$4&amp;"!"&amp;ADDRESS(10,COLUMN(J$9)-1)&amp;":"&amp;ADDRESS(1000,COLUMN(J$9)-1))),
SUMIF(INDIRECT(Equipo!$D$4&amp;"!B10:B1000"),$B69,INDIRECT(Equipo!$D$4&amp;"!"&amp;ADDRESS(10,COLUMN(J$9)-1)&amp;":"&amp;ADDRESS(1000,COLUMN(J$9)-1))),
SUMIF(INDIRECT(Equipo!$E$4&amp;"!B10:B1000"),$B69,INDIRECT(Equipo!$E$4&amp;"!"&amp;ADDRESS(10,COLUMN(J$9)-1)&amp;":"&amp;ADDRESS(1000,COLUMN(J$9)-1))),
SUMIF(INDIRECT(Equipo!$F$4&amp;"!B10:B1000"),$B69,INDIRECT(Equipo!$F$4&amp;"!"&amp;ADDRESS(10,COLUMN(J$9)-1)&amp;":"&amp;ADDRESS(1000,COLUMN(J$9)-1))),
SUMIF(INDIRECT(Equipo!$G$4&amp;"!B10:B1000"),$B69,INDIRECT(Equipo!$G$4&amp;"!"&amp;ADDRESS(10,COLUMN(J$9)-1)&amp;":"&amp;ADDRESS(1000,COLUMN(J$9)-1)))))</f>
        <v>-</v>
      </c>
      <c r="K69" s="19" t="str">
        <f t="array" ref="K69">IF(ISBLANK(Tareas!$B65),"-",SUM(
SUMIF(INDIRECT(Equipo!$C$4&amp;"!B10:B1000"),$B69,INDIRECT(Equipo!$C$4&amp;"!"&amp;ADDRESS(10,COLUMN(K$9)-1)&amp;":"&amp;ADDRESS(1000,COLUMN(K$9)-1))),
SUMIF(INDIRECT(Equipo!$D$4&amp;"!B10:B1000"),$B69,INDIRECT(Equipo!$D$4&amp;"!"&amp;ADDRESS(10,COLUMN(K$9)-1)&amp;":"&amp;ADDRESS(1000,COLUMN(K$9)-1))),
SUMIF(INDIRECT(Equipo!$E$4&amp;"!B10:B1000"),$B69,INDIRECT(Equipo!$E$4&amp;"!"&amp;ADDRESS(10,COLUMN(K$9)-1)&amp;":"&amp;ADDRESS(1000,COLUMN(K$9)-1))),
SUMIF(INDIRECT(Equipo!$F$4&amp;"!B10:B1000"),$B69,INDIRECT(Equipo!$F$4&amp;"!"&amp;ADDRESS(10,COLUMN(K$9)-1)&amp;":"&amp;ADDRESS(1000,COLUMN(K$9)-1))),
SUMIF(INDIRECT(Equipo!$G$4&amp;"!B10:B1000"),$B69,INDIRECT(Equipo!$G$4&amp;"!"&amp;ADDRESS(10,COLUMN(K$9)-1)&amp;":"&amp;ADDRESS(1000,COLUMN(K$9)-1)))))</f>
        <v>-</v>
      </c>
    </row>
    <row r="70" ht="15.75" customHeight="1">
      <c r="B70" s="1" t="str">
        <f>IF(ISBLANK(Tareas!B66)," - ",Tareas!B66)</f>
        <v> - </v>
      </c>
      <c r="D70" s="19" t="str">
        <f t="array" ref="D70">IF(ISBLANK(Tareas!$B66),"-",SUM(
SUMIF(INDIRECT(Equipo!$C$4&amp;"!B10:B1000"),$B70,INDIRECT(Equipo!$C$4&amp;"!"&amp;ADDRESS(10,COLUMN(D$9)-1)&amp;":"&amp;ADDRESS(1000,COLUMN(D$9)-1))),
SUMIF(INDIRECT(Equipo!$D$4&amp;"!B10:B1000"),$B70,INDIRECT(Equipo!$D$4&amp;"!"&amp;ADDRESS(10,COLUMN(D$9)-1)&amp;":"&amp;ADDRESS(1000,COLUMN(D$9)-1))),
SUMIF(INDIRECT(Equipo!$E$4&amp;"!B10:B1000"),$B70,INDIRECT(Equipo!$E$4&amp;"!"&amp;ADDRESS(10,COLUMN(D$9)-1)&amp;":"&amp;ADDRESS(1000,COLUMN(D$9)-1))),
SUMIF(INDIRECT(Equipo!$F$4&amp;"!B10:B1000"),$B70,INDIRECT(Equipo!$F$4&amp;"!"&amp;ADDRESS(10,COLUMN(D$9)-1)&amp;":"&amp;ADDRESS(1000,COLUMN(D$9)-1))),
SUMIF(INDIRECT(Equipo!$G$4&amp;"!B10:B1000"),$B70,INDIRECT(Equipo!$G$4&amp;"!"&amp;ADDRESS(10,COLUMN(D$9)-1)&amp;":"&amp;ADDRESS(1000,COLUMN(D$9)-1)))))</f>
        <v>-</v>
      </c>
      <c r="E70" s="19" t="str">
        <f t="array" ref="E70">IF(ISBLANK(Tareas!$B66),"-",SUM(
SUMIF(INDIRECT(Equipo!$C$4&amp;"!B10:B1000"),$B70,INDIRECT(Equipo!$C$4&amp;"!"&amp;ADDRESS(10,COLUMN(E$9)-1)&amp;":"&amp;ADDRESS(1000,COLUMN(E$9)-1))),
SUMIF(INDIRECT(Equipo!$D$4&amp;"!B10:B1000"),$B70,INDIRECT(Equipo!$D$4&amp;"!"&amp;ADDRESS(10,COLUMN(E$9)-1)&amp;":"&amp;ADDRESS(1000,COLUMN(E$9)-1))),
SUMIF(INDIRECT(Equipo!$E$4&amp;"!B10:B1000"),$B70,INDIRECT(Equipo!$E$4&amp;"!"&amp;ADDRESS(10,COLUMN(E$9)-1)&amp;":"&amp;ADDRESS(1000,COLUMN(E$9)-1))),
SUMIF(INDIRECT(Equipo!$F$4&amp;"!B10:B1000"),$B70,INDIRECT(Equipo!$F$4&amp;"!"&amp;ADDRESS(10,COLUMN(E$9)-1)&amp;":"&amp;ADDRESS(1000,COLUMN(E$9)-1))),
SUMIF(INDIRECT(Equipo!$G$4&amp;"!B10:B1000"),$B70,INDIRECT(Equipo!$G$4&amp;"!"&amp;ADDRESS(10,COLUMN(E$9)-1)&amp;":"&amp;ADDRESS(1000,COLUMN(E$9)-1)))))</f>
        <v>-</v>
      </c>
      <c r="F70" s="19" t="str">
        <f t="array" ref="F70">IF(ISBLANK(Tareas!$B66),"-",SUM(
SUMIF(INDIRECT(Equipo!$C$4&amp;"!B10:B1000"),$B70,INDIRECT(Equipo!$C$4&amp;"!"&amp;ADDRESS(10,COLUMN(F$9)-1)&amp;":"&amp;ADDRESS(1000,COLUMN(F$9)-1))),
SUMIF(INDIRECT(Equipo!$D$4&amp;"!B10:B1000"),$B70,INDIRECT(Equipo!$D$4&amp;"!"&amp;ADDRESS(10,COLUMN(F$9)-1)&amp;":"&amp;ADDRESS(1000,COLUMN(F$9)-1))),
SUMIF(INDIRECT(Equipo!$E$4&amp;"!B10:B1000"),$B70,INDIRECT(Equipo!$E$4&amp;"!"&amp;ADDRESS(10,COLUMN(F$9)-1)&amp;":"&amp;ADDRESS(1000,COLUMN(F$9)-1))),
SUMIF(INDIRECT(Equipo!$F$4&amp;"!B10:B1000"),$B70,INDIRECT(Equipo!$F$4&amp;"!"&amp;ADDRESS(10,COLUMN(F$9)-1)&amp;":"&amp;ADDRESS(1000,COLUMN(F$9)-1))),
SUMIF(INDIRECT(Equipo!$G$4&amp;"!B10:B1000"),$B70,INDIRECT(Equipo!$G$4&amp;"!"&amp;ADDRESS(10,COLUMN(F$9)-1)&amp;":"&amp;ADDRESS(1000,COLUMN(F$9)-1)))))</f>
        <v>-</v>
      </c>
      <c r="G70" s="19" t="str">
        <f t="array" ref="G70">IF(ISBLANK(Tareas!$B66),"-",SUM(
SUMIF(INDIRECT(Equipo!$C$4&amp;"!B10:B1000"),$B70,INDIRECT(Equipo!$C$4&amp;"!"&amp;ADDRESS(10,COLUMN(G$9)-1)&amp;":"&amp;ADDRESS(1000,COLUMN(G$9)-1))),
SUMIF(INDIRECT(Equipo!$D$4&amp;"!B10:B1000"),$B70,INDIRECT(Equipo!$D$4&amp;"!"&amp;ADDRESS(10,COLUMN(G$9)-1)&amp;":"&amp;ADDRESS(1000,COLUMN(G$9)-1))),
SUMIF(INDIRECT(Equipo!$E$4&amp;"!B10:B1000"),$B70,INDIRECT(Equipo!$E$4&amp;"!"&amp;ADDRESS(10,COLUMN(G$9)-1)&amp;":"&amp;ADDRESS(1000,COLUMN(G$9)-1))),
SUMIF(INDIRECT(Equipo!$F$4&amp;"!B10:B1000"),$B70,INDIRECT(Equipo!$F$4&amp;"!"&amp;ADDRESS(10,COLUMN(G$9)-1)&amp;":"&amp;ADDRESS(1000,COLUMN(G$9)-1))),
SUMIF(INDIRECT(Equipo!$G$4&amp;"!B10:B1000"),$B70,INDIRECT(Equipo!$G$4&amp;"!"&amp;ADDRESS(10,COLUMN(G$9)-1)&amp;":"&amp;ADDRESS(1000,COLUMN(G$9)-1)))))</f>
        <v>-</v>
      </c>
      <c r="H70" s="19" t="str">
        <f t="array" ref="H70">IF(ISBLANK(Tareas!$B66),"-",SUM(
SUMIF(INDIRECT(Equipo!$C$4&amp;"!B10:B1000"),$B70,INDIRECT(Equipo!$C$4&amp;"!"&amp;ADDRESS(10,COLUMN(H$9)-1)&amp;":"&amp;ADDRESS(1000,COLUMN(H$9)-1))),
SUMIF(INDIRECT(Equipo!$D$4&amp;"!B10:B1000"),$B70,INDIRECT(Equipo!$D$4&amp;"!"&amp;ADDRESS(10,COLUMN(H$9)-1)&amp;":"&amp;ADDRESS(1000,COLUMN(H$9)-1))),
SUMIF(INDIRECT(Equipo!$E$4&amp;"!B10:B1000"),$B70,INDIRECT(Equipo!$E$4&amp;"!"&amp;ADDRESS(10,COLUMN(H$9)-1)&amp;":"&amp;ADDRESS(1000,COLUMN(H$9)-1))),
SUMIF(INDIRECT(Equipo!$F$4&amp;"!B10:B1000"),$B70,INDIRECT(Equipo!$F$4&amp;"!"&amp;ADDRESS(10,COLUMN(H$9)-1)&amp;":"&amp;ADDRESS(1000,COLUMN(H$9)-1))),
SUMIF(INDIRECT(Equipo!$G$4&amp;"!B10:B1000"),$B70,INDIRECT(Equipo!$G$4&amp;"!"&amp;ADDRESS(10,COLUMN(H$9)-1)&amp;":"&amp;ADDRESS(1000,COLUMN(H$9)-1)))))</f>
        <v>-</v>
      </c>
      <c r="I70" s="19" t="str">
        <f t="array" ref="I70">IF(ISBLANK(Tareas!$B66),"-",SUM(
SUMIF(INDIRECT(Equipo!$C$4&amp;"!B10:B1000"),$B70,INDIRECT(Equipo!$C$4&amp;"!"&amp;ADDRESS(10,COLUMN(I$9)-1)&amp;":"&amp;ADDRESS(1000,COLUMN(I$9)-1))),
SUMIF(INDIRECT(Equipo!$D$4&amp;"!B10:B1000"),$B70,INDIRECT(Equipo!$D$4&amp;"!"&amp;ADDRESS(10,COLUMN(I$9)-1)&amp;":"&amp;ADDRESS(1000,COLUMN(I$9)-1))),
SUMIF(INDIRECT(Equipo!$E$4&amp;"!B10:B1000"),$B70,INDIRECT(Equipo!$E$4&amp;"!"&amp;ADDRESS(10,COLUMN(I$9)-1)&amp;":"&amp;ADDRESS(1000,COLUMN(I$9)-1))),
SUMIF(INDIRECT(Equipo!$F$4&amp;"!B10:B1000"),$B70,INDIRECT(Equipo!$F$4&amp;"!"&amp;ADDRESS(10,COLUMN(I$9)-1)&amp;":"&amp;ADDRESS(1000,COLUMN(I$9)-1))),
SUMIF(INDIRECT(Equipo!$G$4&amp;"!B10:B1000"),$B70,INDIRECT(Equipo!$G$4&amp;"!"&amp;ADDRESS(10,COLUMN(I$9)-1)&amp;":"&amp;ADDRESS(1000,COLUMN(I$9)-1)))))</f>
        <v>-</v>
      </c>
      <c r="J70" s="19" t="str">
        <f t="array" ref="J70">IF(ISBLANK(Tareas!$B66),"-",SUM(
SUMIF(INDIRECT(Equipo!$C$4&amp;"!B10:B1000"),$B70,INDIRECT(Equipo!$C$4&amp;"!"&amp;ADDRESS(10,COLUMN(J$9)-1)&amp;":"&amp;ADDRESS(1000,COLUMN(J$9)-1))),
SUMIF(INDIRECT(Equipo!$D$4&amp;"!B10:B1000"),$B70,INDIRECT(Equipo!$D$4&amp;"!"&amp;ADDRESS(10,COLUMN(J$9)-1)&amp;":"&amp;ADDRESS(1000,COLUMN(J$9)-1))),
SUMIF(INDIRECT(Equipo!$E$4&amp;"!B10:B1000"),$B70,INDIRECT(Equipo!$E$4&amp;"!"&amp;ADDRESS(10,COLUMN(J$9)-1)&amp;":"&amp;ADDRESS(1000,COLUMN(J$9)-1))),
SUMIF(INDIRECT(Equipo!$F$4&amp;"!B10:B1000"),$B70,INDIRECT(Equipo!$F$4&amp;"!"&amp;ADDRESS(10,COLUMN(J$9)-1)&amp;":"&amp;ADDRESS(1000,COLUMN(J$9)-1))),
SUMIF(INDIRECT(Equipo!$G$4&amp;"!B10:B1000"),$B70,INDIRECT(Equipo!$G$4&amp;"!"&amp;ADDRESS(10,COLUMN(J$9)-1)&amp;":"&amp;ADDRESS(1000,COLUMN(J$9)-1)))))</f>
        <v>-</v>
      </c>
      <c r="K70" s="19" t="str">
        <f t="array" ref="K70">IF(ISBLANK(Tareas!$B66),"-",SUM(
SUMIF(INDIRECT(Equipo!$C$4&amp;"!B10:B1000"),$B70,INDIRECT(Equipo!$C$4&amp;"!"&amp;ADDRESS(10,COLUMN(K$9)-1)&amp;":"&amp;ADDRESS(1000,COLUMN(K$9)-1))),
SUMIF(INDIRECT(Equipo!$D$4&amp;"!B10:B1000"),$B70,INDIRECT(Equipo!$D$4&amp;"!"&amp;ADDRESS(10,COLUMN(K$9)-1)&amp;":"&amp;ADDRESS(1000,COLUMN(K$9)-1))),
SUMIF(INDIRECT(Equipo!$E$4&amp;"!B10:B1000"),$B70,INDIRECT(Equipo!$E$4&amp;"!"&amp;ADDRESS(10,COLUMN(K$9)-1)&amp;":"&amp;ADDRESS(1000,COLUMN(K$9)-1))),
SUMIF(INDIRECT(Equipo!$F$4&amp;"!B10:B1000"),$B70,INDIRECT(Equipo!$F$4&amp;"!"&amp;ADDRESS(10,COLUMN(K$9)-1)&amp;":"&amp;ADDRESS(1000,COLUMN(K$9)-1))),
SUMIF(INDIRECT(Equipo!$G$4&amp;"!B10:B1000"),$B70,INDIRECT(Equipo!$G$4&amp;"!"&amp;ADDRESS(10,COLUMN(K$9)-1)&amp;":"&amp;ADDRESS(1000,COLUMN(K$9)-1)))))</f>
        <v>-</v>
      </c>
    </row>
    <row r="71" ht="15.75" customHeight="1">
      <c r="B71" s="1" t="str">
        <f>IF(ISBLANK(Tareas!B67)," - ",Tareas!B67)</f>
        <v> - </v>
      </c>
      <c r="D71" s="19" t="str">
        <f t="array" ref="D71">IF(ISBLANK(Tareas!$B67),"-",SUM(
SUMIF(INDIRECT(Equipo!$C$4&amp;"!B10:B1000"),$B71,INDIRECT(Equipo!$C$4&amp;"!"&amp;ADDRESS(10,COLUMN(D$9)-1)&amp;":"&amp;ADDRESS(1000,COLUMN(D$9)-1))),
SUMIF(INDIRECT(Equipo!$D$4&amp;"!B10:B1000"),$B71,INDIRECT(Equipo!$D$4&amp;"!"&amp;ADDRESS(10,COLUMN(D$9)-1)&amp;":"&amp;ADDRESS(1000,COLUMN(D$9)-1))),
SUMIF(INDIRECT(Equipo!$E$4&amp;"!B10:B1000"),$B71,INDIRECT(Equipo!$E$4&amp;"!"&amp;ADDRESS(10,COLUMN(D$9)-1)&amp;":"&amp;ADDRESS(1000,COLUMN(D$9)-1))),
SUMIF(INDIRECT(Equipo!$F$4&amp;"!B10:B1000"),$B71,INDIRECT(Equipo!$F$4&amp;"!"&amp;ADDRESS(10,COLUMN(D$9)-1)&amp;":"&amp;ADDRESS(1000,COLUMN(D$9)-1))),
SUMIF(INDIRECT(Equipo!$G$4&amp;"!B10:B1000"),$B71,INDIRECT(Equipo!$G$4&amp;"!"&amp;ADDRESS(10,COLUMN(D$9)-1)&amp;":"&amp;ADDRESS(1000,COLUMN(D$9)-1)))))</f>
        <v>-</v>
      </c>
      <c r="E71" s="19" t="str">
        <f t="array" ref="E71">IF(ISBLANK(Tareas!$B67),"-",SUM(
SUMIF(INDIRECT(Equipo!$C$4&amp;"!B10:B1000"),$B71,INDIRECT(Equipo!$C$4&amp;"!"&amp;ADDRESS(10,COLUMN(E$9)-1)&amp;":"&amp;ADDRESS(1000,COLUMN(E$9)-1))),
SUMIF(INDIRECT(Equipo!$D$4&amp;"!B10:B1000"),$B71,INDIRECT(Equipo!$D$4&amp;"!"&amp;ADDRESS(10,COLUMN(E$9)-1)&amp;":"&amp;ADDRESS(1000,COLUMN(E$9)-1))),
SUMIF(INDIRECT(Equipo!$E$4&amp;"!B10:B1000"),$B71,INDIRECT(Equipo!$E$4&amp;"!"&amp;ADDRESS(10,COLUMN(E$9)-1)&amp;":"&amp;ADDRESS(1000,COLUMN(E$9)-1))),
SUMIF(INDIRECT(Equipo!$F$4&amp;"!B10:B1000"),$B71,INDIRECT(Equipo!$F$4&amp;"!"&amp;ADDRESS(10,COLUMN(E$9)-1)&amp;":"&amp;ADDRESS(1000,COLUMN(E$9)-1))),
SUMIF(INDIRECT(Equipo!$G$4&amp;"!B10:B1000"),$B71,INDIRECT(Equipo!$G$4&amp;"!"&amp;ADDRESS(10,COLUMN(E$9)-1)&amp;":"&amp;ADDRESS(1000,COLUMN(E$9)-1)))))</f>
        <v>-</v>
      </c>
      <c r="F71" s="19" t="str">
        <f t="array" ref="F71">IF(ISBLANK(Tareas!$B67),"-",SUM(
SUMIF(INDIRECT(Equipo!$C$4&amp;"!B10:B1000"),$B71,INDIRECT(Equipo!$C$4&amp;"!"&amp;ADDRESS(10,COLUMN(F$9)-1)&amp;":"&amp;ADDRESS(1000,COLUMN(F$9)-1))),
SUMIF(INDIRECT(Equipo!$D$4&amp;"!B10:B1000"),$B71,INDIRECT(Equipo!$D$4&amp;"!"&amp;ADDRESS(10,COLUMN(F$9)-1)&amp;":"&amp;ADDRESS(1000,COLUMN(F$9)-1))),
SUMIF(INDIRECT(Equipo!$E$4&amp;"!B10:B1000"),$B71,INDIRECT(Equipo!$E$4&amp;"!"&amp;ADDRESS(10,COLUMN(F$9)-1)&amp;":"&amp;ADDRESS(1000,COLUMN(F$9)-1))),
SUMIF(INDIRECT(Equipo!$F$4&amp;"!B10:B1000"),$B71,INDIRECT(Equipo!$F$4&amp;"!"&amp;ADDRESS(10,COLUMN(F$9)-1)&amp;":"&amp;ADDRESS(1000,COLUMN(F$9)-1))),
SUMIF(INDIRECT(Equipo!$G$4&amp;"!B10:B1000"),$B71,INDIRECT(Equipo!$G$4&amp;"!"&amp;ADDRESS(10,COLUMN(F$9)-1)&amp;":"&amp;ADDRESS(1000,COLUMN(F$9)-1)))))</f>
        <v>-</v>
      </c>
      <c r="G71" s="19" t="str">
        <f t="array" ref="G71">IF(ISBLANK(Tareas!$B67),"-",SUM(
SUMIF(INDIRECT(Equipo!$C$4&amp;"!B10:B1000"),$B71,INDIRECT(Equipo!$C$4&amp;"!"&amp;ADDRESS(10,COLUMN(G$9)-1)&amp;":"&amp;ADDRESS(1000,COLUMN(G$9)-1))),
SUMIF(INDIRECT(Equipo!$D$4&amp;"!B10:B1000"),$B71,INDIRECT(Equipo!$D$4&amp;"!"&amp;ADDRESS(10,COLUMN(G$9)-1)&amp;":"&amp;ADDRESS(1000,COLUMN(G$9)-1))),
SUMIF(INDIRECT(Equipo!$E$4&amp;"!B10:B1000"),$B71,INDIRECT(Equipo!$E$4&amp;"!"&amp;ADDRESS(10,COLUMN(G$9)-1)&amp;":"&amp;ADDRESS(1000,COLUMN(G$9)-1))),
SUMIF(INDIRECT(Equipo!$F$4&amp;"!B10:B1000"),$B71,INDIRECT(Equipo!$F$4&amp;"!"&amp;ADDRESS(10,COLUMN(G$9)-1)&amp;":"&amp;ADDRESS(1000,COLUMN(G$9)-1))),
SUMIF(INDIRECT(Equipo!$G$4&amp;"!B10:B1000"),$B71,INDIRECT(Equipo!$G$4&amp;"!"&amp;ADDRESS(10,COLUMN(G$9)-1)&amp;":"&amp;ADDRESS(1000,COLUMN(G$9)-1)))))</f>
        <v>-</v>
      </c>
      <c r="H71" s="19" t="str">
        <f t="array" ref="H71">IF(ISBLANK(Tareas!$B67),"-",SUM(
SUMIF(INDIRECT(Equipo!$C$4&amp;"!B10:B1000"),$B71,INDIRECT(Equipo!$C$4&amp;"!"&amp;ADDRESS(10,COLUMN(H$9)-1)&amp;":"&amp;ADDRESS(1000,COLUMN(H$9)-1))),
SUMIF(INDIRECT(Equipo!$D$4&amp;"!B10:B1000"),$B71,INDIRECT(Equipo!$D$4&amp;"!"&amp;ADDRESS(10,COLUMN(H$9)-1)&amp;":"&amp;ADDRESS(1000,COLUMN(H$9)-1))),
SUMIF(INDIRECT(Equipo!$E$4&amp;"!B10:B1000"),$B71,INDIRECT(Equipo!$E$4&amp;"!"&amp;ADDRESS(10,COLUMN(H$9)-1)&amp;":"&amp;ADDRESS(1000,COLUMN(H$9)-1))),
SUMIF(INDIRECT(Equipo!$F$4&amp;"!B10:B1000"),$B71,INDIRECT(Equipo!$F$4&amp;"!"&amp;ADDRESS(10,COLUMN(H$9)-1)&amp;":"&amp;ADDRESS(1000,COLUMN(H$9)-1))),
SUMIF(INDIRECT(Equipo!$G$4&amp;"!B10:B1000"),$B71,INDIRECT(Equipo!$G$4&amp;"!"&amp;ADDRESS(10,COLUMN(H$9)-1)&amp;":"&amp;ADDRESS(1000,COLUMN(H$9)-1)))))</f>
        <v>-</v>
      </c>
      <c r="I71" s="19" t="str">
        <f t="array" ref="I71">IF(ISBLANK(Tareas!$B67),"-",SUM(
SUMIF(INDIRECT(Equipo!$C$4&amp;"!B10:B1000"),$B71,INDIRECT(Equipo!$C$4&amp;"!"&amp;ADDRESS(10,COLUMN(I$9)-1)&amp;":"&amp;ADDRESS(1000,COLUMN(I$9)-1))),
SUMIF(INDIRECT(Equipo!$D$4&amp;"!B10:B1000"),$B71,INDIRECT(Equipo!$D$4&amp;"!"&amp;ADDRESS(10,COLUMN(I$9)-1)&amp;":"&amp;ADDRESS(1000,COLUMN(I$9)-1))),
SUMIF(INDIRECT(Equipo!$E$4&amp;"!B10:B1000"),$B71,INDIRECT(Equipo!$E$4&amp;"!"&amp;ADDRESS(10,COLUMN(I$9)-1)&amp;":"&amp;ADDRESS(1000,COLUMN(I$9)-1))),
SUMIF(INDIRECT(Equipo!$F$4&amp;"!B10:B1000"),$B71,INDIRECT(Equipo!$F$4&amp;"!"&amp;ADDRESS(10,COLUMN(I$9)-1)&amp;":"&amp;ADDRESS(1000,COLUMN(I$9)-1))),
SUMIF(INDIRECT(Equipo!$G$4&amp;"!B10:B1000"),$B71,INDIRECT(Equipo!$G$4&amp;"!"&amp;ADDRESS(10,COLUMN(I$9)-1)&amp;":"&amp;ADDRESS(1000,COLUMN(I$9)-1)))))</f>
        <v>-</v>
      </c>
      <c r="J71" s="19" t="str">
        <f t="array" ref="J71">IF(ISBLANK(Tareas!$B67),"-",SUM(
SUMIF(INDIRECT(Equipo!$C$4&amp;"!B10:B1000"),$B71,INDIRECT(Equipo!$C$4&amp;"!"&amp;ADDRESS(10,COLUMN(J$9)-1)&amp;":"&amp;ADDRESS(1000,COLUMN(J$9)-1))),
SUMIF(INDIRECT(Equipo!$D$4&amp;"!B10:B1000"),$B71,INDIRECT(Equipo!$D$4&amp;"!"&amp;ADDRESS(10,COLUMN(J$9)-1)&amp;":"&amp;ADDRESS(1000,COLUMN(J$9)-1))),
SUMIF(INDIRECT(Equipo!$E$4&amp;"!B10:B1000"),$B71,INDIRECT(Equipo!$E$4&amp;"!"&amp;ADDRESS(10,COLUMN(J$9)-1)&amp;":"&amp;ADDRESS(1000,COLUMN(J$9)-1))),
SUMIF(INDIRECT(Equipo!$F$4&amp;"!B10:B1000"),$B71,INDIRECT(Equipo!$F$4&amp;"!"&amp;ADDRESS(10,COLUMN(J$9)-1)&amp;":"&amp;ADDRESS(1000,COLUMN(J$9)-1))),
SUMIF(INDIRECT(Equipo!$G$4&amp;"!B10:B1000"),$B71,INDIRECT(Equipo!$G$4&amp;"!"&amp;ADDRESS(10,COLUMN(J$9)-1)&amp;":"&amp;ADDRESS(1000,COLUMN(J$9)-1)))))</f>
        <v>-</v>
      </c>
      <c r="K71" s="19" t="str">
        <f t="array" ref="K71">IF(ISBLANK(Tareas!$B67),"-",SUM(
SUMIF(INDIRECT(Equipo!$C$4&amp;"!B10:B1000"),$B71,INDIRECT(Equipo!$C$4&amp;"!"&amp;ADDRESS(10,COLUMN(K$9)-1)&amp;":"&amp;ADDRESS(1000,COLUMN(K$9)-1))),
SUMIF(INDIRECT(Equipo!$D$4&amp;"!B10:B1000"),$B71,INDIRECT(Equipo!$D$4&amp;"!"&amp;ADDRESS(10,COLUMN(K$9)-1)&amp;":"&amp;ADDRESS(1000,COLUMN(K$9)-1))),
SUMIF(INDIRECT(Equipo!$E$4&amp;"!B10:B1000"),$B71,INDIRECT(Equipo!$E$4&amp;"!"&amp;ADDRESS(10,COLUMN(K$9)-1)&amp;":"&amp;ADDRESS(1000,COLUMN(K$9)-1))),
SUMIF(INDIRECT(Equipo!$F$4&amp;"!B10:B1000"),$B71,INDIRECT(Equipo!$F$4&amp;"!"&amp;ADDRESS(10,COLUMN(K$9)-1)&amp;":"&amp;ADDRESS(1000,COLUMN(K$9)-1))),
SUMIF(INDIRECT(Equipo!$G$4&amp;"!B10:B1000"),$B71,INDIRECT(Equipo!$G$4&amp;"!"&amp;ADDRESS(10,COLUMN(K$9)-1)&amp;":"&amp;ADDRESS(1000,COLUMN(K$9)-1)))))</f>
        <v>-</v>
      </c>
    </row>
    <row r="72" ht="15.75" customHeight="1">
      <c r="B72" s="1" t="str">
        <f>IF(ISBLANK(Tareas!B68)," - ",Tareas!B68)</f>
        <v> - </v>
      </c>
      <c r="D72" s="19" t="str">
        <f t="array" ref="D72">IF(ISBLANK(Tareas!$B68),"-",SUM(
SUMIF(INDIRECT(Equipo!$C$4&amp;"!B10:B1000"),$B72,INDIRECT(Equipo!$C$4&amp;"!"&amp;ADDRESS(10,COLUMN(D$9)-1)&amp;":"&amp;ADDRESS(1000,COLUMN(D$9)-1))),
SUMIF(INDIRECT(Equipo!$D$4&amp;"!B10:B1000"),$B72,INDIRECT(Equipo!$D$4&amp;"!"&amp;ADDRESS(10,COLUMN(D$9)-1)&amp;":"&amp;ADDRESS(1000,COLUMN(D$9)-1))),
SUMIF(INDIRECT(Equipo!$E$4&amp;"!B10:B1000"),$B72,INDIRECT(Equipo!$E$4&amp;"!"&amp;ADDRESS(10,COLUMN(D$9)-1)&amp;":"&amp;ADDRESS(1000,COLUMN(D$9)-1))),
SUMIF(INDIRECT(Equipo!$F$4&amp;"!B10:B1000"),$B72,INDIRECT(Equipo!$F$4&amp;"!"&amp;ADDRESS(10,COLUMN(D$9)-1)&amp;":"&amp;ADDRESS(1000,COLUMN(D$9)-1))),
SUMIF(INDIRECT(Equipo!$G$4&amp;"!B10:B1000"),$B72,INDIRECT(Equipo!$G$4&amp;"!"&amp;ADDRESS(10,COLUMN(D$9)-1)&amp;":"&amp;ADDRESS(1000,COLUMN(D$9)-1)))))</f>
        <v>-</v>
      </c>
      <c r="E72" s="19" t="str">
        <f t="array" ref="E72">IF(ISBLANK(Tareas!$B68),"-",SUM(
SUMIF(INDIRECT(Equipo!$C$4&amp;"!B10:B1000"),$B72,INDIRECT(Equipo!$C$4&amp;"!"&amp;ADDRESS(10,COLUMN(E$9)-1)&amp;":"&amp;ADDRESS(1000,COLUMN(E$9)-1))),
SUMIF(INDIRECT(Equipo!$D$4&amp;"!B10:B1000"),$B72,INDIRECT(Equipo!$D$4&amp;"!"&amp;ADDRESS(10,COLUMN(E$9)-1)&amp;":"&amp;ADDRESS(1000,COLUMN(E$9)-1))),
SUMIF(INDIRECT(Equipo!$E$4&amp;"!B10:B1000"),$B72,INDIRECT(Equipo!$E$4&amp;"!"&amp;ADDRESS(10,COLUMN(E$9)-1)&amp;":"&amp;ADDRESS(1000,COLUMN(E$9)-1))),
SUMIF(INDIRECT(Equipo!$F$4&amp;"!B10:B1000"),$B72,INDIRECT(Equipo!$F$4&amp;"!"&amp;ADDRESS(10,COLUMN(E$9)-1)&amp;":"&amp;ADDRESS(1000,COLUMN(E$9)-1))),
SUMIF(INDIRECT(Equipo!$G$4&amp;"!B10:B1000"),$B72,INDIRECT(Equipo!$G$4&amp;"!"&amp;ADDRESS(10,COLUMN(E$9)-1)&amp;":"&amp;ADDRESS(1000,COLUMN(E$9)-1)))))</f>
        <v>-</v>
      </c>
      <c r="F72" s="19" t="str">
        <f t="array" ref="F72">IF(ISBLANK(Tareas!$B68),"-",SUM(
SUMIF(INDIRECT(Equipo!$C$4&amp;"!B10:B1000"),$B72,INDIRECT(Equipo!$C$4&amp;"!"&amp;ADDRESS(10,COLUMN(F$9)-1)&amp;":"&amp;ADDRESS(1000,COLUMN(F$9)-1))),
SUMIF(INDIRECT(Equipo!$D$4&amp;"!B10:B1000"),$B72,INDIRECT(Equipo!$D$4&amp;"!"&amp;ADDRESS(10,COLUMN(F$9)-1)&amp;":"&amp;ADDRESS(1000,COLUMN(F$9)-1))),
SUMIF(INDIRECT(Equipo!$E$4&amp;"!B10:B1000"),$B72,INDIRECT(Equipo!$E$4&amp;"!"&amp;ADDRESS(10,COLUMN(F$9)-1)&amp;":"&amp;ADDRESS(1000,COLUMN(F$9)-1))),
SUMIF(INDIRECT(Equipo!$F$4&amp;"!B10:B1000"),$B72,INDIRECT(Equipo!$F$4&amp;"!"&amp;ADDRESS(10,COLUMN(F$9)-1)&amp;":"&amp;ADDRESS(1000,COLUMN(F$9)-1))),
SUMIF(INDIRECT(Equipo!$G$4&amp;"!B10:B1000"),$B72,INDIRECT(Equipo!$G$4&amp;"!"&amp;ADDRESS(10,COLUMN(F$9)-1)&amp;":"&amp;ADDRESS(1000,COLUMN(F$9)-1)))))</f>
        <v>-</v>
      </c>
      <c r="G72" s="19" t="str">
        <f t="array" ref="G72">IF(ISBLANK(Tareas!$B68),"-",SUM(
SUMIF(INDIRECT(Equipo!$C$4&amp;"!B10:B1000"),$B72,INDIRECT(Equipo!$C$4&amp;"!"&amp;ADDRESS(10,COLUMN(G$9)-1)&amp;":"&amp;ADDRESS(1000,COLUMN(G$9)-1))),
SUMIF(INDIRECT(Equipo!$D$4&amp;"!B10:B1000"),$B72,INDIRECT(Equipo!$D$4&amp;"!"&amp;ADDRESS(10,COLUMN(G$9)-1)&amp;":"&amp;ADDRESS(1000,COLUMN(G$9)-1))),
SUMIF(INDIRECT(Equipo!$E$4&amp;"!B10:B1000"),$B72,INDIRECT(Equipo!$E$4&amp;"!"&amp;ADDRESS(10,COLUMN(G$9)-1)&amp;":"&amp;ADDRESS(1000,COLUMN(G$9)-1))),
SUMIF(INDIRECT(Equipo!$F$4&amp;"!B10:B1000"),$B72,INDIRECT(Equipo!$F$4&amp;"!"&amp;ADDRESS(10,COLUMN(G$9)-1)&amp;":"&amp;ADDRESS(1000,COLUMN(G$9)-1))),
SUMIF(INDIRECT(Equipo!$G$4&amp;"!B10:B1000"),$B72,INDIRECT(Equipo!$G$4&amp;"!"&amp;ADDRESS(10,COLUMN(G$9)-1)&amp;":"&amp;ADDRESS(1000,COLUMN(G$9)-1)))))</f>
        <v>-</v>
      </c>
      <c r="H72" s="19" t="str">
        <f t="array" ref="H72">IF(ISBLANK(Tareas!$B68),"-",SUM(
SUMIF(INDIRECT(Equipo!$C$4&amp;"!B10:B1000"),$B72,INDIRECT(Equipo!$C$4&amp;"!"&amp;ADDRESS(10,COLUMN(H$9)-1)&amp;":"&amp;ADDRESS(1000,COLUMN(H$9)-1))),
SUMIF(INDIRECT(Equipo!$D$4&amp;"!B10:B1000"),$B72,INDIRECT(Equipo!$D$4&amp;"!"&amp;ADDRESS(10,COLUMN(H$9)-1)&amp;":"&amp;ADDRESS(1000,COLUMN(H$9)-1))),
SUMIF(INDIRECT(Equipo!$E$4&amp;"!B10:B1000"),$B72,INDIRECT(Equipo!$E$4&amp;"!"&amp;ADDRESS(10,COLUMN(H$9)-1)&amp;":"&amp;ADDRESS(1000,COLUMN(H$9)-1))),
SUMIF(INDIRECT(Equipo!$F$4&amp;"!B10:B1000"),$B72,INDIRECT(Equipo!$F$4&amp;"!"&amp;ADDRESS(10,COLUMN(H$9)-1)&amp;":"&amp;ADDRESS(1000,COLUMN(H$9)-1))),
SUMIF(INDIRECT(Equipo!$G$4&amp;"!B10:B1000"),$B72,INDIRECT(Equipo!$G$4&amp;"!"&amp;ADDRESS(10,COLUMN(H$9)-1)&amp;":"&amp;ADDRESS(1000,COLUMN(H$9)-1)))))</f>
        <v>-</v>
      </c>
      <c r="I72" s="19" t="str">
        <f t="array" ref="I72">IF(ISBLANK(Tareas!$B68),"-",SUM(
SUMIF(INDIRECT(Equipo!$C$4&amp;"!B10:B1000"),$B72,INDIRECT(Equipo!$C$4&amp;"!"&amp;ADDRESS(10,COLUMN(I$9)-1)&amp;":"&amp;ADDRESS(1000,COLUMN(I$9)-1))),
SUMIF(INDIRECT(Equipo!$D$4&amp;"!B10:B1000"),$B72,INDIRECT(Equipo!$D$4&amp;"!"&amp;ADDRESS(10,COLUMN(I$9)-1)&amp;":"&amp;ADDRESS(1000,COLUMN(I$9)-1))),
SUMIF(INDIRECT(Equipo!$E$4&amp;"!B10:B1000"),$B72,INDIRECT(Equipo!$E$4&amp;"!"&amp;ADDRESS(10,COLUMN(I$9)-1)&amp;":"&amp;ADDRESS(1000,COLUMN(I$9)-1))),
SUMIF(INDIRECT(Equipo!$F$4&amp;"!B10:B1000"),$B72,INDIRECT(Equipo!$F$4&amp;"!"&amp;ADDRESS(10,COLUMN(I$9)-1)&amp;":"&amp;ADDRESS(1000,COLUMN(I$9)-1))),
SUMIF(INDIRECT(Equipo!$G$4&amp;"!B10:B1000"),$B72,INDIRECT(Equipo!$G$4&amp;"!"&amp;ADDRESS(10,COLUMN(I$9)-1)&amp;":"&amp;ADDRESS(1000,COLUMN(I$9)-1)))))</f>
        <v>-</v>
      </c>
      <c r="J72" s="19" t="str">
        <f t="array" ref="J72">IF(ISBLANK(Tareas!$B68),"-",SUM(
SUMIF(INDIRECT(Equipo!$C$4&amp;"!B10:B1000"),$B72,INDIRECT(Equipo!$C$4&amp;"!"&amp;ADDRESS(10,COLUMN(J$9)-1)&amp;":"&amp;ADDRESS(1000,COLUMN(J$9)-1))),
SUMIF(INDIRECT(Equipo!$D$4&amp;"!B10:B1000"),$B72,INDIRECT(Equipo!$D$4&amp;"!"&amp;ADDRESS(10,COLUMN(J$9)-1)&amp;":"&amp;ADDRESS(1000,COLUMN(J$9)-1))),
SUMIF(INDIRECT(Equipo!$E$4&amp;"!B10:B1000"),$B72,INDIRECT(Equipo!$E$4&amp;"!"&amp;ADDRESS(10,COLUMN(J$9)-1)&amp;":"&amp;ADDRESS(1000,COLUMN(J$9)-1))),
SUMIF(INDIRECT(Equipo!$F$4&amp;"!B10:B1000"),$B72,INDIRECT(Equipo!$F$4&amp;"!"&amp;ADDRESS(10,COLUMN(J$9)-1)&amp;":"&amp;ADDRESS(1000,COLUMN(J$9)-1))),
SUMIF(INDIRECT(Equipo!$G$4&amp;"!B10:B1000"),$B72,INDIRECT(Equipo!$G$4&amp;"!"&amp;ADDRESS(10,COLUMN(J$9)-1)&amp;":"&amp;ADDRESS(1000,COLUMN(J$9)-1)))))</f>
        <v>-</v>
      </c>
      <c r="K72" s="19" t="str">
        <f t="array" ref="K72">IF(ISBLANK(Tareas!$B68),"-",SUM(
SUMIF(INDIRECT(Equipo!$C$4&amp;"!B10:B1000"),$B72,INDIRECT(Equipo!$C$4&amp;"!"&amp;ADDRESS(10,COLUMN(K$9)-1)&amp;":"&amp;ADDRESS(1000,COLUMN(K$9)-1))),
SUMIF(INDIRECT(Equipo!$D$4&amp;"!B10:B1000"),$B72,INDIRECT(Equipo!$D$4&amp;"!"&amp;ADDRESS(10,COLUMN(K$9)-1)&amp;":"&amp;ADDRESS(1000,COLUMN(K$9)-1))),
SUMIF(INDIRECT(Equipo!$E$4&amp;"!B10:B1000"),$B72,INDIRECT(Equipo!$E$4&amp;"!"&amp;ADDRESS(10,COLUMN(K$9)-1)&amp;":"&amp;ADDRESS(1000,COLUMN(K$9)-1))),
SUMIF(INDIRECT(Equipo!$F$4&amp;"!B10:B1000"),$B72,INDIRECT(Equipo!$F$4&amp;"!"&amp;ADDRESS(10,COLUMN(K$9)-1)&amp;":"&amp;ADDRESS(1000,COLUMN(K$9)-1))),
SUMIF(INDIRECT(Equipo!$G$4&amp;"!B10:B1000"),$B72,INDIRECT(Equipo!$G$4&amp;"!"&amp;ADDRESS(10,COLUMN(K$9)-1)&amp;":"&amp;ADDRESS(1000,COLUMN(K$9)-1)))))</f>
        <v>-</v>
      </c>
    </row>
    <row r="73" ht="15.75" customHeight="1">
      <c r="B73" s="1" t="str">
        <f>IF(ISBLANK(Tareas!B69)," - ",Tareas!B69)</f>
        <v> - </v>
      </c>
      <c r="D73" s="19" t="str">
        <f t="array" ref="D73">IF(ISBLANK(Tareas!$B69),"-",SUM(
SUMIF(INDIRECT(Equipo!$C$4&amp;"!B10:B1000"),$B73,INDIRECT(Equipo!$C$4&amp;"!"&amp;ADDRESS(10,COLUMN(D$9)-1)&amp;":"&amp;ADDRESS(1000,COLUMN(D$9)-1))),
SUMIF(INDIRECT(Equipo!$D$4&amp;"!B10:B1000"),$B73,INDIRECT(Equipo!$D$4&amp;"!"&amp;ADDRESS(10,COLUMN(D$9)-1)&amp;":"&amp;ADDRESS(1000,COLUMN(D$9)-1))),
SUMIF(INDIRECT(Equipo!$E$4&amp;"!B10:B1000"),$B73,INDIRECT(Equipo!$E$4&amp;"!"&amp;ADDRESS(10,COLUMN(D$9)-1)&amp;":"&amp;ADDRESS(1000,COLUMN(D$9)-1))),
SUMIF(INDIRECT(Equipo!$F$4&amp;"!B10:B1000"),$B73,INDIRECT(Equipo!$F$4&amp;"!"&amp;ADDRESS(10,COLUMN(D$9)-1)&amp;":"&amp;ADDRESS(1000,COLUMN(D$9)-1))),
SUMIF(INDIRECT(Equipo!$G$4&amp;"!B10:B1000"),$B73,INDIRECT(Equipo!$G$4&amp;"!"&amp;ADDRESS(10,COLUMN(D$9)-1)&amp;":"&amp;ADDRESS(1000,COLUMN(D$9)-1)))))</f>
        <v>-</v>
      </c>
      <c r="E73" s="19" t="str">
        <f t="array" ref="E73">IF(ISBLANK(Tareas!$B69),"-",SUM(
SUMIF(INDIRECT(Equipo!$C$4&amp;"!B10:B1000"),$B73,INDIRECT(Equipo!$C$4&amp;"!"&amp;ADDRESS(10,COLUMN(E$9)-1)&amp;":"&amp;ADDRESS(1000,COLUMN(E$9)-1))),
SUMIF(INDIRECT(Equipo!$D$4&amp;"!B10:B1000"),$B73,INDIRECT(Equipo!$D$4&amp;"!"&amp;ADDRESS(10,COLUMN(E$9)-1)&amp;":"&amp;ADDRESS(1000,COLUMN(E$9)-1))),
SUMIF(INDIRECT(Equipo!$E$4&amp;"!B10:B1000"),$B73,INDIRECT(Equipo!$E$4&amp;"!"&amp;ADDRESS(10,COLUMN(E$9)-1)&amp;":"&amp;ADDRESS(1000,COLUMN(E$9)-1))),
SUMIF(INDIRECT(Equipo!$F$4&amp;"!B10:B1000"),$B73,INDIRECT(Equipo!$F$4&amp;"!"&amp;ADDRESS(10,COLUMN(E$9)-1)&amp;":"&amp;ADDRESS(1000,COLUMN(E$9)-1))),
SUMIF(INDIRECT(Equipo!$G$4&amp;"!B10:B1000"),$B73,INDIRECT(Equipo!$G$4&amp;"!"&amp;ADDRESS(10,COLUMN(E$9)-1)&amp;":"&amp;ADDRESS(1000,COLUMN(E$9)-1)))))</f>
        <v>-</v>
      </c>
      <c r="F73" s="19" t="str">
        <f t="array" ref="F73">IF(ISBLANK(Tareas!$B69),"-",SUM(
SUMIF(INDIRECT(Equipo!$C$4&amp;"!B10:B1000"),$B73,INDIRECT(Equipo!$C$4&amp;"!"&amp;ADDRESS(10,COLUMN(F$9)-1)&amp;":"&amp;ADDRESS(1000,COLUMN(F$9)-1))),
SUMIF(INDIRECT(Equipo!$D$4&amp;"!B10:B1000"),$B73,INDIRECT(Equipo!$D$4&amp;"!"&amp;ADDRESS(10,COLUMN(F$9)-1)&amp;":"&amp;ADDRESS(1000,COLUMN(F$9)-1))),
SUMIF(INDIRECT(Equipo!$E$4&amp;"!B10:B1000"),$B73,INDIRECT(Equipo!$E$4&amp;"!"&amp;ADDRESS(10,COLUMN(F$9)-1)&amp;":"&amp;ADDRESS(1000,COLUMN(F$9)-1))),
SUMIF(INDIRECT(Equipo!$F$4&amp;"!B10:B1000"),$B73,INDIRECT(Equipo!$F$4&amp;"!"&amp;ADDRESS(10,COLUMN(F$9)-1)&amp;":"&amp;ADDRESS(1000,COLUMN(F$9)-1))),
SUMIF(INDIRECT(Equipo!$G$4&amp;"!B10:B1000"),$B73,INDIRECT(Equipo!$G$4&amp;"!"&amp;ADDRESS(10,COLUMN(F$9)-1)&amp;":"&amp;ADDRESS(1000,COLUMN(F$9)-1)))))</f>
        <v>-</v>
      </c>
      <c r="G73" s="19" t="str">
        <f t="array" ref="G73">IF(ISBLANK(Tareas!$B69),"-",SUM(
SUMIF(INDIRECT(Equipo!$C$4&amp;"!B10:B1000"),$B73,INDIRECT(Equipo!$C$4&amp;"!"&amp;ADDRESS(10,COLUMN(G$9)-1)&amp;":"&amp;ADDRESS(1000,COLUMN(G$9)-1))),
SUMIF(INDIRECT(Equipo!$D$4&amp;"!B10:B1000"),$B73,INDIRECT(Equipo!$D$4&amp;"!"&amp;ADDRESS(10,COLUMN(G$9)-1)&amp;":"&amp;ADDRESS(1000,COLUMN(G$9)-1))),
SUMIF(INDIRECT(Equipo!$E$4&amp;"!B10:B1000"),$B73,INDIRECT(Equipo!$E$4&amp;"!"&amp;ADDRESS(10,COLUMN(G$9)-1)&amp;":"&amp;ADDRESS(1000,COLUMN(G$9)-1))),
SUMIF(INDIRECT(Equipo!$F$4&amp;"!B10:B1000"),$B73,INDIRECT(Equipo!$F$4&amp;"!"&amp;ADDRESS(10,COLUMN(G$9)-1)&amp;":"&amp;ADDRESS(1000,COLUMN(G$9)-1))),
SUMIF(INDIRECT(Equipo!$G$4&amp;"!B10:B1000"),$B73,INDIRECT(Equipo!$G$4&amp;"!"&amp;ADDRESS(10,COLUMN(G$9)-1)&amp;":"&amp;ADDRESS(1000,COLUMN(G$9)-1)))))</f>
        <v>-</v>
      </c>
      <c r="H73" s="19" t="str">
        <f t="array" ref="H73">IF(ISBLANK(Tareas!$B69),"-",SUM(
SUMIF(INDIRECT(Equipo!$C$4&amp;"!B10:B1000"),$B73,INDIRECT(Equipo!$C$4&amp;"!"&amp;ADDRESS(10,COLUMN(H$9)-1)&amp;":"&amp;ADDRESS(1000,COLUMN(H$9)-1))),
SUMIF(INDIRECT(Equipo!$D$4&amp;"!B10:B1000"),$B73,INDIRECT(Equipo!$D$4&amp;"!"&amp;ADDRESS(10,COLUMN(H$9)-1)&amp;":"&amp;ADDRESS(1000,COLUMN(H$9)-1))),
SUMIF(INDIRECT(Equipo!$E$4&amp;"!B10:B1000"),$B73,INDIRECT(Equipo!$E$4&amp;"!"&amp;ADDRESS(10,COLUMN(H$9)-1)&amp;":"&amp;ADDRESS(1000,COLUMN(H$9)-1))),
SUMIF(INDIRECT(Equipo!$F$4&amp;"!B10:B1000"),$B73,INDIRECT(Equipo!$F$4&amp;"!"&amp;ADDRESS(10,COLUMN(H$9)-1)&amp;":"&amp;ADDRESS(1000,COLUMN(H$9)-1))),
SUMIF(INDIRECT(Equipo!$G$4&amp;"!B10:B1000"),$B73,INDIRECT(Equipo!$G$4&amp;"!"&amp;ADDRESS(10,COLUMN(H$9)-1)&amp;":"&amp;ADDRESS(1000,COLUMN(H$9)-1)))))</f>
        <v>-</v>
      </c>
      <c r="I73" s="19" t="str">
        <f t="array" ref="I73">IF(ISBLANK(Tareas!$B69),"-",SUM(
SUMIF(INDIRECT(Equipo!$C$4&amp;"!B10:B1000"),$B73,INDIRECT(Equipo!$C$4&amp;"!"&amp;ADDRESS(10,COLUMN(I$9)-1)&amp;":"&amp;ADDRESS(1000,COLUMN(I$9)-1))),
SUMIF(INDIRECT(Equipo!$D$4&amp;"!B10:B1000"),$B73,INDIRECT(Equipo!$D$4&amp;"!"&amp;ADDRESS(10,COLUMN(I$9)-1)&amp;":"&amp;ADDRESS(1000,COLUMN(I$9)-1))),
SUMIF(INDIRECT(Equipo!$E$4&amp;"!B10:B1000"),$B73,INDIRECT(Equipo!$E$4&amp;"!"&amp;ADDRESS(10,COLUMN(I$9)-1)&amp;":"&amp;ADDRESS(1000,COLUMN(I$9)-1))),
SUMIF(INDIRECT(Equipo!$F$4&amp;"!B10:B1000"),$B73,INDIRECT(Equipo!$F$4&amp;"!"&amp;ADDRESS(10,COLUMN(I$9)-1)&amp;":"&amp;ADDRESS(1000,COLUMN(I$9)-1))),
SUMIF(INDIRECT(Equipo!$G$4&amp;"!B10:B1000"),$B73,INDIRECT(Equipo!$G$4&amp;"!"&amp;ADDRESS(10,COLUMN(I$9)-1)&amp;":"&amp;ADDRESS(1000,COLUMN(I$9)-1)))))</f>
        <v>-</v>
      </c>
      <c r="J73" s="19" t="str">
        <f t="array" ref="J73">IF(ISBLANK(Tareas!$B69),"-",SUM(
SUMIF(INDIRECT(Equipo!$C$4&amp;"!B10:B1000"),$B73,INDIRECT(Equipo!$C$4&amp;"!"&amp;ADDRESS(10,COLUMN(J$9)-1)&amp;":"&amp;ADDRESS(1000,COLUMN(J$9)-1))),
SUMIF(INDIRECT(Equipo!$D$4&amp;"!B10:B1000"),$B73,INDIRECT(Equipo!$D$4&amp;"!"&amp;ADDRESS(10,COLUMN(J$9)-1)&amp;":"&amp;ADDRESS(1000,COLUMN(J$9)-1))),
SUMIF(INDIRECT(Equipo!$E$4&amp;"!B10:B1000"),$B73,INDIRECT(Equipo!$E$4&amp;"!"&amp;ADDRESS(10,COLUMN(J$9)-1)&amp;":"&amp;ADDRESS(1000,COLUMN(J$9)-1))),
SUMIF(INDIRECT(Equipo!$F$4&amp;"!B10:B1000"),$B73,INDIRECT(Equipo!$F$4&amp;"!"&amp;ADDRESS(10,COLUMN(J$9)-1)&amp;":"&amp;ADDRESS(1000,COLUMN(J$9)-1))),
SUMIF(INDIRECT(Equipo!$G$4&amp;"!B10:B1000"),$B73,INDIRECT(Equipo!$G$4&amp;"!"&amp;ADDRESS(10,COLUMN(J$9)-1)&amp;":"&amp;ADDRESS(1000,COLUMN(J$9)-1)))))</f>
        <v>-</v>
      </c>
      <c r="K73" s="19" t="str">
        <f t="array" ref="K73">IF(ISBLANK(Tareas!$B69),"-",SUM(
SUMIF(INDIRECT(Equipo!$C$4&amp;"!B10:B1000"),$B73,INDIRECT(Equipo!$C$4&amp;"!"&amp;ADDRESS(10,COLUMN(K$9)-1)&amp;":"&amp;ADDRESS(1000,COLUMN(K$9)-1))),
SUMIF(INDIRECT(Equipo!$D$4&amp;"!B10:B1000"),$B73,INDIRECT(Equipo!$D$4&amp;"!"&amp;ADDRESS(10,COLUMN(K$9)-1)&amp;":"&amp;ADDRESS(1000,COLUMN(K$9)-1))),
SUMIF(INDIRECT(Equipo!$E$4&amp;"!B10:B1000"),$B73,INDIRECT(Equipo!$E$4&amp;"!"&amp;ADDRESS(10,COLUMN(K$9)-1)&amp;":"&amp;ADDRESS(1000,COLUMN(K$9)-1))),
SUMIF(INDIRECT(Equipo!$F$4&amp;"!B10:B1000"),$B73,INDIRECT(Equipo!$F$4&amp;"!"&amp;ADDRESS(10,COLUMN(K$9)-1)&amp;":"&amp;ADDRESS(1000,COLUMN(K$9)-1))),
SUMIF(INDIRECT(Equipo!$G$4&amp;"!B10:B1000"),$B73,INDIRECT(Equipo!$G$4&amp;"!"&amp;ADDRESS(10,COLUMN(K$9)-1)&amp;":"&amp;ADDRESS(1000,COLUMN(K$9)-1)))))</f>
        <v>-</v>
      </c>
    </row>
    <row r="74" ht="15.75" customHeight="1">
      <c r="B74" s="1" t="str">
        <f>IF(ISBLANK(Tareas!B70)," - ",Tareas!B70)</f>
        <v> - </v>
      </c>
      <c r="D74" s="19" t="str">
        <f t="array" ref="D74">IF(ISBLANK(Tareas!$B70),"-",SUM(
SUMIF(INDIRECT(Equipo!$C$4&amp;"!B10:B1000"),$B74,INDIRECT(Equipo!$C$4&amp;"!"&amp;ADDRESS(10,COLUMN(D$9)-1)&amp;":"&amp;ADDRESS(1000,COLUMN(D$9)-1))),
SUMIF(INDIRECT(Equipo!$D$4&amp;"!B10:B1000"),$B74,INDIRECT(Equipo!$D$4&amp;"!"&amp;ADDRESS(10,COLUMN(D$9)-1)&amp;":"&amp;ADDRESS(1000,COLUMN(D$9)-1))),
SUMIF(INDIRECT(Equipo!$E$4&amp;"!B10:B1000"),$B74,INDIRECT(Equipo!$E$4&amp;"!"&amp;ADDRESS(10,COLUMN(D$9)-1)&amp;":"&amp;ADDRESS(1000,COLUMN(D$9)-1))),
SUMIF(INDIRECT(Equipo!$F$4&amp;"!B10:B1000"),$B74,INDIRECT(Equipo!$F$4&amp;"!"&amp;ADDRESS(10,COLUMN(D$9)-1)&amp;":"&amp;ADDRESS(1000,COLUMN(D$9)-1))),
SUMIF(INDIRECT(Equipo!$G$4&amp;"!B10:B1000"),$B74,INDIRECT(Equipo!$G$4&amp;"!"&amp;ADDRESS(10,COLUMN(D$9)-1)&amp;":"&amp;ADDRESS(1000,COLUMN(D$9)-1)))))</f>
        <v>-</v>
      </c>
      <c r="E74" s="19" t="str">
        <f t="array" ref="E74">IF(ISBLANK(Tareas!$B70),"-",SUM(
SUMIF(INDIRECT(Equipo!$C$4&amp;"!B10:B1000"),$B74,INDIRECT(Equipo!$C$4&amp;"!"&amp;ADDRESS(10,COLUMN(E$9)-1)&amp;":"&amp;ADDRESS(1000,COLUMN(E$9)-1))),
SUMIF(INDIRECT(Equipo!$D$4&amp;"!B10:B1000"),$B74,INDIRECT(Equipo!$D$4&amp;"!"&amp;ADDRESS(10,COLUMN(E$9)-1)&amp;":"&amp;ADDRESS(1000,COLUMN(E$9)-1))),
SUMIF(INDIRECT(Equipo!$E$4&amp;"!B10:B1000"),$B74,INDIRECT(Equipo!$E$4&amp;"!"&amp;ADDRESS(10,COLUMN(E$9)-1)&amp;":"&amp;ADDRESS(1000,COLUMN(E$9)-1))),
SUMIF(INDIRECT(Equipo!$F$4&amp;"!B10:B1000"),$B74,INDIRECT(Equipo!$F$4&amp;"!"&amp;ADDRESS(10,COLUMN(E$9)-1)&amp;":"&amp;ADDRESS(1000,COLUMN(E$9)-1))),
SUMIF(INDIRECT(Equipo!$G$4&amp;"!B10:B1000"),$B74,INDIRECT(Equipo!$G$4&amp;"!"&amp;ADDRESS(10,COLUMN(E$9)-1)&amp;":"&amp;ADDRESS(1000,COLUMN(E$9)-1)))))</f>
        <v>-</v>
      </c>
      <c r="F74" s="19" t="str">
        <f t="array" ref="F74">IF(ISBLANK(Tareas!$B70),"-",SUM(
SUMIF(INDIRECT(Equipo!$C$4&amp;"!B10:B1000"),$B74,INDIRECT(Equipo!$C$4&amp;"!"&amp;ADDRESS(10,COLUMN(F$9)-1)&amp;":"&amp;ADDRESS(1000,COLUMN(F$9)-1))),
SUMIF(INDIRECT(Equipo!$D$4&amp;"!B10:B1000"),$B74,INDIRECT(Equipo!$D$4&amp;"!"&amp;ADDRESS(10,COLUMN(F$9)-1)&amp;":"&amp;ADDRESS(1000,COLUMN(F$9)-1))),
SUMIF(INDIRECT(Equipo!$E$4&amp;"!B10:B1000"),$B74,INDIRECT(Equipo!$E$4&amp;"!"&amp;ADDRESS(10,COLUMN(F$9)-1)&amp;":"&amp;ADDRESS(1000,COLUMN(F$9)-1))),
SUMIF(INDIRECT(Equipo!$F$4&amp;"!B10:B1000"),$B74,INDIRECT(Equipo!$F$4&amp;"!"&amp;ADDRESS(10,COLUMN(F$9)-1)&amp;":"&amp;ADDRESS(1000,COLUMN(F$9)-1))),
SUMIF(INDIRECT(Equipo!$G$4&amp;"!B10:B1000"),$B74,INDIRECT(Equipo!$G$4&amp;"!"&amp;ADDRESS(10,COLUMN(F$9)-1)&amp;":"&amp;ADDRESS(1000,COLUMN(F$9)-1)))))</f>
        <v>-</v>
      </c>
      <c r="G74" s="19" t="str">
        <f t="array" ref="G74">IF(ISBLANK(Tareas!$B70),"-",SUM(
SUMIF(INDIRECT(Equipo!$C$4&amp;"!B10:B1000"),$B74,INDIRECT(Equipo!$C$4&amp;"!"&amp;ADDRESS(10,COLUMN(G$9)-1)&amp;":"&amp;ADDRESS(1000,COLUMN(G$9)-1))),
SUMIF(INDIRECT(Equipo!$D$4&amp;"!B10:B1000"),$B74,INDIRECT(Equipo!$D$4&amp;"!"&amp;ADDRESS(10,COLUMN(G$9)-1)&amp;":"&amp;ADDRESS(1000,COLUMN(G$9)-1))),
SUMIF(INDIRECT(Equipo!$E$4&amp;"!B10:B1000"),$B74,INDIRECT(Equipo!$E$4&amp;"!"&amp;ADDRESS(10,COLUMN(G$9)-1)&amp;":"&amp;ADDRESS(1000,COLUMN(G$9)-1))),
SUMIF(INDIRECT(Equipo!$F$4&amp;"!B10:B1000"),$B74,INDIRECT(Equipo!$F$4&amp;"!"&amp;ADDRESS(10,COLUMN(G$9)-1)&amp;":"&amp;ADDRESS(1000,COLUMN(G$9)-1))),
SUMIF(INDIRECT(Equipo!$G$4&amp;"!B10:B1000"),$B74,INDIRECT(Equipo!$G$4&amp;"!"&amp;ADDRESS(10,COLUMN(G$9)-1)&amp;":"&amp;ADDRESS(1000,COLUMN(G$9)-1)))))</f>
        <v>-</v>
      </c>
      <c r="H74" s="19" t="str">
        <f t="array" ref="H74">IF(ISBLANK(Tareas!$B70),"-",SUM(
SUMIF(INDIRECT(Equipo!$C$4&amp;"!B10:B1000"),$B74,INDIRECT(Equipo!$C$4&amp;"!"&amp;ADDRESS(10,COLUMN(H$9)-1)&amp;":"&amp;ADDRESS(1000,COLUMN(H$9)-1))),
SUMIF(INDIRECT(Equipo!$D$4&amp;"!B10:B1000"),$B74,INDIRECT(Equipo!$D$4&amp;"!"&amp;ADDRESS(10,COLUMN(H$9)-1)&amp;":"&amp;ADDRESS(1000,COLUMN(H$9)-1))),
SUMIF(INDIRECT(Equipo!$E$4&amp;"!B10:B1000"),$B74,INDIRECT(Equipo!$E$4&amp;"!"&amp;ADDRESS(10,COLUMN(H$9)-1)&amp;":"&amp;ADDRESS(1000,COLUMN(H$9)-1))),
SUMIF(INDIRECT(Equipo!$F$4&amp;"!B10:B1000"),$B74,INDIRECT(Equipo!$F$4&amp;"!"&amp;ADDRESS(10,COLUMN(H$9)-1)&amp;":"&amp;ADDRESS(1000,COLUMN(H$9)-1))),
SUMIF(INDIRECT(Equipo!$G$4&amp;"!B10:B1000"),$B74,INDIRECT(Equipo!$G$4&amp;"!"&amp;ADDRESS(10,COLUMN(H$9)-1)&amp;":"&amp;ADDRESS(1000,COLUMN(H$9)-1)))))</f>
        <v>-</v>
      </c>
      <c r="I74" s="19" t="str">
        <f t="array" ref="I74">IF(ISBLANK(Tareas!$B70),"-",SUM(
SUMIF(INDIRECT(Equipo!$C$4&amp;"!B10:B1000"),$B74,INDIRECT(Equipo!$C$4&amp;"!"&amp;ADDRESS(10,COLUMN(I$9)-1)&amp;":"&amp;ADDRESS(1000,COLUMN(I$9)-1))),
SUMIF(INDIRECT(Equipo!$D$4&amp;"!B10:B1000"),$B74,INDIRECT(Equipo!$D$4&amp;"!"&amp;ADDRESS(10,COLUMN(I$9)-1)&amp;":"&amp;ADDRESS(1000,COLUMN(I$9)-1))),
SUMIF(INDIRECT(Equipo!$E$4&amp;"!B10:B1000"),$B74,INDIRECT(Equipo!$E$4&amp;"!"&amp;ADDRESS(10,COLUMN(I$9)-1)&amp;":"&amp;ADDRESS(1000,COLUMN(I$9)-1))),
SUMIF(INDIRECT(Equipo!$F$4&amp;"!B10:B1000"),$B74,INDIRECT(Equipo!$F$4&amp;"!"&amp;ADDRESS(10,COLUMN(I$9)-1)&amp;":"&amp;ADDRESS(1000,COLUMN(I$9)-1))),
SUMIF(INDIRECT(Equipo!$G$4&amp;"!B10:B1000"),$B74,INDIRECT(Equipo!$G$4&amp;"!"&amp;ADDRESS(10,COLUMN(I$9)-1)&amp;":"&amp;ADDRESS(1000,COLUMN(I$9)-1)))))</f>
        <v>-</v>
      </c>
      <c r="J74" s="19" t="str">
        <f t="array" ref="J74">IF(ISBLANK(Tareas!$B70),"-",SUM(
SUMIF(INDIRECT(Equipo!$C$4&amp;"!B10:B1000"),$B74,INDIRECT(Equipo!$C$4&amp;"!"&amp;ADDRESS(10,COLUMN(J$9)-1)&amp;":"&amp;ADDRESS(1000,COLUMN(J$9)-1))),
SUMIF(INDIRECT(Equipo!$D$4&amp;"!B10:B1000"),$B74,INDIRECT(Equipo!$D$4&amp;"!"&amp;ADDRESS(10,COLUMN(J$9)-1)&amp;":"&amp;ADDRESS(1000,COLUMN(J$9)-1))),
SUMIF(INDIRECT(Equipo!$E$4&amp;"!B10:B1000"),$B74,INDIRECT(Equipo!$E$4&amp;"!"&amp;ADDRESS(10,COLUMN(J$9)-1)&amp;":"&amp;ADDRESS(1000,COLUMN(J$9)-1))),
SUMIF(INDIRECT(Equipo!$F$4&amp;"!B10:B1000"),$B74,INDIRECT(Equipo!$F$4&amp;"!"&amp;ADDRESS(10,COLUMN(J$9)-1)&amp;":"&amp;ADDRESS(1000,COLUMN(J$9)-1))),
SUMIF(INDIRECT(Equipo!$G$4&amp;"!B10:B1000"),$B74,INDIRECT(Equipo!$G$4&amp;"!"&amp;ADDRESS(10,COLUMN(J$9)-1)&amp;":"&amp;ADDRESS(1000,COLUMN(J$9)-1)))))</f>
        <v>-</v>
      </c>
      <c r="K74" s="19" t="str">
        <f t="array" ref="K74">IF(ISBLANK(Tareas!$B70),"-",SUM(
SUMIF(INDIRECT(Equipo!$C$4&amp;"!B10:B1000"),$B74,INDIRECT(Equipo!$C$4&amp;"!"&amp;ADDRESS(10,COLUMN(K$9)-1)&amp;":"&amp;ADDRESS(1000,COLUMN(K$9)-1))),
SUMIF(INDIRECT(Equipo!$D$4&amp;"!B10:B1000"),$B74,INDIRECT(Equipo!$D$4&amp;"!"&amp;ADDRESS(10,COLUMN(K$9)-1)&amp;":"&amp;ADDRESS(1000,COLUMN(K$9)-1))),
SUMIF(INDIRECT(Equipo!$E$4&amp;"!B10:B1000"),$B74,INDIRECT(Equipo!$E$4&amp;"!"&amp;ADDRESS(10,COLUMN(K$9)-1)&amp;":"&amp;ADDRESS(1000,COLUMN(K$9)-1))),
SUMIF(INDIRECT(Equipo!$F$4&amp;"!B10:B1000"),$B74,INDIRECT(Equipo!$F$4&amp;"!"&amp;ADDRESS(10,COLUMN(K$9)-1)&amp;":"&amp;ADDRESS(1000,COLUMN(K$9)-1))),
SUMIF(INDIRECT(Equipo!$G$4&amp;"!B10:B1000"),$B74,INDIRECT(Equipo!$G$4&amp;"!"&amp;ADDRESS(10,COLUMN(K$9)-1)&amp;":"&amp;ADDRESS(1000,COLUMN(K$9)-1)))))</f>
        <v>-</v>
      </c>
    </row>
    <row r="75" ht="15.75" customHeight="1">
      <c r="B75" s="1" t="str">
        <f>IF(ISBLANK(Tareas!B71)," - ",Tareas!B71)</f>
        <v> - </v>
      </c>
      <c r="D75" s="19" t="str">
        <f t="array" ref="D75">IF(ISBLANK(Tareas!$B71),"-",SUM(
SUMIF(INDIRECT(Equipo!$C$4&amp;"!B10:B1000"),$B75,INDIRECT(Equipo!$C$4&amp;"!"&amp;ADDRESS(10,COLUMN(D$9)-1)&amp;":"&amp;ADDRESS(1000,COLUMN(D$9)-1))),
SUMIF(INDIRECT(Equipo!$D$4&amp;"!B10:B1000"),$B75,INDIRECT(Equipo!$D$4&amp;"!"&amp;ADDRESS(10,COLUMN(D$9)-1)&amp;":"&amp;ADDRESS(1000,COLUMN(D$9)-1))),
SUMIF(INDIRECT(Equipo!$E$4&amp;"!B10:B1000"),$B75,INDIRECT(Equipo!$E$4&amp;"!"&amp;ADDRESS(10,COLUMN(D$9)-1)&amp;":"&amp;ADDRESS(1000,COLUMN(D$9)-1))),
SUMIF(INDIRECT(Equipo!$F$4&amp;"!B10:B1000"),$B75,INDIRECT(Equipo!$F$4&amp;"!"&amp;ADDRESS(10,COLUMN(D$9)-1)&amp;":"&amp;ADDRESS(1000,COLUMN(D$9)-1))),
SUMIF(INDIRECT(Equipo!$G$4&amp;"!B10:B1000"),$B75,INDIRECT(Equipo!$G$4&amp;"!"&amp;ADDRESS(10,COLUMN(D$9)-1)&amp;":"&amp;ADDRESS(1000,COLUMN(D$9)-1)))))</f>
        <v>-</v>
      </c>
      <c r="E75" s="19" t="str">
        <f t="array" ref="E75">IF(ISBLANK(Tareas!$B71),"-",SUM(
SUMIF(INDIRECT(Equipo!$C$4&amp;"!B10:B1000"),$B75,INDIRECT(Equipo!$C$4&amp;"!"&amp;ADDRESS(10,COLUMN(E$9)-1)&amp;":"&amp;ADDRESS(1000,COLUMN(E$9)-1))),
SUMIF(INDIRECT(Equipo!$D$4&amp;"!B10:B1000"),$B75,INDIRECT(Equipo!$D$4&amp;"!"&amp;ADDRESS(10,COLUMN(E$9)-1)&amp;":"&amp;ADDRESS(1000,COLUMN(E$9)-1))),
SUMIF(INDIRECT(Equipo!$E$4&amp;"!B10:B1000"),$B75,INDIRECT(Equipo!$E$4&amp;"!"&amp;ADDRESS(10,COLUMN(E$9)-1)&amp;":"&amp;ADDRESS(1000,COLUMN(E$9)-1))),
SUMIF(INDIRECT(Equipo!$F$4&amp;"!B10:B1000"),$B75,INDIRECT(Equipo!$F$4&amp;"!"&amp;ADDRESS(10,COLUMN(E$9)-1)&amp;":"&amp;ADDRESS(1000,COLUMN(E$9)-1))),
SUMIF(INDIRECT(Equipo!$G$4&amp;"!B10:B1000"),$B75,INDIRECT(Equipo!$G$4&amp;"!"&amp;ADDRESS(10,COLUMN(E$9)-1)&amp;":"&amp;ADDRESS(1000,COLUMN(E$9)-1)))))</f>
        <v>-</v>
      </c>
      <c r="F75" s="19" t="str">
        <f t="array" ref="F75">IF(ISBLANK(Tareas!$B71),"-",SUM(
SUMIF(INDIRECT(Equipo!$C$4&amp;"!B10:B1000"),$B75,INDIRECT(Equipo!$C$4&amp;"!"&amp;ADDRESS(10,COLUMN(F$9)-1)&amp;":"&amp;ADDRESS(1000,COLUMN(F$9)-1))),
SUMIF(INDIRECT(Equipo!$D$4&amp;"!B10:B1000"),$B75,INDIRECT(Equipo!$D$4&amp;"!"&amp;ADDRESS(10,COLUMN(F$9)-1)&amp;":"&amp;ADDRESS(1000,COLUMN(F$9)-1))),
SUMIF(INDIRECT(Equipo!$E$4&amp;"!B10:B1000"),$B75,INDIRECT(Equipo!$E$4&amp;"!"&amp;ADDRESS(10,COLUMN(F$9)-1)&amp;":"&amp;ADDRESS(1000,COLUMN(F$9)-1))),
SUMIF(INDIRECT(Equipo!$F$4&amp;"!B10:B1000"),$B75,INDIRECT(Equipo!$F$4&amp;"!"&amp;ADDRESS(10,COLUMN(F$9)-1)&amp;":"&amp;ADDRESS(1000,COLUMN(F$9)-1))),
SUMIF(INDIRECT(Equipo!$G$4&amp;"!B10:B1000"),$B75,INDIRECT(Equipo!$G$4&amp;"!"&amp;ADDRESS(10,COLUMN(F$9)-1)&amp;":"&amp;ADDRESS(1000,COLUMN(F$9)-1)))))</f>
        <v>-</v>
      </c>
      <c r="G75" s="19" t="str">
        <f t="array" ref="G75">IF(ISBLANK(Tareas!$B71),"-",SUM(
SUMIF(INDIRECT(Equipo!$C$4&amp;"!B10:B1000"),$B75,INDIRECT(Equipo!$C$4&amp;"!"&amp;ADDRESS(10,COLUMN(G$9)-1)&amp;":"&amp;ADDRESS(1000,COLUMN(G$9)-1))),
SUMIF(INDIRECT(Equipo!$D$4&amp;"!B10:B1000"),$B75,INDIRECT(Equipo!$D$4&amp;"!"&amp;ADDRESS(10,COLUMN(G$9)-1)&amp;":"&amp;ADDRESS(1000,COLUMN(G$9)-1))),
SUMIF(INDIRECT(Equipo!$E$4&amp;"!B10:B1000"),$B75,INDIRECT(Equipo!$E$4&amp;"!"&amp;ADDRESS(10,COLUMN(G$9)-1)&amp;":"&amp;ADDRESS(1000,COLUMN(G$9)-1))),
SUMIF(INDIRECT(Equipo!$F$4&amp;"!B10:B1000"),$B75,INDIRECT(Equipo!$F$4&amp;"!"&amp;ADDRESS(10,COLUMN(G$9)-1)&amp;":"&amp;ADDRESS(1000,COLUMN(G$9)-1))),
SUMIF(INDIRECT(Equipo!$G$4&amp;"!B10:B1000"),$B75,INDIRECT(Equipo!$G$4&amp;"!"&amp;ADDRESS(10,COLUMN(G$9)-1)&amp;":"&amp;ADDRESS(1000,COLUMN(G$9)-1)))))</f>
        <v>-</v>
      </c>
      <c r="H75" s="19" t="str">
        <f t="array" ref="H75">IF(ISBLANK(Tareas!$B71),"-",SUM(
SUMIF(INDIRECT(Equipo!$C$4&amp;"!B10:B1000"),$B75,INDIRECT(Equipo!$C$4&amp;"!"&amp;ADDRESS(10,COLUMN(H$9)-1)&amp;":"&amp;ADDRESS(1000,COLUMN(H$9)-1))),
SUMIF(INDIRECT(Equipo!$D$4&amp;"!B10:B1000"),$B75,INDIRECT(Equipo!$D$4&amp;"!"&amp;ADDRESS(10,COLUMN(H$9)-1)&amp;":"&amp;ADDRESS(1000,COLUMN(H$9)-1))),
SUMIF(INDIRECT(Equipo!$E$4&amp;"!B10:B1000"),$B75,INDIRECT(Equipo!$E$4&amp;"!"&amp;ADDRESS(10,COLUMN(H$9)-1)&amp;":"&amp;ADDRESS(1000,COLUMN(H$9)-1))),
SUMIF(INDIRECT(Equipo!$F$4&amp;"!B10:B1000"),$B75,INDIRECT(Equipo!$F$4&amp;"!"&amp;ADDRESS(10,COLUMN(H$9)-1)&amp;":"&amp;ADDRESS(1000,COLUMN(H$9)-1))),
SUMIF(INDIRECT(Equipo!$G$4&amp;"!B10:B1000"),$B75,INDIRECT(Equipo!$G$4&amp;"!"&amp;ADDRESS(10,COLUMN(H$9)-1)&amp;":"&amp;ADDRESS(1000,COLUMN(H$9)-1)))))</f>
        <v>-</v>
      </c>
      <c r="I75" s="19" t="str">
        <f t="array" ref="I75">IF(ISBLANK(Tareas!$B71),"-",SUM(
SUMIF(INDIRECT(Equipo!$C$4&amp;"!B10:B1000"),$B75,INDIRECT(Equipo!$C$4&amp;"!"&amp;ADDRESS(10,COLUMN(I$9)-1)&amp;":"&amp;ADDRESS(1000,COLUMN(I$9)-1))),
SUMIF(INDIRECT(Equipo!$D$4&amp;"!B10:B1000"),$B75,INDIRECT(Equipo!$D$4&amp;"!"&amp;ADDRESS(10,COLUMN(I$9)-1)&amp;":"&amp;ADDRESS(1000,COLUMN(I$9)-1))),
SUMIF(INDIRECT(Equipo!$E$4&amp;"!B10:B1000"),$B75,INDIRECT(Equipo!$E$4&amp;"!"&amp;ADDRESS(10,COLUMN(I$9)-1)&amp;":"&amp;ADDRESS(1000,COLUMN(I$9)-1))),
SUMIF(INDIRECT(Equipo!$F$4&amp;"!B10:B1000"),$B75,INDIRECT(Equipo!$F$4&amp;"!"&amp;ADDRESS(10,COLUMN(I$9)-1)&amp;":"&amp;ADDRESS(1000,COLUMN(I$9)-1))),
SUMIF(INDIRECT(Equipo!$G$4&amp;"!B10:B1000"),$B75,INDIRECT(Equipo!$G$4&amp;"!"&amp;ADDRESS(10,COLUMN(I$9)-1)&amp;":"&amp;ADDRESS(1000,COLUMN(I$9)-1)))))</f>
        <v>-</v>
      </c>
      <c r="J75" s="19" t="str">
        <f t="array" ref="J75">IF(ISBLANK(Tareas!$B71),"-",SUM(
SUMIF(INDIRECT(Equipo!$C$4&amp;"!B10:B1000"),$B75,INDIRECT(Equipo!$C$4&amp;"!"&amp;ADDRESS(10,COLUMN(J$9)-1)&amp;":"&amp;ADDRESS(1000,COLUMN(J$9)-1))),
SUMIF(INDIRECT(Equipo!$D$4&amp;"!B10:B1000"),$B75,INDIRECT(Equipo!$D$4&amp;"!"&amp;ADDRESS(10,COLUMN(J$9)-1)&amp;":"&amp;ADDRESS(1000,COLUMN(J$9)-1))),
SUMIF(INDIRECT(Equipo!$E$4&amp;"!B10:B1000"),$B75,INDIRECT(Equipo!$E$4&amp;"!"&amp;ADDRESS(10,COLUMN(J$9)-1)&amp;":"&amp;ADDRESS(1000,COLUMN(J$9)-1))),
SUMIF(INDIRECT(Equipo!$F$4&amp;"!B10:B1000"),$B75,INDIRECT(Equipo!$F$4&amp;"!"&amp;ADDRESS(10,COLUMN(J$9)-1)&amp;":"&amp;ADDRESS(1000,COLUMN(J$9)-1))),
SUMIF(INDIRECT(Equipo!$G$4&amp;"!B10:B1000"),$B75,INDIRECT(Equipo!$G$4&amp;"!"&amp;ADDRESS(10,COLUMN(J$9)-1)&amp;":"&amp;ADDRESS(1000,COLUMN(J$9)-1)))))</f>
        <v>-</v>
      </c>
      <c r="K75" s="19" t="str">
        <f t="array" ref="K75">IF(ISBLANK(Tareas!$B71),"-",SUM(
SUMIF(INDIRECT(Equipo!$C$4&amp;"!B10:B1000"),$B75,INDIRECT(Equipo!$C$4&amp;"!"&amp;ADDRESS(10,COLUMN(K$9)-1)&amp;":"&amp;ADDRESS(1000,COLUMN(K$9)-1))),
SUMIF(INDIRECT(Equipo!$D$4&amp;"!B10:B1000"),$B75,INDIRECT(Equipo!$D$4&amp;"!"&amp;ADDRESS(10,COLUMN(K$9)-1)&amp;":"&amp;ADDRESS(1000,COLUMN(K$9)-1))),
SUMIF(INDIRECT(Equipo!$E$4&amp;"!B10:B1000"),$B75,INDIRECT(Equipo!$E$4&amp;"!"&amp;ADDRESS(10,COLUMN(K$9)-1)&amp;":"&amp;ADDRESS(1000,COLUMN(K$9)-1))),
SUMIF(INDIRECT(Equipo!$F$4&amp;"!B10:B1000"),$B75,INDIRECT(Equipo!$F$4&amp;"!"&amp;ADDRESS(10,COLUMN(K$9)-1)&amp;":"&amp;ADDRESS(1000,COLUMN(K$9)-1))),
SUMIF(INDIRECT(Equipo!$G$4&amp;"!B10:B1000"),$B75,INDIRECT(Equipo!$G$4&amp;"!"&amp;ADDRESS(10,COLUMN(K$9)-1)&amp;":"&amp;ADDRESS(1000,COLUMN(K$9)-1)))))</f>
        <v>-</v>
      </c>
    </row>
    <row r="76" ht="15.75" customHeight="1">
      <c r="B76" s="1" t="str">
        <f>IF(ISBLANK(Tareas!B72)," - ",Tareas!B72)</f>
        <v> - </v>
      </c>
      <c r="D76" s="19" t="str">
        <f t="array" ref="D76">IF(ISBLANK(Tareas!$B72),"-",SUM(
SUMIF(INDIRECT(Equipo!$C$4&amp;"!B10:B1000"),$B76,INDIRECT(Equipo!$C$4&amp;"!"&amp;ADDRESS(10,COLUMN(D$9)-1)&amp;":"&amp;ADDRESS(1000,COLUMN(D$9)-1))),
SUMIF(INDIRECT(Equipo!$D$4&amp;"!B10:B1000"),$B76,INDIRECT(Equipo!$D$4&amp;"!"&amp;ADDRESS(10,COLUMN(D$9)-1)&amp;":"&amp;ADDRESS(1000,COLUMN(D$9)-1))),
SUMIF(INDIRECT(Equipo!$E$4&amp;"!B10:B1000"),$B76,INDIRECT(Equipo!$E$4&amp;"!"&amp;ADDRESS(10,COLUMN(D$9)-1)&amp;":"&amp;ADDRESS(1000,COLUMN(D$9)-1))),
SUMIF(INDIRECT(Equipo!$F$4&amp;"!B10:B1000"),$B76,INDIRECT(Equipo!$F$4&amp;"!"&amp;ADDRESS(10,COLUMN(D$9)-1)&amp;":"&amp;ADDRESS(1000,COLUMN(D$9)-1))),
SUMIF(INDIRECT(Equipo!$G$4&amp;"!B10:B1000"),$B76,INDIRECT(Equipo!$G$4&amp;"!"&amp;ADDRESS(10,COLUMN(D$9)-1)&amp;":"&amp;ADDRESS(1000,COLUMN(D$9)-1)))))</f>
        <v>-</v>
      </c>
      <c r="E76" s="19" t="str">
        <f t="array" ref="E76">IF(ISBLANK(Tareas!$B72),"-",SUM(
SUMIF(INDIRECT(Equipo!$C$4&amp;"!B10:B1000"),$B76,INDIRECT(Equipo!$C$4&amp;"!"&amp;ADDRESS(10,COLUMN(E$9)-1)&amp;":"&amp;ADDRESS(1000,COLUMN(E$9)-1))),
SUMIF(INDIRECT(Equipo!$D$4&amp;"!B10:B1000"),$B76,INDIRECT(Equipo!$D$4&amp;"!"&amp;ADDRESS(10,COLUMN(E$9)-1)&amp;":"&amp;ADDRESS(1000,COLUMN(E$9)-1))),
SUMIF(INDIRECT(Equipo!$E$4&amp;"!B10:B1000"),$B76,INDIRECT(Equipo!$E$4&amp;"!"&amp;ADDRESS(10,COLUMN(E$9)-1)&amp;":"&amp;ADDRESS(1000,COLUMN(E$9)-1))),
SUMIF(INDIRECT(Equipo!$F$4&amp;"!B10:B1000"),$B76,INDIRECT(Equipo!$F$4&amp;"!"&amp;ADDRESS(10,COLUMN(E$9)-1)&amp;":"&amp;ADDRESS(1000,COLUMN(E$9)-1))),
SUMIF(INDIRECT(Equipo!$G$4&amp;"!B10:B1000"),$B76,INDIRECT(Equipo!$G$4&amp;"!"&amp;ADDRESS(10,COLUMN(E$9)-1)&amp;":"&amp;ADDRESS(1000,COLUMN(E$9)-1)))))</f>
        <v>-</v>
      </c>
      <c r="F76" s="19" t="str">
        <f t="array" ref="F76">IF(ISBLANK(Tareas!$B72),"-",SUM(
SUMIF(INDIRECT(Equipo!$C$4&amp;"!B10:B1000"),$B76,INDIRECT(Equipo!$C$4&amp;"!"&amp;ADDRESS(10,COLUMN(F$9)-1)&amp;":"&amp;ADDRESS(1000,COLUMN(F$9)-1))),
SUMIF(INDIRECT(Equipo!$D$4&amp;"!B10:B1000"),$B76,INDIRECT(Equipo!$D$4&amp;"!"&amp;ADDRESS(10,COLUMN(F$9)-1)&amp;":"&amp;ADDRESS(1000,COLUMN(F$9)-1))),
SUMIF(INDIRECT(Equipo!$E$4&amp;"!B10:B1000"),$B76,INDIRECT(Equipo!$E$4&amp;"!"&amp;ADDRESS(10,COLUMN(F$9)-1)&amp;":"&amp;ADDRESS(1000,COLUMN(F$9)-1))),
SUMIF(INDIRECT(Equipo!$F$4&amp;"!B10:B1000"),$B76,INDIRECT(Equipo!$F$4&amp;"!"&amp;ADDRESS(10,COLUMN(F$9)-1)&amp;":"&amp;ADDRESS(1000,COLUMN(F$9)-1))),
SUMIF(INDIRECT(Equipo!$G$4&amp;"!B10:B1000"),$B76,INDIRECT(Equipo!$G$4&amp;"!"&amp;ADDRESS(10,COLUMN(F$9)-1)&amp;":"&amp;ADDRESS(1000,COLUMN(F$9)-1)))))</f>
        <v>-</v>
      </c>
      <c r="G76" s="19" t="str">
        <f t="array" ref="G76">IF(ISBLANK(Tareas!$B72),"-",SUM(
SUMIF(INDIRECT(Equipo!$C$4&amp;"!B10:B1000"),$B76,INDIRECT(Equipo!$C$4&amp;"!"&amp;ADDRESS(10,COLUMN(G$9)-1)&amp;":"&amp;ADDRESS(1000,COLUMN(G$9)-1))),
SUMIF(INDIRECT(Equipo!$D$4&amp;"!B10:B1000"),$B76,INDIRECT(Equipo!$D$4&amp;"!"&amp;ADDRESS(10,COLUMN(G$9)-1)&amp;":"&amp;ADDRESS(1000,COLUMN(G$9)-1))),
SUMIF(INDIRECT(Equipo!$E$4&amp;"!B10:B1000"),$B76,INDIRECT(Equipo!$E$4&amp;"!"&amp;ADDRESS(10,COLUMN(G$9)-1)&amp;":"&amp;ADDRESS(1000,COLUMN(G$9)-1))),
SUMIF(INDIRECT(Equipo!$F$4&amp;"!B10:B1000"),$B76,INDIRECT(Equipo!$F$4&amp;"!"&amp;ADDRESS(10,COLUMN(G$9)-1)&amp;":"&amp;ADDRESS(1000,COLUMN(G$9)-1))),
SUMIF(INDIRECT(Equipo!$G$4&amp;"!B10:B1000"),$B76,INDIRECT(Equipo!$G$4&amp;"!"&amp;ADDRESS(10,COLUMN(G$9)-1)&amp;":"&amp;ADDRESS(1000,COLUMN(G$9)-1)))))</f>
        <v>-</v>
      </c>
      <c r="H76" s="19" t="str">
        <f t="array" ref="H76">IF(ISBLANK(Tareas!$B72),"-",SUM(
SUMIF(INDIRECT(Equipo!$C$4&amp;"!B10:B1000"),$B76,INDIRECT(Equipo!$C$4&amp;"!"&amp;ADDRESS(10,COLUMN(H$9)-1)&amp;":"&amp;ADDRESS(1000,COLUMN(H$9)-1))),
SUMIF(INDIRECT(Equipo!$D$4&amp;"!B10:B1000"),$B76,INDIRECT(Equipo!$D$4&amp;"!"&amp;ADDRESS(10,COLUMN(H$9)-1)&amp;":"&amp;ADDRESS(1000,COLUMN(H$9)-1))),
SUMIF(INDIRECT(Equipo!$E$4&amp;"!B10:B1000"),$B76,INDIRECT(Equipo!$E$4&amp;"!"&amp;ADDRESS(10,COLUMN(H$9)-1)&amp;":"&amp;ADDRESS(1000,COLUMN(H$9)-1))),
SUMIF(INDIRECT(Equipo!$F$4&amp;"!B10:B1000"),$B76,INDIRECT(Equipo!$F$4&amp;"!"&amp;ADDRESS(10,COLUMN(H$9)-1)&amp;":"&amp;ADDRESS(1000,COLUMN(H$9)-1))),
SUMIF(INDIRECT(Equipo!$G$4&amp;"!B10:B1000"),$B76,INDIRECT(Equipo!$G$4&amp;"!"&amp;ADDRESS(10,COLUMN(H$9)-1)&amp;":"&amp;ADDRESS(1000,COLUMN(H$9)-1)))))</f>
        <v>-</v>
      </c>
      <c r="I76" s="19" t="str">
        <f t="array" ref="I76">IF(ISBLANK(Tareas!$B72),"-",SUM(
SUMIF(INDIRECT(Equipo!$C$4&amp;"!B10:B1000"),$B76,INDIRECT(Equipo!$C$4&amp;"!"&amp;ADDRESS(10,COLUMN(I$9)-1)&amp;":"&amp;ADDRESS(1000,COLUMN(I$9)-1))),
SUMIF(INDIRECT(Equipo!$D$4&amp;"!B10:B1000"),$B76,INDIRECT(Equipo!$D$4&amp;"!"&amp;ADDRESS(10,COLUMN(I$9)-1)&amp;":"&amp;ADDRESS(1000,COLUMN(I$9)-1))),
SUMIF(INDIRECT(Equipo!$E$4&amp;"!B10:B1000"),$B76,INDIRECT(Equipo!$E$4&amp;"!"&amp;ADDRESS(10,COLUMN(I$9)-1)&amp;":"&amp;ADDRESS(1000,COLUMN(I$9)-1))),
SUMIF(INDIRECT(Equipo!$F$4&amp;"!B10:B1000"),$B76,INDIRECT(Equipo!$F$4&amp;"!"&amp;ADDRESS(10,COLUMN(I$9)-1)&amp;":"&amp;ADDRESS(1000,COLUMN(I$9)-1))),
SUMIF(INDIRECT(Equipo!$G$4&amp;"!B10:B1000"),$B76,INDIRECT(Equipo!$G$4&amp;"!"&amp;ADDRESS(10,COLUMN(I$9)-1)&amp;":"&amp;ADDRESS(1000,COLUMN(I$9)-1)))))</f>
        <v>-</v>
      </c>
      <c r="J76" s="19" t="str">
        <f t="array" ref="J76">IF(ISBLANK(Tareas!$B72),"-",SUM(
SUMIF(INDIRECT(Equipo!$C$4&amp;"!B10:B1000"),$B76,INDIRECT(Equipo!$C$4&amp;"!"&amp;ADDRESS(10,COLUMN(J$9)-1)&amp;":"&amp;ADDRESS(1000,COLUMN(J$9)-1))),
SUMIF(INDIRECT(Equipo!$D$4&amp;"!B10:B1000"),$B76,INDIRECT(Equipo!$D$4&amp;"!"&amp;ADDRESS(10,COLUMN(J$9)-1)&amp;":"&amp;ADDRESS(1000,COLUMN(J$9)-1))),
SUMIF(INDIRECT(Equipo!$E$4&amp;"!B10:B1000"),$B76,INDIRECT(Equipo!$E$4&amp;"!"&amp;ADDRESS(10,COLUMN(J$9)-1)&amp;":"&amp;ADDRESS(1000,COLUMN(J$9)-1))),
SUMIF(INDIRECT(Equipo!$F$4&amp;"!B10:B1000"),$B76,INDIRECT(Equipo!$F$4&amp;"!"&amp;ADDRESS(10,COLUMN(J$9)-1)&amp;":"&amp;ADDRESS(1000,COLUMN(J$9)-1))),
SUMIF(INDIRECT(Equipo!$G$4&amp;"!B10:B1000"),$B76,INDIRECT(Equipo!$G$4&amp;"!"&amp;ADDRESS(10,COLUMN(J$9)-1)&amp;":"&amp;ADDRESS(1000,COLUMN(J$9)-1)))))</f>
        <v>-</v>
      </c>
      <c r="K76" s="19" t="str">
        <f t="array" ref="K76">IF(ISBLANK(Tareas!$B72),"-",SUM(
SUMIF(INDIRECT(Equipo!$C$4&amp;"!B10:B1000"),$B76,INDIRECT(Equipo!$C$4&amp;"!"&amp;ADDRESS(10,COLUMN(K$9)-1)&amp;":"&amp;ADDRESS(1000,COLUMN(K$9)-1))),
SUMIF(INDIRECT(Equipo!$D$4&amp;"!B10:B1000"),$B76,INDIRECT(Equipo!$D$4&amp;"!"&amp;ADDRESS(10,COLUMN(K$9)-1)&amp;":"&amp;ADDRESS(1000,COLUMN(K$9)-1))),
SUMIF(INDIRECT(Equipo!$E$4&amp;"!B10:B1000"),$B76,INDIRECT(Equipo!$E$4&amp;"!"&amp;ADDRESS(10,COLUMN(K$9)-1)&amp;":"&amp;ADDRESS(1000,COLUMN(K$9)-1))),
SUMIF(INDIRECT(Equipo!$F$4&amp;"!B10:B1000"),$B76,INDIRECT(Equipo!$F$4&amp;"!"&amp;ADDRESS(10,COLUMN(K$9)-1)&amp;":"&amp;ADDRESS(1000,COLUMN(K$9)-1))),
SUMIF(INDIRECT(Equipo!$G$4&amp;"!B10:B1000"),$B76,INDIRECT(Equipo!$G$4&amp;"!"&amp;ADDRESS(10,COLUMN(K$9)-1)&amp;":"&amp;ADDRESS(1000,COLUMN(K$9)-1)))))</f>
        <v>-</v>
      </c>
    </row>
    <row r="77" ht="15.75" customHeight="1">
      <c r="B77" s="1" t="str">
        <f>IF(ISBLANK(Tareas!B73)," - ",Tareas!B73)</f>
        <v> - </v>
      </c>
      <c r="D77" s="19" t="str">
        <f t="array" ref="D77">IF(ISBLANK(Tareas!$B73),"-",SUM(
SUMIF(INDIRECT(Equipo!$C$4&amp;"!B10:B1000"),$B77,INDIRECT(Equipo!$C$4&amp;"!"&amp;ADDRESS(10,COLUMN(D$9)-1)&amp;":"&amp;ADDRESS(1000,COLUMN(D$9)-1))),
SUMIF(INDIRECT(Equipo!$D$4&amp;"!B10:B1000"),$B77,INDIRECT(Equipo!$D$4&amp;"!"&amp;ADDRESS(10,COLUMN(D$9)-1)&amp;":"&amp;ADDRESS(1000,COLUMN(D$9)-1))),
SUMIF(INDIRECT(Equipo!$E$4&amp;"!B10:B1000"),$B77,INDIRECT(Equipo!$E$4&amp;"!"&amp;ADDRESS(10,COLUMN(D$9)-1)&amp;":"&amp;ADDRESS(1000,COLUMN(D$9)-1))),
SUMIF(INDIRECT(Equipo!$F$4&amp;"!B10:B1000"),$B77,INDIRECT(Equipo!$F$4&amp;"!"&amp;ADDRESS(10,COLUMN(D$9)-1)&amp;":"&amp;ADDRESS(1000,COLUMN(D$9)-1))),
SUMIF(INDIRECT(Equipo!$G$4&amp;"!B10:B1000"),$B77,INDIRECT(Equipo!$G$4&amp;"!"&amp;ADDRESS(10,COLUMN(D$9)-1)&amp;":"&amp;ADDRESS(1000,COLUMN(D$9)-1)))))</f>
        <v>-</v>
      </c>
      <c r="E77" s="19" t="str">
        <f t="array" ref="E77">IF(ISBLANK(Tareas!$B73),"-",SUM(
SUMIF(INDIRECT(Equipo!$C$4&amp;"!B10:B1000"),$B77,INDIRECT(Equipo!$C$4&amp;"!"&amp;ADDRESS(10,COLUMN(E$9)-1)&amp;":"&amp;ADDRESS(1000,COLUMN(E$9)-1))),
SUMIF(INDIRECT(Equipo!$D$4&amp;"!B10:B1000"),$B77,INDIRECT(Equipo!$D$4&amp;"!"&amp;ADDRESS(10,COLUMN(E$9)-1)&amp;":"&amp;ADDRESS(1000,COLUMN(E$9)-1))),
SUMIF(INDIRECT(Equipo!$E$4&amp;"!B10:B1000"),$B77,INDIRECT(Equipo!$E$4&amp;"!"&amp;ADDRESS(10,COLUMN(E$9)-1)&amp;":"&amp;ADDRESS(1000,COLUMN(E$9)-1))),
SUMIF(INDIRECT(Equipo!$F$4&amp;"!B10:B1000"),$B77,INDIRECT(Equipo!$F$4&amp;"!"&amp;ADDRESS(10,COLUMN(E$9)-1)&amp;":"&amp;ADDRESS(1000,COLUMN(E$9)-1))),
SUMIF(INDIRECT(Equipo!$G$4&amp;"!B10:B1000"),$B77,INDIRECT(Equipo!$G$4&amp;"!"&amp;ADDRESS(10,COLUMN(E$9)-1)&amp;":"&amp;ADDRESS(1000,COLUMN(E$9)-1)))))</f>
        <v>-</v>
      </c>
      <c r="F77" s="19" t="str">
        <f t="array" ref="F77">IF(ISBLANK(Tareas!$B73),"-",SUM(
SUMIF(INDIRECT(Equipo!$C$4&amp;"!B10:B1000"),$B77,INDIRECT(Equipo!$C$4&amp;"!"&amp;ADDRESS(10,COLUMN(F$9)-1)&amp;":"&amp;ADDRESS(1000,COLUMN(F$9)-1))),
SUMIF(INDIRECT(Equipo!$D$4&amp;"!B10:B1000"),$B77,INDIRECT(Equipo!$D$4&amp;"!"&amp;ADDRESS(10,COLUMN(F$9)-1)&amp;":"&amp;ADDRESS(1000,COLUMN(F$9)-1))),
SUMIF(INDIRECT(Equipo!$E$4&amp;"!B10:B1000"),$B77,INDIRECT(Equipo!$E$4&amp;"!"&amp;ADDRESS(10,COLUMN(F$9)-1)&amp;":"&amp;ADDRESS(1000,COLUMN(F$9)-1))),
SUMIF(INDIRECT(Equipo!$F$4&amp;"!B10:B1000"),$B77,INDIRECT(Equipo!$F$4&amp;"!"&amp;ADDRESS(10,COLUMN(F$9)-1)&amp;":"&amp;ADDRESS(1000,COLUMN(F$9)-1))),
SUMIF(INDIRECT(Equipo!$G$4&amp;"!B10:B1000"),$B77,INDIRECT(Equipo!$G$4&amp;"!"&amp;ADDRESS(10,COLUMN(F$9)-1)&amp;":"&amp;ADDRESS(1000,COLUMN(F$9)-1)))))</f>
        <v>-</v>
      </c>
      <c r="G77" s="19" t="str">
        <f t="array" ref="G77">IF(ISBLANK(Tareas!$B73),"-",SUM(
SUMIF(INDIRECT(Equipo!$C$4&amp;"!B10:B1000"),$B77,INDIRECT(Equipo!$C$4&amp;"!"&amp;ADDRESS(10,COLUMN(G$9)-1)&amp;":"&amp;ADDRESS(1000,COLUMN(G$9)-1))),
SUMIF(INDIRECT(Equipo!$D$4&amp;"!B10:B1000"),$B77,INDIRECT(Equipo!$D$4&amp;"!"&amp;ADDRESS(10,COLUMN(G$9)-1)&amp;":"&amp;ADDRESS(1000,COLUMN(G$9)-1))),
SUMIF(INDIRECT(Equipo!$E$4&amp;"!B10:B1000"),$B77,INDIRECT(Equipo!$E$4&amp;"!"&amp;ADDRESS(10,COLUMN(G$9)-1)&amp;":"&amp;ADDRESS(1000,COLUMN(G$9)-1))),
SUMIF(INDIRECT(Equipo!$F$4&amp;"!B10:B1000"),$B77,INDIRECT(Equipo!$F$4&amp;"!"&amp;ADDRESS(10,COLUMN(G$9)-1)&amp;":"&amp;ADDRESS(1000,COLUMN(G$9)-1))),
SUMIF(INDIRECT(Equipo!$G$4&amp;"!B10:B1000"),$B77,INDIRECT(Equipo!$G$4&amp;"!"&amp;ADDRESS(10,COLUMN(G$9)-1)&amp;":"&amp;ADDRESS(1000,COLUMN(G$9)-1)))))</f>
        <v>-</v>
      </c>
      <c r="H77" s="19" t="str">
        <f t="array" ref="H77">IF(ISBLANK(Tareas!$B73),"-",SUM(
SUMIF(INDIRECT(Equipo!$C$4&amp;"!B10:B1000"),$B77,INDIRECT(Equipo!$C$4&amp;"!"&amp;ADDRESS(10,COLUMN(H$9)-1)&amp;":"&amp;ADDRESS(1000,COLUMN(H$9)-1))),
SUMIF(INDIRECT(Equipo!$D$4&amp;"!B10:B1000"),$B77,INDIRECT(Equipo!$D$4&amp;"!"&amp;ADDRESS(10,COLUMN(H$9)-1)&amp;":"&amp;ADDRESS(1000,COLUMN(H$9)-1))),
SUMIF(INDIRECT(Equipo!$E$4&amp;"!B10:B1000"),$B77,INDIRECT(Equipo!$E$4&amp;"!"&amp;ADDRESS(10,COLUMN(H$9)-1)&amp;":"&amp;ADDRESS(1000,COLUMN(H$9)-1))),
SUMIF(INDIRECT(Equipo!$F$4&amp;"!B10:B1000"),$B77,INDIRECT(Equipo!$F$4&amp;"!"&amp;ADDRESS(10,COLUMN(H$9)-1)&amp;":"&amp;ADDRESS(1000,COLUMN(H$9)-1))),
SUMIF(INDIRECT(Equipo!$G$4&amp;"!B10:B1000"),$B77,INDIRECT(Equipo!$G$4&amp;"!"&amp;ADDRESS(10,COLUMN(H$9)-1)&amp;":"&amp;ADDRESS(1000,COLUMN(H$9)-1)))))</f>
        <v>-</v>
      </c>
      <c r="I77" s="19" t="str">
        <f t="array" ref="I77">IF(ISBLANK(Tareas!$B73),"-",SUM(
SUMIF(INDIRECT(Equipo!$C$4&amp;"!B10:B1000"),$B77,INDIRECT(Equipo!$C$4&amp;"!"&amp;ADDRESS(10,COLUMN(I$9)-1)&amp;":"&amp;ADDRESS(1000,COLUMN(I$9)-1))),
SUMIF(INDIRECT(Equipo!$D$4&amp;"!B10:B1000"),$B77,INDIRECT(Equipo!$D$4&amp;"!"&amp;ADDRESS(10,COLUMN(I$9)-1)&amp;":"&amp;ADDRESS(1000,COLUMN(I$9)-1))),
SUMIF(INDIRECT(Equipo!$E$4&amp;"!B10:B1000"),$B77,INDIRECT(Equipo!$E$4&amp;"!"&amp;ADDRESS(10,COLUMN(I$9)-1)&amp;":"&amp;ADDRESS(1000,COLUMN(I$9)-1))),
SUMIF(INDIRECT(Equipo!$F$4&amp;"!B10:B1000"),$B77,INDIRECT(Equipo!$F$4&amp;"!"&amp;ADDRESS(10,COLUMN(I$9)-1)&amp;":"&amp;ADDRESS(1000,COLUMN(I$9)-1))),
SUMIF(INDIRECT(Equipo!$G$4&amp;"!B10:B1000"),$B77,INDIRECT(Equipo!$G$4&amp;"!"&amp;ADDRESS(10,COLUMN(I$9)-1)&amp;":"&amp;ADDRESS(1000,COLUMN(I$9)-1)))))</f>
        <v>-</v>
      </c>
      <c r="J77" s="19" t="str">
        <f t="array" ref="J77">IF(ISBLANK(Tareas!$B73),"-",SUM(
SUMIF(INDIRECT(Equipo!$C$4&amp;"!B10:B1000"),$B77,INDIRECT(Equipo!$C$4&amp;"!"&amp;ADDRESS(10,COLUMN(J$9)-1)&amp;":"&amp;ADDRESS(1000,COLUMN(J$9)-1))),
SUMIF(INDIRECT(Equipo!$D$4&amp;"!B10:B1000"),$B77,INDIRECT(Equipo!$D$4&amp;"!"&amp;ADDRESS(10,COLUMN(J$9)-1)&amp;":"&amp;ADDRESS(1000,COLUMN(J$9)-1))),
SUMIF(INDIRECT(Equipo!$E$4&amp;"!B10:B1000"),$B77,INDIRECT(Equipo!$E$4&amp;"!"&amp;ADDRESS(10,COLUMN(J$9)-1)&amp;":"&amp;ADDRESS(1000,COLUMN(J$9)-1))),
SUMIF(INDIRECT(Equipo!$F$4&amp;"!B10:B1000"),$B77,INDIRECT(Equipo!$F$4&amp;"!"&amp;ADDRESS(10,COLUMN(J$9)-1)&amp;":"&amp;ADDRESS(1000,COLUMN(J$9)-1))),
SUMIF(INDIRECT(Equipo!$G$4&amp;"!B10:B1000"),$B77,INDIRECT(Equipo!$G$4&amp;"!"&amp;ADDRESS(10,COLUMN(J$9)-1)&amp;":"&amp;ADDRESS(1000,COLUMN(J$9)-1)))))</f>
        <v>-</v>
      </c>
      <c r="K77" s="19" t="str">
        <f t="array" ref="K77">IF(ISBLANK(Tareas!$B73),"-",SUM(
SUMIF(INDIRECT(Equipo!$C$4&amp;"!B10:B1000"),$B77,INDIRECT(Equipo!$C$4&amp;"!"&amp;ADDRESS(10,COLUMN(K$9)-1)&amp;":"&amp;ADDRESS(1000,COLUMN(K$9)-1))),
SUMIF(INDIRECT(Equipo!$D$4&amp;"!B10:B1000"),$B77,INDIRECT(Equipo!$D$4&amp;"!"&amp;ADDRESS(10,COLUMN(K$9)-1)&amp;":"&amp;ADDRESS(1000,COLUMN(K$9)-1))),
SUMIF(INDIRECT(Equipo!$E$4&amp;"!B10:B1000"),$B77,INDIRECT(Equipo!$E$4&amp;"!"&amp;ADDRESS(10,COLUMN(K$9)-1)&amp;":"&amp;ADDRESS(1000,COLUMN(K$9)-1))),
SUMIF(INDIRECT(Equipo!$F$4&amp;"!B10:B1000"),$B77,INDIRECT(Equipo!$F$4&amp;"!"&amp;ADDRESS(10,COLUMN(K$9)-1)&amp;":"&amp;ADDRESS(1000,COLUMN(K$9)-1))),
SUMIF(INDIRECT(Equipo!$G$4&amp;"!B10:B1000"),$B77,INDIRECT(Equipo!$G$4&amp;"!"&amp;ADDRESS(10,COLUMN(K$9)-1)&amp;":"&amp;ADDRESS(1000,COLUMN(K$9)-1)))))</f>
        <v>-</v>
      </c>
    </row>
    <row r="78" ht="15.75" customHeight="1">
      <c r="B78" s="1" t="str">
        <f>IF(ISBLANK(Tareas!B74)," - ",Tareas!B74)</f>
        <v> - </v>
      </c>
      <c r="D78" s="19" t="str">
        <f t="array" ref="D78">IF(ISBLANK(Tareas!$B74),"-",SUM(
SUMIF(INDIRECT(Equipo!$C$4&amp;"!B10:B1000"),$B78,INDIRECT(Equipo!$C$4&amp;"!"&amp;ADDRESS(10,COLUMN(D$9)-1)&amp;":"&amp;ADDRESS(1000,COLUMN(D$9)-1))),
SUMIF(INDIRECT(Equipo!$D$4&amp;"!B10:B1000"),$B78,INDIRECT(Equipo!$D$4&amp;"!"&amp;ADDRESS(10,COLUMN(D$9)-1)&amp;":"&amp;ADDRESS(1000,COLUMN(D$9)-1))),
SUMIF(INDIRECT(Equipo!$E$4&amp;"!B10:B1000"),$B78,INDIRECT(Equipo!$E$4&amp;"!"&amp;ADDRESS(10,COLUMN(D$9)-1)&amp;":"&amp;ADDRESS(1000,COLUMN(D$9)-1))),
SUMIF(INDIRECT(Equipo!$F$4&amp;"!B10:B1000"),$B78,INDIRECT(Equipo!$F$4&amp;"!"&amp;ADDRESS(10,COLUMN(D$9)-1)&amp;":"&amp;ADDRESS(1000,COLUMN(D$9)-1))),
SUMIF(INDIRECT(Equipo!$G$4&amp;"!B10:B1000"),$B78,INDIRECT(Equipo!$G$4&amp;"!"&amp;ADDRESS(10,COLUMN(D$9)-1)&amp;":"&amp;ADDRESS(1000,COLUMN(D$9)-1)))))</f>
        <v>-</v>
      </c>
      <c r="E78" s="19" t="str">
        <f t="array" ref="E78">IF(ISBLANK(Tareas!$B74),"-",SUM(
SUMIF(INDIRECT(Equipo!$C$4&amp;"!B10:B1000"),$B78,INDIRECT(Equipo!$C$4&amp;"!"&amp;ADDRESS(10,COLUMN(E$9)-1)&amp;":"&amp;ADDRESS(1000,COLUMN(E$9)-1))),
SUMIF(INDIRECT(Equipo!$D$4&amp;"!B10:B1000"),$B78,INDIRECT(Equipo!$D$4&amp;"!"&amp;ADDRESS(10,COLUMN(E$9)-1)&amp;":"&amp;ADDRESS(1000,COLUMN(E$9)-1))),
SUMIF(INDIRECT(Equipo!$E$4&amp;"!B10:B1000"),$B78,INDIRECT(Equipo!$E$4&amp;"!"&amp;ADDRESS(10,COLUMN(E$9)-1)&amp;":"&amp;ADDRESS(1000,COLUMN(E$9)-1))),
SUMIF(INDIRECT(Equipo!$F$4&amp;"!B10:B1000"),$B78,INDIRECT(Equipo!$F$4&amp;"!"&amp;ADDRESS(10,COLUMN(E$9)-1)&amp;":"&amp;ADDRESS(1000,COLUMN(E$9)-1))),
SUMIF(INDIRECT(Equipo!$G$4&amp;"!B10:B1000"),$B78,INDIRECT(Equipo!$G$4&amp;"!"&amp;ADDRESS(10,COLUMN(E$9)-1)&amp;":"&amp;ADDRESS(1000,COLUMN(E$9)-1)))))</f>
        <v>-</v>
      </c>
      <c r="F78" s="19" t="str">
        <f t="array" ref="F78">IF(ISBLANK(Tareas!$B74),"-",SUM(
SUMIF(INDIRECT(Equipo!$C$4&amp;"!B10:B1000"),$B78,INDIRECT(Equipo!$C$4&amp;"!"&amp;ADDRESS(10,COLUMN(F$9)-1)&amp;":"&amp;ADDRESS(1000,COLUMN(F$9)-1))),
SUMIF(INDIRECT(Equipo!$D$4&amp;"!B10:B1000"),$B78,INDIRECT(Equipo!$D$4&amp;"!"&amp;ADDRESS(10,COLUMN(F$9)-1)&amp;":"&amp;ADDRESS(1000,COLUMN(F$9)-1))),
SUMIF(INDIRECT(Equipo!$E$4&amp;"!B10:B1000"),$B78,INDIRECT(Equipo!$E$4&amp;"!"&amp;ADDRESS(10,COLUMN(F$9)-1)&amp;":"&amp;ADDRESS(1000,COLUMN(F$9)-1))),
SUMIF(INDIRECT(Equipo!$F$4&amp;"!B10:B1000"),$B78,INDIRECT(Equipo!$F$4&amp;"!"&amp;ADDRESS(10,COLUMN(F$9)-1)&amp;":"&amp;ADDRESS(1000,COLUMN(F$9)-1))),
SUMIF(INDIRECT(Equipo!$G$4&amp;"!B10:B1000"),$B78,INDIRECT(Equipo!$G$4&amp;"!"&amp;ADDRESS(10,COLUMN(F$9)-1)&amp;":"&amp;ADDRESS(1000,COLUMN(F$9)-1)))))</f>
        <v>-</v>
      </c>
      <c r="G78" s="19" t="str">
        <f t="array" ref="G78">IF(ISBLANK(Tareas!$B74),"-",SUM(
SUMIF(INDIRECT(Equipo!$C$4&amp;"!B10:B1000"),$B78,INDIRECT(Equipo!$C$4&amp;"!"&amp;ADDRESS(10,COLUMN(G$9)-1)&amp;":"&amp;ADDRESS(1000,COLUMN(G$9)-1))),
SUMIF(INDIRECT(Equipo!$D$4&amp;"!B10:B1000"),$B78,INDIRECT(Equipo!$D$4&amp;"!"&amp;ADDRESS(10,COLUMN(G$9)-1)&amp;":"&amp;ADDRESS(1000,COLUMN(G$9)-1))),
SUMIF(INDIRECT(Equipo!$E$4&amp;"!B10:B1000"),$B78,INDIRECT(Equipo!$E$4&amp;"!"&amp;ADDRESS(10,COLUMN(G$9)-1)&amp;":"&amp;ADDRESS(1000,COLUMN(G$9)-1))),
SUMIF(INDIRECT(Equipo!$F$4&amp;"!B10:B1000"),$B78,INDIRECT(Equipo!$F$4&amp;"!"&amp;ADDRESS(10,COLUMN(G$9)-1)&amp;":"&amp;ADDRESS(1000,COLUMN(G$9)-1))),
SUMIF(INDIRECT(Equipo!$G$4&amp;"!B10:B1000"),$B78,INDIRECT(Equipo!$G$4&amp;"!"&amp;ADDRESS(10,COLUMN(G$9)-1)&amp;":"&amp;ADDRESS(1000,COLUMN(G$9)-1)))))</f>
        <v>-</v>
      </c>
      <c r="H78" s="19" t="str">
        <f t="array" ref="H78">IF(ISBLANK(Tareas!$B74),"-",SUM(
SUMIF(INDIRECT(Equipo!$C$4&amp;"!B10:B1000"),$B78,INDIRECT(Equipo!$C$4&amp;"!"&amp;ADDRESS(10,COLUMN(H$9)-1)&amp;":"&amp;ADDRESS(1000,COLUMN(H$9)-1))),
SUMIF(INDIRECT(Equipo!$D$4&amp;"!B10:B1000"),$B78,INDIRECT(Equipo!$D$4&amp;"!"&amp;ADDRESS(10,COLUMN(H$9)-1)&amp;":"&amp;ADDRESS(1000,COLUMN(H$9)-1))),
SUMIF(INDIRECT(Equipo!$E$4&amp;"!B10:B1000"),$B78,INDIRECT(Equipo!$E$4&amp;"!"&amp;ADDRESS(10,COLUMN(H$9)-1)&amp;":"&amp;ADDRESS(1000,COLUMN(H$9)-1))),
SUMIF(INDIRECT(Equipo!$F$4&amp;"!B10:B1000"),$B78,INDIRECT(Equipo!$F$4&amp;"!"&amp;ADDRESS(10,COLUMN(H$9)-1)&amp;":"&amp;ADDRESS(1000,COLUMN(H$9)-1))),
SUMIF(INDIRECT(Equipo!$G$4&amp;"!B10:B1000"),$B78,INDIRECT(Equipo!$G$4&amp;"!"&amp;ADDRESS(10,COLUMN(H$9)-1)&amp;":"&amp;ADDRESS(1000,COLUMN(H$9)-1)))))</f>
        <v>-</v>
      </c>
      <c r="I78" s="19" t="str">
        <f t="array" ref="I78">IF(ISBLANK(Tareas!$B74),"-",SUM(
SUMIF(INDIRECT(Equipo!$C$4&amp;"!B10:B1000"),$B78,INDIRECT(Equipo!$C$4&amp;"!"&amp;ADDRESS(10,COLUMN(I$9)-1)&amp;":"&amp;ADDRESS(1000,COLUMN(I$9)-1))),
SUMIF(INDIRECT(Equipo!$D$4&amp;"!B10:B1000"),$B78,INDIRECT(Equipo!$D$4&amp;"!"&amp;ADDRESS(10,COLUMN(I$9)-1)&amp;":"&amp;ADDRESS(1000,COLUMN(I$9)-1))),
SUMIF(INDIRECT(Equipo!$E$4&amp;"!B10:B1000"),$B78,INDIRECT(Equipo!$E$4&amp;"!"&amp;ADDRESS(10,COLUMN(I$9)-1)&amp;":"&amp;ADDRESS(1000,COLUMN(I$9)-1))),
SUMIF(INDIRECT(Equipo!$F$4&amp;"!B10:B1000"),$B78,INDIRECT(Equipo!$F$4&amp;"!"&amp;ADDRESS(10,COLUMN(I$9)-1)&amp;":"&amp;ADDRESS(1000,COLUMN(I$9)-1))),
SUMIF(INDIRECT(Equipo!$G$4&amp;"!B10:B1000"),$B78,INDIRECT(Equipo!$G$4&amp;"!"&amp;ADDRESS(10,COLUMN(I$9)-1)&amp;":"&amp;ADDRESS(1000,COLUMN(I$9)-1)))))</f>
        <v>-</v>
      </c>
      <c r="J78" s="19" t="str">
        <f t="array" ref="J78">IF(ISBLANK(Tareas!$B74),"-",SUM(
SUMIF(INDIRECT(Equipo!$C$4&amp;"!B10:B1000"),$B78,INDIRECT(Equipo!$C$4&amp;"!"&amp;ADDRESS(10,COLUMN(J$9)-1)&amp;":"&amp;ADDRESS(1000,COLUMN(J$9)-1))),
SUMIF(INDIRECT(Equipo!$D$4&amp;"!B10:B1000"),$B78,INDIRECT(Equipo!$D$4&amp;"!"&amp;ADDRESS(10,COLUMN(J$9)-1)&amp;":"&amp;ADDRESS(1000,COLUMN(J$9)-1))),
SUMIF(INDIRECT(Equipo!$E$4&amp;"!B10:B1000"),$B78,INDIRECT(Equipo!$E$4&amp;"!"&amp;ADDRESS(10,COLUMN(J$9)-1)&amp;":"&amp;ADDRESS(1000,COLUMN(J$9)-1))),
SUMIF(INDIRECT(Equipo!$F$4&amp;"!B10:B1000"),$B78,INDIRECT(Equipo!$F$4&amp;"!"&amp;ADDRESS(10,COLUMN(J$9)-1)&amp;":"&amp;ADDRESS(1000,COLUMN(J$9)-1))),
SUMIF(INDIRECT(Equipo!$G$4&amp;"!B10:B1000"),$B78,INDIRECT(Equipo!$G$4&amp;"!"&amp;ADDRESS(10,COLUMN(J$9)-1)&amp;":"&amp;ADDRESS(1000,COLUMN(J$9)-1)))))</f>
        <v>-</v>
      </c>
      <c r="K78" s="19" t="str">
        <f t="array" ref="K78">IF(ISBLANK(Tareas!$B74),"-",SUM(
SUMIF(INDIRECT(Equipo!$C$4&amp;"!B10:B1000"),$B78,INDIRECT(Equipo!$C$4&amp;"!"&amp;ADDRESS(10,COLUMN(K$9)-1)&amp;":"&amp;ADDRESS(1000,COLUMN(K$9)-1))),
SUMIF(INDIRECT(Equipo!$D$4&amp;"!B10:B1000"),$B78,INDIRECT(Equipo!$D$4&amp;"!"&amp;ADDRESS(10,COLUMN(K$9)-1)&amp;":"&amp;ADDRESS(1000,COLUMN(K$9)-1))),
SUMIF(INDIRECT(Equipo!$E$4&amp;"!B10:B1000"),$B78,INDIRECT(Equipo!$E$4&amp;"!"&amp;ADDRESS(10,COLUMN(K$9)-1)&amp;":"&amp;ADDRESS(1000,COLUMN(K$9)-1))),
SUMIF(INDIRECT(Equipo!$F$4&amp;"!B10:B1000"),$B78,INDIRECT(Equipo!$F$4&amp;"!"&amp;ADDRESS(10,COLUMN(K$9)-1)&amp;":"&amp;ADDRESS(1000,COLUMN(K$9)-1))),
SUMIF(INDIRECT(Equipo!$G$4&amp;"!B10:B1000"),$B78,INDIRECT(Equipo!$G$4&amp;"!"&amp;ADDRESS(10,COLUMN(K$9)-1)&amp;":"&amp;ADDRESS(1000,COLUMN(K$9)-1)))))</f>
        <v>-</v>
      </c>
    </row>
    <row r="79" ht="15.75" customHeight="1">
      <c r="B79" s="1" t="str">
        <f>IF(ISBLANK(Tareas!B75)," - ",Tareas!B75)</f>
        <v> - </v>
      </c>
      <c r="D79" s="19" t="str">
        <f t="array" ref="D79">IF(ISBLANK(Tareas!$B75),"-",SUM(
SUMIF(INDIRECT(Equipo!$C$4&amp;"!B10:B1000"),$B79,INDIRECT(Equipo!$C$4&amp;"!"&amp;ADDRESS(10,COLUMN(D$9)-1)&amp;":"&amp;ADDRESS(1000,COLUMN(D$9)-1))),
SUMIF(INDIRECT(Equipo!$D$4&amp;"!B10:B1000"),$B79,INDIRECT(Equipo!$D$4&amp;"!"&amp;ADDRESS(10,COLUMN(D$9)-1)&amp;":"&amp;ADDRESS(1000,COLUMN(D$9)-1))),
SUMIF(INDIRECT(Equipo!$E$4&amp;"!B10:B1000"),$B79,INDIRECT(Equipo!$E$4&amp;"!"&amp;ADDRESS(10,COLUMN(D$9)-1)&amp;":"&amp;ADDRESS(1000,COLUMN(D$9)-1))),
SUMIF(INDIRECT(Equipo!$F$4&amp;"!B10:B1000"),$B79,INDIRECT(Equipo!$F$4&amp;"!"&amp;ADDRESS(10,COLUMN(D$9)-1)&amp;":"&amp;ADDRESS(1000,COLUMN(D$9)-1))),
SUMIF(INDIRECT(Equipo!$G$4&amp;"!B10:B1000"),$B79,INDIRECT(Equipo!$G$4&amp;"!"&amp;ADDRESS(10,COLUMN(D$9)-1)&amp;":"&amp;ADDRESS(1000,COLUMN(D$9)-1)))))</f>
        <v>-</v>
      </c>
      <c r="E79" s="19" t="str">
        <f t="array" ref="E79">IF(ISBLANK(Tareas!$B75),"-",SUM(
SUMIF(INDIRECT(Equipo!$C$4&amp;"!B10:B1000"),$B79,INDIRECT(Equipo!$C$4&amp;"!"&amp;ADDRESS(10,COLUMN(E$9)-1)&amp;":"&amp;ADDRESS(1000,COLUMN(E$9)-1))),
SUMIF(INDIRECT(Equipo!$D$4&amp;"!B10:B1000"),$B79,INDIRECT(Equipo!$D$4&amp;"!"&amp;ADDRESS(10,COLUMN(E$9)-1)&amp;":"&amp;ADDRESS(1000,COLUMN(E$9)-1))),
SUMIF(INDIRECT(Equipo!$E$4&amp;"!B10:B1000"),$B79,INDIRECT(Equipo!$E$4&amp;"!"&amp;ADDRESS(10,COLUMN(E$9)-1)&amp;":"&amp;ADDRESS(1000,COLUMN(E$9)-1))),
SUMIF(INDIRECT(Equipo!$F$4&amp;"!B10:B1000"),$B79,INDIRECT(Equipo!$F$4&amp;"!"&amp;ADDRESS(10,COLUMN(E$9)-1)&amp;":"&amp;ADDRESS(1000,COLUMN(E$9)-1))),
SUMIF(INDIRECT(Equipo!$G$4&amp;"!B10:B1000"),$B79,INDIRECT(Equipo!$G$4&amp;"!"&amp;ADDRESS(10,COLUMN(E$9)-1)&amp;":"&amp;ADDRESS(1000,COLUMN(E$9)-1)))))</f>
        <v>-</v>
      </c>
      <c r="F79" s="19" t="str">
        <f t="array" ref="F79">IF(ISBLANK(Tareas!$B75),"-",SUM(
SUMIF(INDIRECT(Equipo!$C$4&amp;"!B10:B1000"),$B79,INDIRECT(Equipo!$C$4&amp;"!"&amp;ADDRESS(10,COLUMN(F$9)-1)&amp;":"&amp;ADDRESS(1000,COLUMN(F$9)-1))),
SUMIF(INDIRECT(Equipo!$D$4&amp;"!B10:B1000"),$B79,INDIRECT(Equipo!$D$4&amp;"!"&amp;ADDRESS(10,COLUMN(F$9)-1)&amp;":"&amp;ADDRESS(1000,COLUMN(F$9)-1))),
SUMIF(INDIRECT(Equipo!$E$4&amp;"!B10:B1000"),$B79,INDIRECT(Equipo!$E$4&amp;"!"&amp;ADDRESS(10,COLUMN(F$9)-1)&amp;":"&amp;ADDRESS(1000,COLUMN(F$9)-1))),
SUMIF(INDIRECT(Equipo!$F$4&amp;"!B10:B1000"),$B79,INDIRECT(Equipo!$F$4&amp;"!"&amp;ADDRESS(10,COLUMN(F$9)-1)&amp;":"&amp;ADDRESS(1000,COLUMN(F$9)-1))),
SUMIF(INDIRECT(Equipo!$G$4&amp;"!B10:B1000"),$B79,INDIRECT(Equipo!$G$4&amp;"!"&amp;ADDRESS(10,COLUMN(F$9)-1)&amp;":"&amp;ADDRESS(1000,COLUMN(F$9)-1)))))</f>
        <v>-</v>
      </c>
      <c r="G79" s="19" t="str">
        <f t="array" ref="G79">IF(ISBLANK(Tareas!$B75),"-",SUM(
SUMIF(INDIRECT(Equipo!$C$4&amp;"!B10:B1000"),$B79,INDIRECT(Equipo!$C$4&amp;"!"&amp;ADDRESS(10,COLUMN(G$9)-1)&amp;":"&amp;ADDRESS(1000,COLUMN(G$9)-1))),
SUMIF(INDIRECT(Equipo!$D$4&amp;"!B10:B1000"),$B79,INDIRECT(Equipo!$D$4&amp;"!"&amp;ADDRESS(10,COLUMN(G$9)-1)&amp;":"&amp;ADDRESS(1000,COLUMN(G$9)-1))),
SUMIF(INDIRECT(Equipo!$E$4&amp;"!B10:B1000"),$B79,INDIRECT(Equipo!$E$4&amp;"!"&amp;ADDRESS(10,COLUMN(G$9)-1)&amp;":"&amp;ADDRESS(1000,COLUMN(G$9)-1))),
SUMIF(INDIRECT(Equipo!$F$4&amp;"!B10:B1000"),$B79,INDIRECT(Equipo!$F$4&amp;"!"&amp;ADDRESS(10,COLUMN(G$9)-1)&amp;":"&amp;ADDRESS(1000,COLUMN(G$9)-1))),
SUMIF(INDIRECT(Equipo!$G$4&amp;"!B10:B1000"),$B79,INDIRECT(Equipo!$G$4&amp;"!"&amp;ADDRESS(10,COLUMN(G$9)-1)&amp;":"&amp;ADDRESS(1000,COLUMN(G$9)-1)))))</f>
        <v>-</v>
      </c>
      <c r="H79" s="19" t="str">
        <f t="array" ref="H79">IF(ISBLANK(Tareas!$B75),"-",SUM(
SUMIF(INDIRECT(Equipo!$C$4&amp;"!B10:B1000"),$B79,INDIRECT(Equipo!$C$4&amp;"!"&amp;ADDRESS(10,COLUMN(H$9)-1)&amp;":"&amp;ADDRESS(1000,COLUMN(H$9)-1))),
SUMIF(INDIRECT(Equipo!$D$4&amp;"!B10:B1000"),$B79,INDIRECT(Equipo!$D$4&amp;"!"&amp;ADDRESS(10,COLUMN(H$9)-1)&amp;":"&amp;ADDRESS(1000,COLUMN(H$9)-1))),
SUMIF(INDIRECT(Equipo!$E$4&amp;"!B10:B1000"),$B79,INDIRECT(Equipo!$E$4&amp;"!"&amp;ADDRESS(10,COLUMN(H$9)-1)&amp;":"&amp;ADDRESS(1000,COLUMN(H$9)-1))),
SUMIF(INDIRECT(Equipo!$F$4&amp;"!B10:B1000"),$B79,INDIRECT(Equipo!$F$4&amp;"!"&amp;ADDRESS(10,COLUMN(H$9)-1)&amp;":"&amp;ADDRESS(1000,COLUMN(H$9)-1))),
SUMIF(INDIRECT(Equipo!$G$4&amp;"!B10:B1000"),$B79,INDIRECT(Equipo!$G$4&amp;"!"&amp;ADDRESS(10,COLUMN(H$9)-1)&amp;":"&amp;ADDRESS(1000,COLUMN(H$9)-1)))))</f>
        <v>-</v>
      </c>
      <c r="I79" s="19" t="str">
        <f t="array" ref="I79">IF(ISBLANK(Tareas!$B75),"-",SUM(
SUMIF(INDIRECT(Equipo!$C$4&amp;"!B10:B1000"),$B79,INDIRECT(Equipo!$C$4&amp;"!"&amp;ADDRESS(10,COLUMN(I$9)-1)&amp;":"&amp;ADDRESS(1000,COLUMN(I$9)-1))),
SUMIF(INDIRECT(Equipo!$D$4&amp;"!B10:B1000"),$B79,INDIRECT(Equipo!$D$4&amp;"!"&amp;ADDRESS(10,COLUMN(I$9)-1)&amp;":"&amp;ADDRESS(1000,COLUMN(I$9)-1))),
SUMIF(INDIRECT(Equipo!$E$4&amp;"!B10:B1000"),$B79,INDIRECT(Equipo!$E$4&amp;"!"&amp;ADDRESS(10,COLUMN(I$9)-1)&amp;":"&amp;ADDRESS(1000,COLUMN(I$9)-1))),
SUMIF(INDIRECT(Equipo!$F$4&amp;"!B10:B1000"),$B79,INDIRECT(Equipo!$F$4&amp;"!"&amp;ADDRESS(10,COLUMN(I$9)-1)&amp;":"&amp;ADDRESS(1000,COLUMN(I$9)-1))),
SUMIF(INDIRECT(Equipo!$G$4&amp;"!B10:B1000"),$B79,INDIRECT(Equipo!$G$4&amp;"!"&amp;ADDRESS(10,COLUMN(I$9)-1)&amp;":"&amp;ADDRESS(1000,COLUMN(I$9)-1)))))</f>
        <v>-</v>
      </c>
      <c r="J79" s="19" t="str">
        <f t="array" ref="J79">IF(ISBLANK(Tareas!$B75),"-",SUM(
SUMIF(INDIRECT(Equipo!$C$4&amp;"!B10:B1000"),$B79,INDIRECT(Equipo!$C$4&amp;"!"&amp;ADDRESS(10,COLUMN(J$9)-1)&amp;":"&amp;ADDRESS(1000,COLUMN(J$9)-1))),
SUMIF(INDIRECT(Equipo!$D$4&amp;"!B10:B1000"),$B79,INDIRECT(Equipo!$D$4&amp;"!"&amp;ADDRESS(10,COLUMN(J$9)-1)&amp;":"&amp;ADDRESS(1000,COLUMN(J$9)-1))),
SUMIF(INDIRECT(Equipo!$E$4&amp;"!B10:B1000"),$B79,INDIRECT(Equipo!$E$4&amp;"!"&amp;ADDRESS(10,COLUMN(J$9)-1)&amp;":"&amp;ADDRESS(1000,COLUMN(J$9)-1))),
SUMIF(INDIRECT(Equipo!$F$4&amp;"!B10:B1000"),$B79,INDIRECT(Equipo!$F$4&amp;"!"&amp;ADDRESS(10,COLUMN(J$9)-1)&amp;":"&amp;ADDRESS(1000,COLUMN(J$9)-1))),
SUMIF(INDIRECT(Equipo!$G$4&amp;"!B10:B1000"),$B79,INDIRECT(Equipo!$G$4&amp;"!"&amp;ADDRESS(10,COLUMN(J$9)-1)&amp;":"&amp;ADDRESS(1000,COLUMN(J$9)-1)))))</f>
        <v>-</v>
      </c>
      <c r="K79" s="19" t="str">
        <f t="array" ref="K79">IF(ISBLANK(Tareas!$B75),"-",SUM(
SUMIF(INDIRECT(Equipo!$C$4&amp;"!B10:B1000"),$B79,INDIRECT(Equipo!$C$4&amp;"!"&amp;ADDRESS(10,COLUMN(K$9)-1)&amp;":"&amp;ADDRESS(1000,COLUMN(K$9)-1))),
SUMIF(INDIRECT(Equipo!$D$4&amp;"!B10:B1000"),$B79,INDIRECT(Equipo!$D$4&amp;"!"&amp;ADDRESS(10,COLUMN(K$9)-1)&amp;":"&amp;ADDRESS(1000,COLUMN(K$9)-1))),
SUMIF(INDIRECT(Equipo!$E$4&amp;"!B10:B1000"),$B79,INDIRECT(Equipo!$E$4&amp;"!"&amp;ADDRESS(10,COLUMN(K$9)-1)&amp;":"&amp;ADDRESS(1000,COLUMN(K$9)-1))),
SUMIF(INDIRECT(Equipo!$F$4&amp;"!B10:B1000"),$B79,INDIRECT(Equipo!$F$4&amp;"!"&amp;ADDRESS(10,COLUMN(K$9)-1)&amp;":"&amp;ADDRESS(1000,COLUMN(K$9)-1))),
SUMIF(INDIRECT(Equipo!$G$4&amp;"!B10:B1000"),$B79,INDIRECT(Equipo!$G$4&amp;"!"&amp;ADDRESS(10,COLUMN(K$9)-1)&amp;":"&amp;ADDRESS(1000,COLUMN(K$9)-1)))))</f>
        <v>-</v>
      </c>
    </row>
    <row r="80" ht="15.75" customHeight="1">
      <c r="B80" s="1" t="str">
        <f>IF(ISBLANK(Tareas!B76)," - ",Tareas!B76)</f>
        <v> - </v>
      </c>
      <c r="D80" s="19" t="str">
        <f t="array" ref="D80">IF(ISBLANK(Tareas!$B76),"-",SUM(
SUMIF(INDIRECT(Equipo!$C$4&amp;"!B10:B1000"),$B80,INDIRECT(Equipo!$C$4&amp;"!"&amp;ADDRESS(10,COLUMN(D$9)-1)&amp;":"&amp;ADDRESS(1000,COLUMN(D$9)-1))),
SUMIF(INDIRECT(Equipo!$D$4&amp;"!B10:B1000"),$B80,INDIRECT(Equipo!$D$4&amp;"!"&amp;ADDRESS(10,COLUMN(D$9)-1)&amp;":"&amp;ADDRESS(1000,COLUMN(D$9)-1))),
SUMIF(INDIRECT(Equipo!$E$4&amp;"!B10:B1000"),$B80,INDIRECT(Equipo!$E$4&amp;"!"&amp;ADDRESS(10,COLUMN(D$9)-1)&amp;":"&amp;ADDRESS(1000,COLUMN(D$9)-1))),
SUMIF(INDIRECT(Equipo!$F$4&amp;"!B10:B1000"),$B80,INDIRECT(Equipo!$F$4&amp;"!"&amp;ADDRESS(10,COLUMN(D$9)-1)&amp;":"&amp;ADDRESS(1000,COLUMN(D$9)-1))),
SUMIF(INDIRECT(Equipo!$G$4&amp;"!B10:B1000"),$B80,INDIRECT(Equipo!$G$4&amp;"!"&amp;ADDRESS(10,COLUMN(D$9)-1)&amp;":"&amp;ADDRESS(1000,COLUMN(D$9)-1)))))</f>
        <v>-</v>
      </c>
      <c r="E80" s="19" t="str">
        <f t="array" ref="E80">IF(ISBLANK(Tareas!$B76),"-",SUM(
SUMIF(INDIRECT(Equipo!$C$4&amp;"!B10:B1000"),$B80,INDIRECT(Equipo!$C$4&amp;"!"&amp;ADDRESS(10,COLUMN(E$9)-1)&amp;":"&amp;ADDRESS(1000,COLUMN(E$9)-1))),
SUMIF(INDIRECT(Equipo!$D$4&amp;"!B10:B1000"),$B80,INDIRECT(Equipo!$D$4&amp;"!"&amp;ADDRESS(10,COLUMN(E$9)-1)&amp;":"&amp;ADDRESS(1000,COLUMN(E$9)-1))),
SUMIF(INDIRECT(Equipo!$E$4&amp;"!B10:B1000"),$B80,INDIRECT(Equipo!$E$4&amp;"!"&amp;ADDRESS(10,COLUMN(E$9)-1)&amp;":"&amp;ADDRESS(1000,COLUMN(E$9)-1))),
SUMIF(INDIRECT(Equipo!$F$4&amp;"!B10:B1000"),$B80,INDIRECT(Equipo!$F$4&amp;"!"&amp;ADDRESS(10,COLUMN(E$9)-1)&amp;":"&amp;ADDRESS(1000,COLUMN(E$9)-1))),
SUMIF(INDIRECT(Equipo!$G$4&amp;"!B10:B1000"),$B80,INDIRECT(Equipo!$G$4&amp;"!"&amp;ADDRESS(10,COLUMN(E$9)-1)&amp;":"&amp;ADDRESS(1000,COLUMN(E$9)-1)))))</f>
        <v>-</v>
      </c>
      <c r="F80" s="19" t="str">
        <f t="array" ref="F80">IF(ISBLANK(Tareas!$B76),"-",SUM(
SUMIF(INDIRECT(Equipo!$C$4&amp;"!B10:B1000"),$B80,INDIRECT(Equipo!$C$4&amp;"!"&amp;ADDRESS(10,COLUMN(F$9)-1)&amp;":"&amp;ADDRESS(1000,COLUMN(F$9)-1))),
SUMIF(INDIRECT(Equipo!$D$4&amp;"!B10:B1000"),$B80,INDIRECT(Equipo!$D$4&amp;"!"&amp;ADDRESS(10,COLUMN(F$9)-1)&amp;":"&amp;ADDRESS(1000,COLUMN(F$9)-1))),
SUMIF(INDIRECT(Equipo!$E$4&amp;"!B10:B1000"),$B80,INDIRECT(Equipo!$E$4&amp;"!"&amp;ADDRESS(10,COLUMN(F$9)-1)&amp;":"&amp;ADDRESS(1000,COLUMN(F$9)-1))),
SUMIF(INDIRECT(Equipo!$F$4&amp;"!B10:B1000"),$B80,INDIRECT(Equipo!$F$4&amp;"!"&amp;ADDRESS(10,COLUMN(F$9)-1)&amp;":"&amp;ADDRESS(1000,COLUMN(F$9)-1))),
SUMIF(INDIRECT(Equipo!$G$4&amp;"!B10:B1000"),$B80,INDIRECT(Equipo!$G$4&amp;"!"&amp;ADDRESS(10,COLUMN(F$9)-1)&amp;":"&amp;ADDRESS(1000,COLUMN(F$9)-1)))))</f>
        <v>-</v>
      </c>
      <c r="G80" s="19" t="str">
        <f t="array" ref="G80">IF(ISBLANK(Tareas!$B76),"-",SUM(
SUMIF(INDIRECT(Equipo!$C$4&amp;"!B10:B1000"),$B80,INDIRECT(Equipo!$C$4&amp;"!"&amp;ADDRESS(10,COLUMN(G$9)-1)&amp;":"&amp;ADDRESS(1000,COLUMN(G$9)-1))),
SUMIF(INDIRECT(Equipo!$D$4&amp;"!B10:B1000"),$B80,INDIRECT(Equipo!$D$4&amp;"!"&amp;ADDRESS(10,COLUMN(G$9)-1)&amp;":"&amp;ADDRESS(1000,COLUMN(G$9)-1))),
SUMIF(INDIRECT(Equipo!$E$4&amp;"!B10:B1000"),$B80,INDIRECT(Equipo!$E$4&amp;"!"&amp;ADDRESS(10,COLUMN(G$9)-1)&amp;":"&amp;ADDRESS(1000,COLUMN(G$9)-1))),
SUMIF(INDIRECT(Equipo!$F$4&amp;"!B10:B1000"),$B80,INDIRECT(Equipo!$F$4&amp;"!"&amp;ADDRESS(10,COLUMN(G$9)-1)&amp;":"&amp;ADDRESS(1000,COLUMN(G$9)-1))),
SUMIF(INDIRECT(Equipo!$G$4&amp;"!B10:B1000"),$B80,INDIRECT(Equipo!$G$4&amp;"!"&amp;ADDRESS(10,COLUMN(G$9)-1)&amp;":"&amp;ADDRESS(1000,COLUMN(G$9)-1)))))</f>
        <v>-</v>
      </c>
      <c r="H80" s="19" t="str">
        <f t="array" ref="H80">IF(ISBLANK(Tareas!$B76),"-",SUM(
SUMIF(INDIRECT(Equipo!$C$4&amp;"!B10:B1000"),$B80,INDIRECT(Equipo!$C$4&amp;"!"&amp;ADDRESS(10,COLUMN(H$9)-1)&amp;":"&amp;ADDRESS(1000,COLUMN(H$9)-1))),
SUMIF(INDIRECT(Equipo!$D$4&amp;"!B10:B1000"),$B80,INDIRECT(Equipo!$D$4&amp;"!"&amp;ADDRESS(10,COLUMN(H$9)-1)&amp;":"&amp;ADDRESS(1000,COLUMN(H$9)-1))),
SUMIF(INDIRECT(Equipo!$E$4&amp;"!B10:B1000"),$B80,INDIRECT(Equipo!$E$4&amp;"!"&amp;ADDRESS(10,COLUMN(H$9)-1)&amp;":"&amp;ADDRESS(1000,COLUMN(H$9)-1))),
SUMIF(INDIRECT(Equipo!$F$4&amp;"!B10:B1000"),$B80,INDIRECT(Equipo!$F$4&amp;"!"&amp;ADDRESS(10,COLUMN(H$9)-1)&amp;":"&amp;ADDRESS(1000,COLUMN(H$9)-1))),
SUMIF(INDIRECT(Equipo!$G$4&amp;"!B10:B1000"),$B80,INDIRECT(Equipo!$G$4&amp;"!"&amp;ADDRESS(10,COLUMN(H$9)-1)&amp;":"&amp;ADDRESS(1000,COLUMN(H$9)-1)))))</f>
        <v>-</v>
      </c>
      <c r="I80" s="19" t="str">
        <f t="array" ref="I80">IF(ISBLANK(Tareas!$B76),"-",SUM(
SUMIF(INDIRECT(Equipo!$C$4&amp;"!B10:B1000"),$B80,INDIRECT(Equipo!$C$4&amp;"!"&amp;ADDRESS(10,COLUMN(I$9)-1)&amp;":"&amp;ADDRESS(1000,COLUMN(I$9)-1))),
SUMIF(INDIRECT(Equipo!$D$4&amp;"!B10:B1000"),$B80,INDIRECT(Equipo!$D$4&amp;"!"&amp;ADDRESS(10,COLUMN(I$9)-1)&amp;":"&amp;ADDRESS(1000,COLUMN(I$9)-1))),
SUMIF(INDIRECT(Equipo!$E$4&amp;"!B10:B1000"),$B80,INDIRECT(Equipo!$E$4&amp;"!"&amp;ADDRESS(10,COLUMN(I$9)-1)&amp;":"&amp;ADDRESS(1000,COLUMN(I$9)-1))),
SUMIF(INDIRECT(Equipo!$F$4&amp;"!B10:B1000"),$B80,INDIRECT(Equipo!$F$4&amp;"!"&amp;ADDRESS(10,COLUMN(I$9)-1)&amp;":"&amp;ADDRESS(1000,COLUMN(I$9)-1))),
SUMIF(INDIRECT(Equipo!$G$4&amp;"!B10:B1000"),$B80,INDIRECT(Equipo!$G$4&amp;"!"&amp;ADDRESS(10,COLUMN(I$9)-1)&amp;":"&amp;ADDRESS(1000,COLUMN(I$9)-1)))))</f>
        <v>-</v>
      </c>
      <c r="J80" s="19" t="str">
        <f t="array" ref="J80">IF(ISBLANK(Tareas!$B76),"-",SUM(
SUMIF(INDIRECT(Equipo!$C$4&amp;"!B10:B1000"),$B80,INDIRECT(Equipo!$C$4&amp;"!"&amp;ADDRESS(10,COLUMN(J$9)-1)&amp;":"&amp;ADDRESS(1000,COLUMN(J$9)-1))),
SUMIF(INDIRECT(Equipo!$D$4&amp;"!B10:B1000"),$B80,INDIRECT(Equipo!$D$4&amp;"!"&amp;ADDRESS(10,COLUMN(J$9)-1)&amp;":"&amp;ADDRESS(1000,COLUMN(J$9)-1))),
SUMIF(INDIRECT(Equipo!$E$4&amp;"!B10:B1000"),$B80,INDIRECT(Equipo!$E$4&amp;"!"&amp;ADDRESS(10,COLUMN(J$9)-1)&amp;":"&amp;ADDRESS(1000,COLUMN(J$9)-1))),
SUMIF(INDIRECT(Equipo!$F$4&amp;"!B10:B1000"),$B80,INDIRECT(Equipo!$F$4&amp;"!"&amp;ADDRESS(10,COLUMN(J$9)-1)&amp;":"&amp;ADDRESS(1000,COLUMN(J$9)-1))),
SUMIF(INDIRECT(Equipo!$G$4&amp;"!B10:B1000"),$B80,INDIRECT(Equipo!$G$4&amp;"!"&amp;ADDRESS(10,COLUMN(J$9)-1)&amp;":"&amp;ADDRESS(1000,COLUMN(J$9)-1)))))</f>
        <v>-</v>
      </c>
      <c r="K80" s="19" t="str">
        <f t="array" ref="K80">IF(ISBLANK(Tareas!$B76),"-",SUM(
SUMIF(INDIRECT(Equipo!$C$4&amp;"!B10:B1000"),$B80,INDIRECT(Equipo!$C$4&amp;"!"&amp;ADDRESS(10,COLUMN(K$9)-1)&amp;":"&amp;ADDRESS(1000,COLUMN(K$9)-1))),
SUMIF(INDIRECT(Equipo!$D$4&amp;"!B10:B1000"),$B80,INDIRECT(Equipo!$D$4&amp;"!"&amp;ADDRESS(10,COLUMN(K$9)-1)&amp;":"&amp;ADDRESS(1000,COLUMN(K$9)-1))),
SUMIF(INDIRECT(Equipo!$E$4&amp;"!B10:B1000"),$B80,INDIRECT(Equipo!$E$4&amp;"!"&amp;ADDRESS(10,COLUMN(K$9)-1)&amp;":"&amp;ADDRESS(1000,COLUMN(K$9)-1))),
SUMIF(INDIRECT(Equipo!$F$4&amp;"!B10:B1000"),$B80,INDIRECT(Equipo!$F$4&amp;"!"&amp;ADDRESS(10,COLUMN(K$9)-1)&amp;":"&amp;ADDRESS(1000,COLUMN(K$9)-1))),
SUMIF(INDIRECT(Equipo!$G$4&amp;"!B10:B1000"),$B80,INDIRECT(Equipo!$G$4&amp;"!"&amp;ADDRESS(10,COLUMN(K$9)-1)&amp;":"&amp;ADDRESS(1000,COLUMN(K$9)-1)))))</f>
        <v>-</v>
      </c>
    </row>
    <row r="81" ht="15.75" customHeight="1">
      <c r="B81" s="1" t="str">
        <f>IF(ISBLANK(Tareas!B77)," - ",Tareas!B77)</f>
        <v> - </v>
      </c>
      <c r="D81" s="19" t="str">
        <f t="array" ref="D81">IF(ISBLANK(Tareas!$B77),"-",SUM(
SUMIF(INDIRECT(Equipo!$C$4&amp;"!B10:B1000"),$B81,INDIRECT(Equipo!$C$4&amp;"!"&amp;ADDRESS(10,COLUMN(D$9)-1)&amp;":"&amp;ADDRESS(1000,COLUMN(D$9)-1))),
SUMIF(INDIRECT(Equipo!$D$4&amp;"!B10:B1000"),$B81,INDIRECT(Equipo!$D$4&amp;"!"&amp;ADDRESS(10,COLUMN(D$9)-1)&amp;":"&amp;ADDRESS(1000,COLUMN(D$9)-1))),
SUMIF(INDIRECT(Equipo!$E$4&amp;"!B10:B1000"),$B81,INDIRECT(Equipo!$E$4&amp;"!"&amp;ADDRESS(10,COLUMN(D$9)-1)&amp;":"&amp;ADDRESS(1000,COLUMN(D$9)-1))),
SUMIF(INDIRECT(Equipo!$F$4&amp;"!B10:B1000"),$B81,INDIRECT(Equipo!$F$4&amp;"!"&amp;ADDRESS(10,COLUMN(D$9)-1)&amp;":"&amp;ADDRESS(1000,COLUMN(D$9)-1))),
SUMIF(INDIRECT(Equipo!$G$4&amp;"!B10:B1000"),$B81,INDIRECT(Equipo!$G$4&amp;"!"&amp;ADDRESS(10,COLUMN(D$9)-1)&amp;":"&amp;ADDRESS(1000,COLUMN(D$9)-1)))))</f>
        <v>-</v>
      </c>
      <c r="E81" s="19" t="str">
        <f t="array" ref="E81">IF(ISBLANK(Tareas!$B77),"-",SUM(
SUMIF(INDIRECT(Equipo!$C$4&amp;"!B10:B1000"),$B81,INDIRECT(Equipo!$C$4&amp;"!"&amp;ADDRESS(10,COLUMN(E$9)-1)&amp;":"&amp;ADDRESS(1000,COLUMN(E$9)-1))),
SUMIF(INDIRECT(Equipo!$D$4&amp;"!B10:B1000"),$B81,INDIRECT(Equipo!$D$4&amp;"!"&amp;ADDRESS(10,COLUMN(E$9)-1)&amp;":"&amp;ADDRESS(1000,COLUMN(E$9)-1))),
SUMIF(INDIRECT(Equipo!$E$4&amp;"!B10:B1000"),$B81,INDIRECT(Equipo!$E$4&amp;"!"&amp;ADDRESS(10,COLUMN(E$9)-1)&amp;":"&amp;ADDRESS(1000,COLUMN(E$9)-1))),
SUMIF(INDIRECT(Equipo!$F$4&amp;"!B10:B1000"),$B81,INDIRECT(Equipo!$F$4&amp;"!"&amp;ADDRESS(10,COLUMN(E$9)-1)&amp;":"&amp;ADDRESS(1000,COLUMN(E$9)-1))),
SUMIF(INDIRECT(Equipo!$G$4&amp;"!B10:B1000"),$B81,INDIRECT(Equipo!$G$4&amp;"!"&amp;ADDRESS(10,COLUMN(E$9)-1)&amp;":"&amp;ADDRESS(1000,COLUMN(E$9)-1)))))</f>
        <v>-</v>
      </c>
      <c r="F81" s="19" t="str">
        <f t="array" ref="F81">IF(ISBLANK(Tareas!$B77),"-",SUM(
SUMIF(INDIRECT(Equipo!$C$4&amp;"!B10:B1000"),$B81,INDIRECT(Equipo!$C$4&amp;"!"&amp;ADDRESS(10,COLUMN(F$9)-1)&amp;":"&amp;ADDRESS(1000,COLUMN(F$9)-1))),
SUMIF(INDIRECT(Equipo!$D$4&amp;"!B10:B1000"),$B81,INDIRECT(Equipo!$D$4&amp;"!"&amp;ADDRESS(10,COLUMN(F$9)-1)&amp;":"&amp;ADDRESS(1000,COLUMN(F$9)-1))),
SUMIF(INDIRECT(Equipo!$E$4&amp;"!B10:B1000"),$B81,INDIRECT(Equipo!$E$4&amp;"!"&amp;ADDRESS(10,COLUMN(F$9)-1)&amp;":"&amp;ADDRESS(1000,COLUMN(F$9)-1))),
SUMIF(INDIRECT(Equipo!$F$4&amp;"!B10:B1000"),$B81,INDIRECT(Equipo!$F$4&amp;"!"&amp;ADDRESS(10,COLUMN(F$9)-1)&amp;":"&amp;ADDRESS(1000,COLUMN(F$9)-1))),
SUMIF(INDIRECT(Equipo!$G$4&amp;"!B10:B1000"),$B81,INDIRECT(Equipo!$G$4&amp;"!"&amp;ADDRESS(10,COLUMN(F$9)-1)&amp;":"&amp;ADDRESS(1000,COLUMN(F$9)-1)))))</f>
        <v>-</v>
      </c>
      <c r="G81" s="19" t="str">
        <f t="array" ref="G81">IF(ISBLANK(Tareas!$B77),"-",SUM(
SUMIF(INDIRECT(Equipo!$C$4&amp;"!B10:B1000"),$B81,INDIRECT(Equipo!$C$4&amp;"!"&amp;ADDRESS(10,COLUMN(G$9)-1)&amp;":"&amp;ADDRESS(1000,COLUMN(G$9)-1))),
SUMIF(INDIRECT(Equipo!$D$4&amp;"!B10:B1000"),$B81,INDIRECT(Equipo!$D$4&amp;"!"&amp;ADDRESS(10,COLUMN(G$9)-1)&amp;":"&amp;ADDRESS(1000,COLUMN(G$9)-1))),
SUMIF(INDIRECT(Equipo!$E$4&amp;"!B10:B1000"),$B81,INDIRECT(Equipo!$E$4&amp;"!"&amp;ADDRESS(10,COLUMN(G$9)-1)&amp;":"&amp;ADDRESS(1000,COLUMN(G$9)-1))),
SUMIF(INDIRECT(Equipo!$F$4&amp;"!B10:B1000"),$B81,INDIRECT(Equipo!$F$4&amp;"!"&amp;ADDRESS(10,COLUMN(G$9)-1)&amp;":"&amp;ADDRESS(1000,COLUMN(G$9)-1))),
SUMIF(INDIRECT(Equipo!$G$4&amp;"!B10:B1000"),$B81,INDIRECT(Equipo!$G$4&amp;"!"&amp;ADDRESS(10,COLUMN(G$9)-1)&amp;":"&amp;ADDRESS(1000,COLUMN(G$9)-1)))))</f>
        <v>-</v>
      </c>
      <c r="H81" s="19" t="str">
        <f t="array" ref="H81">IF(ISBLANK(Tareas!$B77),"-",SUM(
SUMIF(INDIRECT(Equipo!$C$4&amp;"!B10:B1000"),$B81,INDIRECT(Equipo!$C$4&amp;"!"&amp;ADDRESS(10,COLUMN(H$9)-1)&amp;":"&amp;ADDRESS(1000,COLUMN(H$9)-1))),
SUMIF(INDIRECT(Equipo!$D$4&amp;"!B10:B1000"),$B81,INDIRECT(Equipo!$D$4&amp;"!"&amp;ADDRESS(10,COLUMN(H$9)-1)&amp;":"&amp;ADDRESS(1000,COLUMN(H$9)-1))),
SUMIF(INDIRECT(Equipo!$E$4&amp;"!B10:B1000"),$B81,INDIRECT(Equipo!$E$4&amp;"!"&amp;ADDRESS(10,COLUMN(H$9)-1)&amp;":"&amp;ADDRESS(1000,COLUMN(H$9)-1))),
SUMIF(INDIRECT(Equipo!$F$4&amp;"!B10:B1000"),$B81,INDIRECT(Equipo!$F$4&amp;"!"&amp;ADDRESS(10,COLUMN(H$9)-1)&amp;":"&amp;ADDRESS(1000,COLUMN(H$9)-1))),
SUMIF(INDIRECT(Equipo!$G$4&amp;"!B10:B1000"),$B81,INDIRECT(Equipo!$G$4&amp;"!"&amp;ADDRESS(10,COLUMN(H$9)-1)&amp;":"&amp;ADDRESS(1000,COLUMN(H$9)-1)))))</f>
        <v>-</v>
      </c>
      <c r="I81" s="19" t="str">
        <f t="array" ref="I81">IF(ISBLANK(Tareas!$B77),"-",SUM(
SUMIF(INDIRECT(Equipo!$C$4&amp;"!B10:B1000"),$B81,INDIRECT(Equipo!$C$4&amp;"!"&amp;ADDRESS(10,COLUMN(I$9)-1)&amp;":"&amp;ADDRESS(1000,COLUMN(I$9)-1))),
SUMIF(INDIRECT(Equipo!$D$4&amp;"!B10:B1000"),$B81,INDIRECT(Equipo!$D$4&amp;"!"&amp;ADDRESS(10,COLUMN(I$9)-1)&amp;":"&amp;ADDRESS(1000,COLUMN(I$9)-1))),
SUMIF(INDIRECT(Equipo!$E$4&amp;"!B10:B1000"),$B81,INDIRECT(Equipo!$E$4&amp;"!"&amp;ADDRESS(10,COLUMN(I$9)-1)&amp;":"&amp;ADDRESS(1000,COLUMN(I$9)-1))),
SUMIF(INDIRECT(Equipo!$F$4&amp;"!B10:B1000"),$B81,INDIRECT(Equipo!$F$4&amp;"!"&amp;ADDRESS(10,COLUMN(I$9)-1)&amp;":"&amp;ADDRESS(1000,COLUMN(I$9)-1))),
SUMIF(INDIRECT(Equipo!$G$4&amp;"!B10:B1000"),$B81,INDIRECT(Equipo!$G$4&amp;"!"&amp;ADDRESS(10,COLUMN(I$9)-1)&amp;":"&amp;ADDRESS(1000,COLUMN(I$9)-1)))))</f>
        <v>-</v>
      </c>
      <c r="J81" s="19" t="str">
        <f t="array" ref="J81">IF(ISBLANK(Tareas!$B77),"-",SUM(
SUMIF(INDIRECT(Equipo!$C$4&amp;"!B10:B1000"),$B81,INDIRECT(Equipo!$C$4&amp;"!"&amp;ADDRESS(10,COLUMN(J$9)-1)&amp;":"&amp;ADDRESS(1000,COLUMN(J$9)-1))),
SUMIF(INDIRECT(Equipo!$D$4&amp;"!B10:B1000"),$B81,INDIRECT(Equipo!$D$4&amp;"!"&amp;ADDRESS(10,COLUMN(J$9)-1)&amp;":"&amp;ADDRESS(1000,COLUMN(J$9)-1))),
SUMIF(INDIRECT(Equipo!$E$4&amp;"!B10:B1000"),$B81,INDIRECT(Equipo!$E$4&amp;"!"&amp;ADDRESS(10,COLUMN(J$9)-1)&amp;":"&amp;ADDRESS(1000,COLUMN(J$9)-1))),
SUMIF(INDIRECT(Equipo!$F$4&amp;"!B10:B1000"),$B81,INDIRECT(Equipo!$F$4&amp;"!"&amp;ADDRESS(10,COLUMN(J$9)-1)&amp;":"&amp;ADDRESS(1000,COLUMN(J$9)-1))),
SUMIF(INDIRECT(Equipo!$G$4&amp;"!B10:B1000"),$B81,INDIRECT(Equipo!$G$4&amp;"!"&amp;ADDRESS(10,COLUMN(J$9)-1)&amp;":"&amp;ADDRESS(1000,COLUMN(J$9)-1)))))</f>
        <v>-</v>
      </c>
      <c r="K81" s="19" t="str">
        <f t="array" ref="K81">IF(ISBLANK(Tareas!$B77),"-",SUM(
SUMIF(INDIRECT(Equipo!$C$4&amp;"!B10:B1000"),$B81,INDIRECT(Equipo!$C$4&amp;"!"&amp;ADDRESS(10,COLUMN(K$9)-1)&amp;":"&amp;ADDRESS(1000,COLUMN(K$9)-1))),
SUMIF(INDIRECT(Equipo!$D$4&amp;"!B10:B1000"),$B81,INDIRECT(Equipo!$D$4&amp;"!"&amp;ADDRESS(10,COLUMN(K$9)-1)&amp;":"&amp;ADDRESS(1000,COLUMN(K$9)-1))),
SUMIF(INDIRECT(Equipo!$E$4&amp;"!B10:B1000"),$B81,INDIRECT(Equipo!$E$4&amp;"!"&amp;ADDRESS(10,COLUMN(K$9)-1)&amp;":"&amp;ADDRESS(1000,COLUMN(K$9)-1))),
SUMIF(INDIRECT(Equipo!$F$4&amp;"!B10:B1000"),$B81,INDIRECT(Equipo!$F$4&amp;"!"&amp;ADDRESS(10,COLUMN(K$9)-1)&amp;":"&amp;ADDRESS(1000,COLUMN(K$9)-1))),
SUMIF(INDIRECT(Equipo!$G$4&amp;"!B10:B1000"),$B81,INDIRECT(Equipo!$G$4&amp;"!"&amp;ADDRESS(10,COLUMN(K$9)-1)&amp;":"&amp;ADDRESS(1000,COLUMN(K$9)-1)))))</f>
        <v>-</v>
      </c>
    </row>
    <row r="82" ht="15.75" customHeight="1">
      <c r="B82" s="1" t="str">
        <f>IF(ISBLANK(Tareas!B78)," - ",Tareas!B78)</f>
        <v> - </v>
      </c>
      <c r="D82" s="19" t="str">
        <f t="array" ref="D82">IF(ISBLANK(Tareas!$B78),"-",SUM(
SUMIF(INDIRECT(Equipo!$C$4&amp;"!B10:B1000"),$B82,INDIRECT(Equipo!$C$4&amp;"!"&amp;ADDRESS(10,COLUMN(D$9)-1)&amp;":"&amp;ADDRESS(1000,COLUMN(D$9)-1))),
SUMIF(INDIRECT(Equipo!$D$4&amp;"!B10:B1000"),$B82,INDIRECT(Equipo!$D$4&amp;"!"&amp;ADDRESS(10,COLUMN(D$9)-1)&amp;":"&amp;ADDRESS(1000,COLUMN(D$9)-1))),
SUMIF(INDIRECT(Equipo!$E$4&amp;"!B10:B1000"),$B82,INDIRECT(Equipo!$E$4&amp;"!"&amp;ADDRESS(10,COLUMN(D$9)-1)&amp;":"&amp;ADDRESS(1000,COLUMN(D$9)-1))),
SUMIF(INDIRECT(Equipo!$F$4&amp;"!B10:B1000"),$B82,INDIRECT(Equipo!$F$4&amp;"!"&amp;ADDRESS(10,COLUMN(D$9)-1)&amp;":"&amp;ADDRESS(1000,COLUMN(D$9)-1))),
SUMIF(INDIRECT(Equipo!$G$4&amp;"!B10:B1000"),$B82,INDIRECT(Equipo!$G$4&amp;"!"&amp;ADDRESS(10,COLUMN(D$9)-1)&amp;":"&amp;ADDRESS(1000,COLUMN(D$9)-1)))))</f>
        <v>-</v>
      </c>
      <c r="E82" s="19" t="str">
        <f t="array" ref="E82">IF(ISBLANK(Tareas!$B78),"-",SUM(
SUMIF(INDIRECT(Equipo!$C$4&amp;"!B10:B1000"),$B82,INDIRECT(Equipo!$C$4&amp;"!"&amp;ADDRESS(10,COLUMN(E$9)-1)&amp;":"&amp;ADDRESS(1000,COLUMN(E$9)-1))),
SUMIF(INDIRECT(Equipo!$D$4&amp;"!B10:B1000"),$B82,INDIRECT(Equipo!$D$4&amp;"!"&amp;ADDRESS(10,COLUMN(E$9)-1)&amp;":"&amp;ADDRESS(1000,COLUMN(E$9)-1))),
SUMIF(INDIRECT(Equipo!$E$4&amp;"!B10:B1000"),$B82,INDIRECT(Equipo!$E$4&amp;"!"&amp;ADDRESS(10,COLUMN(E$9)-1)&amp;":"&amp;ADDRESS(1000,COLUMN(E$9)-1))),
SUMIF(INDIRECT(Equipo!$F$4&amp;"!B10:B1000"),$B82,INDIRECT(Equipo!$F$4&amp;"!"&amp;ADDRESS(10,COLUMN(E$9)-1)&amp;":"&amp;ADDRESS(1000,COLUMN(E$9)-1))),
SUMIF(INDIRECT(Equipo!$G$4&amp;"!B10:B1000"),$B82,INDIRECT(Equipo!$G$4&amp;"!"&amp;ADDRESS(10,COLUMN(E$9)-1)&amp;":"&amp;ADDRESS(1000,COLUMN(E$9)-1)))))</f>
        <v>-</v>
      </c>
      <c r="F82" s="19" t="str">
        <f t="array" ref="F82">IF(ISBLANK(Tareas!$B78),"-",SUM(
SUMIF(INDIRECT(Equipo!$C$4&amp;"!B10:B1000"),$B82,INDIRECT(Equipo!$C$4&amp;"!"&amp;ADDRESS(10,COLUMN(F$9)-1)&amp;":"&amp;ADDRESS(1000,COLUMN(F$9)-1))),
SUMIF(INDIRECT(Equipo!$D$4&amp;"!B10:B1000"),$B82,INDIRECT(Equipo!$D$4&amp;"!"&amp;ADDRESS(10,COLUMN(F$9)-1)&amp;":"&amp;ADDRESS(1000,COLUMN(F$9)-1))),
SUMIF(INDIRECT(Equipo!$E$4&amp;"!B10:B1000"),$B82,INDIRECT(Equipo!$E$4&amp;"!"&amp;ADDRESS(10,COLUMN(F$9)-1)&amp;":"&amp;ADDRESS(1000,COLUMN(F$9)-1))),
SUMIF(INDIRECT(Equipo!$F$4&amp;"!B10:B1000"),$B82,INDIRECT(Equipo!$F$4&amp;"!"&amp;ADDRESS(10,COLUMN(F$9)-1)&amp;":"&amp;ADDRESS(1000,COLUMN(F$9)-1))),
SUMIF(INDIRECT(Equipo!$G$4&amp;"!B10:B1000"),$B82,INDIRECT(Equipo!$G$4&amp;"!"&amp;ADDRESS(10,COLUMN(F$9)-1)&amp;":"&amp;ADDRESS(1000,COLUMN(F$9)-1)))))</f>
        <v>-</v>
      </c>
      <c r="G82" s="19" t="str">
        <f t="array" ref="G82">IF(ISBLANK(Tareas!$B78),"-",SUM(
SUMIF(INDIRECT(Equipo!$C$4&amp;"!B10:B1000"),$B82,INDIRECT(Equipo!$C$4&amp;"!"&amp;ADDRESS(10,COLUMN(G$9)-1)&amp;":"&amp;ADDRESS(1000,COLUMN(G$9)-1))),
SUMIF(INDIRECT(Equipo!$D$4&amp;"!B10:B1000"),$B82,INDIRECT(Equipo!$D$4&amp;"!"&amp;ADDRESS(10,COLUMN(G$9)-1)&amp;":"&amp;ADDRESS(1000,COLUMN(G$9)-1))),
SUMIF(INDIRECT(Equipo!$E$4&amp;"!B10:B1000"),$B82,INDIRECT(Equipo!$E$4&amp;"!"&amp;ADDRESS(10,COLUMN(G$9)-1)&amp;":"&amp;ADDRESS(1000,COLUMN(G$9)-1))),
SUMIF(INDIRECT(Equipo!$F$4&amp;"!B10:B1000"),$B82,INDIRECT(Equipo!$F$4&amp;"!"&amp;ADDRESS(10,COLUMN(G$9)-1)&amp;":"&amp;ADDRESS(1000,COLUMN(G$9)-1))),
SUMIF(INDIRECT(Equipo!$G$4&amp;"!B10:B1000"),$B82,INDIRECT(Equipo!$G$4&amp;"!"&amp;ADDRESS(10,COLUMN(G$9)-1)&amp;":"&amp;ADDRESS(1000,COLUMN(G$9)-1)))))</f>
        <v>-</v>
      </c>
      <c r="H82" s="19" t="str">
        <f t="array" ref="H82">IF(ISBLANK(Tareas!$B78),"-",SUM(
SUMIF(INDIRECT(Equipo!$C$4&amp;"!B10:B1000"),$B82,INDIRECT(Equipo!$C$4&amp;"!"&amp;ADDRESS(10,COLUMN(H$9)-1)&amp;":"&amp;ADDRESS(1000,COLUMN(H$9)-1))),
SUMIF(INDIRECT(Equipo!$D$4&amp;"!B10:B1000"),$B82,INDIRECT(Equipo!$D$4&amp;"!"&amp;ADDRESS(10,COLUMN(H$9)-1)&amp;":"&amp;ADDRESS(1000,COLUMN(H$9)-1))),
SUMIF(INDIRECT(Equipo!$E$4&amp;"!B10:B1000"),$B82,INDIRECT(Equipo!$E$4&amp;"!"&amp;ADDRESS(10,COLUMN(H$9)-1)&amp;":"&amp;ADDRESS(1000,COLUMN(H$9)-1))),
SUMIF(INDIRECT(Equipo!$F$4&amp;"!B10:B1000"),$B82,INDIRECT(Equipo!$F$4&amp;"!"&amp;ADDRESS(10,COLUMN(H$9)-1)&amp;":"&amp;ADDRESS(1000,COLUMN(H$9)-1))),
SUMIF(INDIRECT(Equipo!$G$4&amp;"!B10:B1000"),$B82,INDIRECT(Equipo!$G$4&amp;"!"&amp;ADDRESS(10,COLUMN(H$9)-1)&amp;":"&amp;ADDRESS(1000,COLUMN(H$9)-1)))))</f>
        <v>-</v>
      </c>
      <c r="I82" s="19" t="str">
        <f t="array" ref="I82">IF(ISBLANK(Tareas!$B78),"-",SUM(
SUMIF(INDIRECT(Equipo!$C$4&amp;"!B10:B1000"),$B82,INDIRECT(Equipo!$C$4&amp;"!"&amp;ADDRESS(10,COLUMN(I$9)-1)&amp;":"&amp;ADDRESS(1000,COLUMN(I$9)-1))),
SUMIF(INDIRECT(Equipo!$D$4&amp;"!B10:B1000"),$B82,INDIRECT(Equipo!$D$4&amp;"!"&amp;ADDRESS(10,COLUMN(I$9)-1)&amp;":"&amp;ADDRESS(1000,COLUMN(I$9)-1))),
SUMIF(INDIRECT(Equipo!$E$4&amp;"!B10:B1000"),$B82,INDIRECT(Equipo!$E$4&amp;"!"&amp;ADDRESS(10,COLUMN(I$9)-1)&amp;":"&amp;ADDRESS(1000,COLUMN(I$9)-1))),
SUMIF(INDIRECT(Equipo!$F$4&amp;"!B10:B1000"),$B82,INDIRECT(Equipo!$F$4&amp;"!"&amp;ADDRESS(10,COLUMN(I$9)-1)&amp;":"&amp;ADDRESS(1000,COLUMN(I$9)-1))),
SUMIF(INDIRECT(Equipo!$G$4&amp;"!B10:B1000"),$B82,INDIRECT(Equipo!$G$4&amp;"!"&amp;ADDRESS(10,COLUMN(I$9)-1)&amp;":"&amp;ADDRESS(1000,COLUMN(I$9)-1)))))</f>
        <v>-</v>
      </c>
      <c r="J82" s="19" t="str">
        <f t="array" ref="J82">IF(ISBLANK(Tareas!$B78),"-",SUM(
SUMIF(INDIRECT(Equipo!$C$4&amp;"!B10:B1000"),$B82,INDIRECT(Equipo!$C$4&amp;"!"&amp;ADDRESS(10,COLUMN(J$9)-1)&amp;":"&amp;ADDRESS(1000,COLUMN(J$9)-1))),
SUMIF(INDIRECT(Equipo!$D$4&amp;"!B10:B1000"),$B82,INDIRECT(Equipo!$D$4&amp;"!"&amp;ADDRESS(10,COLUMN(J$9)-1)&amp;":"&amp;ADDRESS(1000,COLUMN(J$9)-1))),
SUMIF(INDIRECT(Equipo!$E$4&amp;"!B10:B1000"),$B82,INDIRECT(Equipo!$E$4&amp;"!"&amp;ADDRESS(10,COLUMN(J$9)-1)&amp;":"&amp;ADDRESS(1000,COLUMN(J$9)-1))),
SUMIF(INDIRECT(Equipo!$F$4&amp;"!B10:B1000"),$B82,INDIRECT(Equipo!$F$4&amp;"!"&amp;ADDRESS(10,COLUMN(J$9)-1)&amp;":"&amp;ADDRESS(1000,COLUMN(J$9)-1))),
SUMIF(INDIRECT(Equipo!$G$4&amp;"!B10:B1000"),$B82,INDIRECT(Equipo!$G$4&amp;"!"&amp;ADDRESS(10,COLUMN(J$9)-1)&amp;":"&amp;ADDRESS(1000,COLUMN(J$9)-1)))))</f>
        <v>-</v>
      </c>
      <c r="K82" s="19" t="str">
        <f t="array" ref="K82">IF(ISBLANK(Tareas!$B78),"-",SUM(
SUMIF(INDIRECT(Equipo!$C$4&amp;"!B10:B1000"),$B82,INDIRECT(Equipo!$C$4&amp;"!"&amp;ADDRESS(10,COLUMN(K$9)-1)&amp;":"&amp;ADDRESS(1000,COLUMN(K$9)-1))),
SUMIF(INDIRECT(Equipo!$D$4&amp;"!B10:B1000"),$B82,INDIRECT(Equipo!$D$4&amp;"!"&amp;ADDRESS(10,COLUMN(K$9)-1)&amp;":"&amp;ADDRESS(1000,COLUMN(K$9)-1))),
SUMIF(INDIRECT(Equipo!$E$4&amp;"!B10:B1000"),$B82,INDIRECT(Equipo!$E$4&amp;"!"&amp;ADDRESS(10,COLUMN(K$9)-1)&amp;":"&amp;ADDRESS(1000,COLUMN(K$9)-1))),
SUMIF(INDIRECT(Equipo!$F$4&amp;"!B10:B1000"),$B82,INDIRECT(Equipo!$F$4&amp;"!"&amp;ADDRESS(10,COLUMN(K$9)-1)&amp;":"&amp;ADDRESS(1000,COLUMN(K$9)-1))),
SUMIF(INDIRECT(Equipo!$G$4&amp;"!B10:B1000"),$B82,INDIRECT(Equipo!$G$4&amp;"!"&amp;ADDRESS(10,COLUMN(K$9)-1)&amp;":"&amp;ADDRESS(1000,COLUMN(K$9)-1)))))</f>
        <v>-</v>
      </c>
    </row>
    <row r="83" ht="15.75" customHeight="1">
      <c r="B83" s="1" t="str">
        <f>IF(ISBLANK(Tareas!B79)," - ",Tareas!B79)</f>
        <v> - </v>
      </c>
      <c r="D83" s="19" t="str">
        <f t="array" ref="D83">IF(ISBLANK(Tareas!$B79),"-",SUM(
SUMIF(INDIRECT(Equipo!$C$4&amp;"!B10:B1000"),$B83,INDIRECT(Equipo!$C$4&amp;"!"&amp;ADDRESS(10,COLUMN(D$9)-1)&amp;":"&amp;ADDRESS(1000,COLUMN(D$9)-1))),
SUMIF(INDIRECT(Equipo!$D$4&amp;"!B10:B1000"),$B83,INDIRECT(Equipo!$D$4&amp;"!"&amp;ADDRESS(10,COLUMN(D$9)-1)&amp;":"&amp;ADDRESS(1000,COLUMN(D$9)-1))),
SUMIF(INDIRECT(Equipo!$E$4&amp;"!B10:B1000"),$B83,INDIRECT(Equipo!$E$4&amp;"!"&amp;ADDRESS(10,COLUMN(D$9)-1)&amp;":"&amp;ADDRESS(1000,COLUMN(D$9)-1))),
SUMIF(INDIRECT(Equipo!$F$4&amp;"!B10:B1000"),$B83,INDIRECT(Equipo!$F$4&amp;"!"&amp;ADDRESS(10,COLUMN(D$9)-1)&amp;":"&amp;ADDRESS(1000,COLUMN(D$9)-1))),
SUMIF(INDIRECT(Equipo!$G$4&amp;"!B10:B1000"),$B83,INDIRECT(Equipo!$G$4&amp;"!"&amp;ADDRESS(10,COLUMN(D$9)-1)&amp;":"&amp;ADDRESS(1000,COLUMN(D$9)-1)))))</f>
        <v>-</v>
      </c>
      <c r="E83" s="19" t="str">
        <f t="array" ref="E83">IF(ISBLANK(Tareas!$B79),"-",SUM(
SUMIF(INDIRECT(Equipo!$C$4&amp;"!B10:B1000"),$B83,INDIRECT(Equipo!$C$4&amp;"!"&amp;ADDRESS(10,COLUMN(E$9)-1)&amp;":"&amp;ADDRESS(1000,COLUMN(E$9)-1))),
SUMIF(INDIRECT(Equipo!$D$4&amp;"!B10:B1000"),$B83,INDIRECT(Equipo!$D$4&amp;"!"&amp;ADDRESS(10,COLUMN(E$9)-1)&amp;":"&amp;ADDRESS(1000,COLUMN(E$9)-1))),
SUMIF(INDIRECT(Equipo!$E$4&amp;"!B10:B1000"),$B83,INDIRECT(Equipo!$E$4&amp;"!"&amp;ADDRESS(10,COLUMN(E$9)-1)&amp;":"&amp;ADDRESS(1000,COLUMN(E$9)-1))),
SUMIF(INDIRECT(Equipo!$F$4&amp;"!B10:B1000"),$B83,INDIRECT(Equipo!$F$4&amp;"!"&amp;ADDRESS(10,COLUMN(E$9)-1)&amp;":"&amp;ADDRESS(1000,COLUMN(E$9)-1))),
SUMIF(INDIRECT(Equipo!$G$4&amp;"!B10:B1000"),$B83,INDIRECT(Equipo!$G$4&amp;"!"&amp;ADDRESS(10,COLUMN(E$9)-1)&amp;":"&amp;ADDRESS(1000,COLUMN(E$9)-1)))))</f>
        <v>-</v>
      </c>
      <c r="F83" s="19" t="str">
        <f t="array" ref="F83">IF(ISBLANK(Tareas!$B79),"-",SUM(
SUMIF(INDIRECT(Equipo!$C$4&amp;"!B10:B1000"),$B83,INDIRECT(Equipo!$C$4&amp;"!"&amp;ADDRESS(10,COLUMN(F$9)-1)&amp;":"&amp;ADDRESS(1000,COLUMN(F$9)-1))),
SUMIF(INDIRECT(Equipo!$D$4&amp;"!B10:B1000"),$B83,INDIRECT(Equipo!$D$4&amp;"!"&amp;ADDRESS(10,COLUMN(F$9)-1)&amp;":"&amp;ADDRESS(1000,COLUMN(F$9)-1))),
SUMIF(INDIRECT(Equipo!$E$4&amp;"!B10:B1000"),$B83,INDIRECT(Equipo!$E$4&amp;"!"&amp;ADDRESS(10,COLUMN(F$9)-1)&amp;":"&amp;ADDRESS(1000,COLUMN(F$9)-1))),
SUMIF(INDIRECT(Equipo!$F$4&amp;"!B10:B1000"),$B83,INDIRECT(Equipo!$F$4&amp;"!"&amp;ADDRESS(10,COLUMN(F$9)-1)&amp;":"&amp;ADDRESS(1000,COLUMN(F$9)-1))),
SUMIF(INDIRECT(Equipo!$G$4&amp;"!B10:B1000"),$B83,INDIRECT(Equipo!$G$4&amp;"!"&amp;ADDRESS(10,COLUMN(F$9)-1)&amp;":"&amp;ADDRESS(1000,COLUMN(F$9)-1)))))</f>
        <v>-</v>
      </c>
      <c r="G83" s="19" t="str">
        <f t="array" ref="G83">IF(ISBLANK(Tareas!$B79),"-",SUM(
SUMIF(INDIRECT(Equipo!$C$4&amp;"!B10:B1000"),$B83,INDIRECT(Equipo!$C$4&amp;"!"&amp;ADDRESS(10,COLUMN(G$9)-1)&amp;":"&amp;ADDRESS(1000,COLUMN(G$9)-1))),
SUMIF(INDIRECT(Equipo!$D$4&amp;"!B10:B1000"),$B83,INDIRECT(Equipo!$D$4&amp;"!"&amp;ADDRESS(10,COLUMN(G$9)-1)&amp;":"&amp;ADDRESS(1000,COLUMN(G$9)-1))),
SUMIF(INDIRECT(Equipo!$E$4&amp;"!B10:B1000"),$B83,INDIRECT(Equipo!$E$4&amp;"!"&amp;ADDRESS(10,COLUMN(G$9)-1)&amp;":"&amp;ADDRESS(1000,COLUMN(G$9)-1))),
SUMIF(INDIRECT(Equipo!$F$4&amp;"!B10:B1000"),$B83,INDIRECT(Equipo!$F$4&amp;"!"&amp;ADDRESS(10,COLUMN(G$9)-1)&amp;":"&amp;ADDRESS(1000,COLUMN(G$9)-1))),
SUMIF(INDIRECT(Equipo!$G$4&amp;"!B10:B1000"),$B83,INDIRECT(Equipo!$G$4&amp;"!"&amp;ADDRESS(10,COLUMN(G$9)-1)&amp;":"&amp;ADDRESS(1000,COLUMN(G$9)-1)))))</f>
        <v>-</v>
      </c>
      <c r="H83" s="19" t="str">
        <f t="array" ref="H83">IF(ISBLANK(Tareas!$B79),"-",SUM(
SUMIF(INDIRECT(Equipo!$C$4&amp;"!B10:B1000"),$B83,INDIRECT(Equipo!$C$4&amp;"!"&amp;ADDRESS(10,COLUMN(H$9)-1)&amp;":"&amp;ADDRESS(1000,COLUMN(H$9)-1))),
SUMIF(INDIRECT(Equipo!$D$4&amp;"!B10:B1000"),$B83,INDIRECT(Equipo!$D$4&amp;"!"&amp;ADDRESS(10,COLUMN(H$9)-1)&amp;":"&amp;ADDRESS(1000,COLUMN(H$9)-1))),
SUMIF(INDIRECT(Equipo!$E$4&amp;"!B10:B1000"),$B83,INDIRECT(Equipo!$E$4&amp;"!"&amp;ADDRESS(10,COLUMN(H$9)-1)&amp;":"&amp;ADDRESS(1000,COLUMN(H$9)-1))),
SUMIF(INDIRECT(Equipo!$F$4&amp;"!B10:B1000"),$B83,INDIRECT(Equipo!$F$4&amp;"!"&amp;ADDRESS(10,COLUMN(H$9)-1)&amp;":"&amp;ADDRESS(1000,COLUMN(H$9)-1))),
SUMIF(INDIRECT(Equipo!$G$4&amp;"!B10:B1000"),$B83,INDIRECT(Equipo!$G$4&amp;"!"&amp;ADDRESS(10,COLUMN(H$9)-1)&amp;":"&amp;ADDRESS(1000,COLUMN(H$9)-1)))))</f>
        <v>-</v>
      </c>
      <c r="I83" s="19" t="str">
        <f t="array" ref="I83">IF(ISBLANK(Tareas!$B79),"-",SUM(
SUMIF(INDIRECT(Equipo!$C$4&amp;"!B10:B1000"),$B83,INDIRECT(Equipo!$C$4&amp;"!"&amp;ADDRESS(10,COLUMN(I$9)-1)&amp;":"&amp;ADDRESS(1000,COLUMN(I$9)-1))),
SUMIF(INDIRECT(Equipo!$D$4&amp;"!B10:B1000"),$B83,INDIRECT(Equipo!$D$4&amp;"!"&amp;ADDRESS(10,COLUMN(I$9)-1)&amp;":"&amp;ADDRESS(1000,COLUMN(I$9)-1))),
SUMIF(INDIRECT(Equipo!$E$4&amp;"!B10:B1000"),$B83,INDIRECT(Equipo!$E$4&amp;"!"&amp;ADDRESS(10,COLUMN(I$9)-1)&amp;":"&amp;ADDRESS(1000,COLUMN(I$9)-1))),
SUMIF(INDIRECT(Equipo!$F$4&amp;"!B10:B1000"),$B83,INDIRECT(Equipo!$F$4&amp;"!"&amp;ADDRESS(10,COLUMN(I$9)-1)&amp;":"&amp;ADDRESS(1000,COLUMN(I$9)-1))),
SUMIF(INDIRECT(Equipo!$G$4&amp;"!B10:B1000"),$B83,INDIRECT(Equipo!$G$4&amp;"!"&amp;ADDRESS(10,COLUMN(I$9)-1)&amp;":"&amp;ADDRESS(1000,COLUMN(I$9)-1)))))</f>
        <v>-</v>
      </c>
      <c r="J83" s="19" t="str">
        <f t="array" ref="J83">IF(ISBLANK(Tareas!$B79),"-",SUM(
SUMIF(INDIRECT(Equipo!$C$4&amp;"!B10:B1000"),$B83,INDIRECT(Equipo!$C$4&amp;"!"&amp;ADDRESS(10,COLUMN(J$9)-1)&amp;":"&amp;ADDRESS(1000,COLUMN(J$9)-1))),
SUMIF(INDIRECT(Equipo!$D$4&amp;"!B10:B1000"),$B83,INDIRECT(Equipo!$D$4&amp;"!"&amp;ADDRESS(10,COLUMN(J$9)-1)&amp;":"&amp;ADDRESS(1000,COLUMN(J$9)-1))),
SUMIF(INDIRECT(Equipo!$E$4&amp;"!B10:B1000"),$B83,INDIRECT(Equipo!$E$4&amp;"!"&amp;ADDRESS(10,COLUMN(J$9)-1)&amp;":"&amp;ADDRESS(1000,COLUMN(J$9)-1))),
SUMIF(INDIRECT(Equipo!$F$4&amp;"!B10:B1000"),$B83,INDIRECT(Equipo!$F$4&amp;"!"&amp;ADDRESS(10,COLUMN(J$9)-1)&amp;":"&amp;ADDRESS(1000,COLUMN(J$9)-1))),
SUMIF(INDIRECT(Equipo!$G$4&amp;"!B10:B1000"),$B83,INDIRECT(Equipo!$G$4&amp;"!"&amp;ADDRESS(10,COLUMN(J$9)-1)&amp;":"&amp;ADDRESS(1000,COLUMN(J$9)-1)))))</f>
        <v>-</v>
      </c>
      <c r="K83" s="19" t="str">
        <f t="array" ref="K83">IF(ISBLANK(Tareas!$B79),"-",SUM(
SUMIF(INDIRECT(Equipo!$C$4&amp;"!B10:B1000"),$B83,INDIRECT(Equipo!$C$4&amp;"!"&amp;ADDRESS(10,COLUMN(K$9)-1)&amp;":"&amp;ADDRESS(1000,COLUMN(K$9)-1))),
SUMIF(INDIRECT(Equipo!$D$4&amp;"!B10:B1000"),$B83,INDIRECT(Equipo!$D$4&amp;"!"&amp;ADDRESS(10,COLUMN(K$9)-1)&amp;":"&amp;ADDRESS(1000,COLUMN(K$9)-1))),
SUMIF(INDIRECT(Equipo!$E$4&amp;"!B10:B1000"),$B83,INDIRECT(Equipo!$E$4&amp;"!"&amp;ADDRESS(10,COLUMN(K$9)-1)&amp;":"&amp;ADDRESS(1000,COLUMN(K$9)-1))),
SUMIF(INDIRECT(Equipo!$F$4&amp;"!B10:B1000"),$B83,INDIRECT(Equipo!$F$4&amp;"!"&amp;ADDRESS(10,COLUMN(K$9)-1)&amp;":"&amp;ADDRESS(1000,COLUMN(K$9)-1))),
SUMIF(INDIRECT(Equipo!$G$4&amp;"!B10:B1000"),$B83,INDIRECT(Equipo!$G$4&amp;"!"&amp;ADDRESS(10,COLUMN(K$9)-1)&amp;":"&amp;ADDRESS(1000,COLUMN(K$9)-1)))))</f>
        <v>-</v>
      </c>
    </row>
    <row r="84" ht="15.75" customHeight="1">
      <c r="B84" s="1" t="str">
        <f>IF(ISBLANK(Tareas!B80)," - ",Tareas!B80)</f>
        <v> - </v>
      </c>
      <c r="D84" s="19" t="str">
        <f t="array" ref="D84">IF(ISBLANK(Tareas!$B80),"-",SUM(
SUMIF(INDIRECT(Equipo!$C$4&amp;"!B10:B1000"),$B84,INDIRECT(Equipo!$C$4&amp;"!"&amp;ADDRESS(10,COLUMN(D$9)-1)&amp;":"&amp;ADDRESS(1000,COLUMN(D$9)-1))),
SUMIF(INDIRECT(Equipo!$D$4&amp;"!B10:B1000"),$B84,INDIRECT(Equipo!$D$4&amp;"!"&amp;ADDRESS(10,COLUMN(D$9)-1)&amp;":"&amp;ADDRESS(1000,COLUMN(D$9)-1))),
SUMIF(INDIRECT(Equipo!$E$4&amp;"!B10:B1000"),$B84,INDIRECT(Equipo!$E$4&amp;"!"&amp;ADDRESS(10,COLUMN(D$9)-1)&amp;":"&amp;ADDRESS(1000,COLUMN(D$9)-1))),
SUMIF(INDIRECT(Equipo!$F$4&amp;"!B10:B1000"),$B84,INDIRECT(Equipo!$F$4&amp;"!"&amp;ADDRESS(10,COLUMN(D$9)-1)&amp;":"&amp;ADDRESS(1000,COLUMN(D$9)-1))),
SUMIF(INDIRECT(Equipo!$G$4&amp;"!B10:B1000"),$B84,INDIRECT(Equipo!$G$4&amp;"!"&amp;ADDRESS(10,COLUMN(D$9)-1)&amp;":"&amp;ADDRESS(1000,COLUMN(D$9)-1)))))</f>
        <v>-</v>
      </c>
      <c r="E84" s="19" t="str">
        <f t="array" ref="E84">IF(ISBLANK(Tareas!$B80),"-",SUM(
SUMIF(INDIRECT(Equipo!$C$4&amp;"!B10:B1000"),$B84,INDIRECT(Equipo!$C$4&amp;"!"&amp;ADDRESS(10,COLUMN(E$9)-1)&amp;":"&amp;ADDRESS(1000,COLUMN(E$9)-1))),
SUMIF(INDIRECT(Equipo!$D$4&amp;"!B10:B1000"),$B84,INDIRECT(Equipo!$D$4&amp;"!"&amp;ADDRESS(10,COLUMN(E$9)-1)&amp;":"&amp;ADDRESS(1000,COLUMN(E$9)-1))),
SUMIF(INDIRECT(Equipo!$E$4&amp;"!B10:B1000"),$B84,INDIRECT(Equipo!$E$4&amp;"!"&amp;ADDRESS(10,COLUMN(E$9)-1)&amp;":"&amp;ADDRESS(1000,COLUMN(E$9)-1))),
SUMIF(INDIRECT(Equipo!$F$4&amp;"!B10:B1000"),$B84,INDIRECT(Equipo!$F$4&amp;"!"&amp;ADDRESS(10,COLUMN(E$9)-1)&amp;":"&amp;ADDRESS(1000,COLUMN(E$9)-1))),
SUMIF(INDIRECT(Equipo!$G$4&amp;"!B10:B1000"),$B84,INDIRECT(Equipo!$G$4&amp;"!"&amp;ADDRESS(10,COLUMN(E$9)-1)&amp;":"&amp;ADDRESS(1000,COLUMN(E$9)-1)))))</f>
        <v>-</v>
      </c>
      <c r="F84" s="19" t="str">
        <f t="array" ref="F84">IF(ISBLANK(Tareas!$B80),"-",SUM(
SUMIF(INDIRECT(Equipo!$C$4&amp;"!B10:B1000"),$B84,INDIRECT(Equipo!$C$4&amp;"!"&amp;ADDRESS(10,COLUMN(F$9)-1)&amp;":"&amp;ADDRESS(1000,COLUMN(F$9)-1))),
SUMIF(INDIRECT(Equipo!$D$4&amp;"!B10:B1000"),$B84,INDIRECT(Equipo!$D$4&amp;"!"&amp;ADDRESS(10,COLUMN(F$9)-1)&amp;":"&amp;ADDRESS(1000,COLUMN(F$9)-1))),
SUMIF(INDIRECT(Equipo!$E$4&amp;"!B10:B1000"),$B84,INDIRECT(Equipo!$E$4&amp;"!"&amp;ADDRESS(10,COLUMN(F$9)-1)&amp;":"&amp;ADDRESS(1000,COLUMN(F$9)-1))),
SUMIF(INDIRECT(Equipo!$F$4&amp;"!B10:B1000"),$B84,INDIRECT(Equipo!$F$4&amp;"!"&amp;ADDRESS(10,COLUMN(F$9)-1)&amp;":"&amp;ADDRESS(1000,COLUMN(F$9)-1))),
SUMIF(INDIRECT(Equipo!$G$4&amp;"!B10:B1000"),$B84,INDIRECT(Equipo!$G$4&amp;"!"&amp;ADDRESS(10,COLUMN(F$9)-1)&amp;":"&amp;ADDRESS(1000,COLUMN(F$9)-1)))))</f>
        <v>-</v>
      </c>
      <c r="G84" s="19" t="str">
        <f t="array" ref="G84">IF(ISBLANK(Tareas!$B80),"-",SUM(
SUMIF(INDIRECT(Equipo!$C$4&amp;"!B10:B1000"),$B84,INDIRECT(Equipo!$C$4&amp;"!"&amp;ADDRESS(10,COLUMN(G$9)-1)&amp;":"&amp;ADDRESS(1000,COLUMN(G$9)-1))),
SUMIF(INDIRECT(Equipo!$D$4&amp;"!B10:B1000"),$B84,INDIRECT(Equipo!$D$4&amp;"!"&amp;ADDRESS(10,COLUMN(G$9)-1)&amp;":"&amp;ADDRESS(1000,COLUMN(G$9)-1))),
SUMIF(INDIRECT(Equipo!$E$4&amp;"!B10:B1000"),$B84,INDIRECT(Equipo!$E$4&amp;"!"&amp;ADDRESS(10,COLUMN(G$9)-1)&amp;":"&amp;ADDRESS(1000,COLUMN(G$9)-1))),
SUMIF(INDIRECT(Equipo!$F$4&amp;"!B10:B1000"),$B84,INDIRECT(Equipo!$F$4&amp;"!"&amp;ADDRESS(10,COLUMN(G$9)-1)&amp;":"&amp;ADDRESS(1000,COLUMN(G$9)-1))),
SUMIF(INDIRECT(Equipo!$G$4&amp;"!B10:B1000"),$B84,INDIRECT(Equipo!$G$4&amp;"!"&amp;ADDRESS(10,COLUMN(G$9)-1)&amp;":"&amp;ADDRESS(1000,COLUMN(G$9)-1)))))</f>
        <v>-</v>
      </c>
      <c r="H84" s="19" t="str">
        <f t="array" ref="H84">IF(ISBLANK(Tareas!$B80),"-",SUM(
SUMIF(INDIRECT(Equipo!$C$4&amp;"!B10:B1000"),$B84,INDIRECT(Equipo!$C$4&amp;"!"&amp;ADDRESS(10,COLUMN(H$9)-1)&amp;":"&amp;ADDRESS(1000,COLUMN(H$9)-1))),
SUMIF(INDIRECT(Equipo!$D$4&amp;"!B10:B1000"),$B84,INDIRECT(Equipo!$D$4&amp;"!"&amp;ADDRESS(10,COLUMN(H$9)-1)&amp;":"&amp;ADDRESS(1000,COLUMN(H$9)-1))),
SUMIF(INDIRECT(Equipo!$E$4&amp;"!B10:B1000"),$B84,INDIRECT(Equipo!$E$4&amp;"!"&amp;ADDRESS(10,COLUMN(H$9)-1)&amp;":"&amp;ADDRESS(1000,COLUMN(H$9)-1))),
SUMIF(INDIRECT(Equipo!$F$4&amp;"!B10:B1000"),$B84,INDIRECT(Equipo!$F$4&amp;"!"&amp;ADDRESS(10,COLUMN(H$9)-1)&amp;":"&amp;ADDRESS(1000,COLUMN(H$9)-1))),
SUMIF(INDIRECT(Equipo!$G$4&amp;"!B10:B1000"),$B84,INDIRECT(Equipo!$G$4&amp;"!"&amp;ADDRESS(10,COLUMN(H$9)-1)&amp;":"&amp;ADDRESS(1000,COLUMN(H$9)-1)))))</f>
        <v>-</v>
      </c>
      <c r="I84" s="19" t="str">
        <f t="array" ref="I84">IF(ISBLANK(Tareas!$B80),"-",SUM(
SUMIF(INDIRECT(Equipo!$C$4&amp;"!B10:B1000"),$B84,INDIRECT(Equipo!$C$4&amp;"!"&amp;ADDRESS(10,COLUMN(I$9)-1)&amp;":"&amp;ADDRESS(1000,COLUMN(I$9)-1))),
SUMIF(INDIRECT(Equipo!$D$4&amp;"!B10:B1000"),$B84,INDIRECT(Equipo!$D$4&amp;"!"&amp;ADDRESS(10,COLUMN(I$9)-1)&amp;":"&amp;ADDRESS(1000,COLUMN(I$9)-1))),
SUMIF(INDIRECT(Equipo!$E$4&amp;"!B10:B1000"),$B84,INDIRECT(Equipo!$E$4&amp;"!"&amp;ADDRESS(10,COLUMN(I$9)-1)&amp;":"&amp;ADDRESS(1000,COLUMN(I$9)-1))),
SUMIF(INDIRECT(Equipo!$F$4&amp;"!B10:B1000"),$B84,INDIRECT(Equipo!$F$4&amp;"!"&amp;ADDRESS(10,COLUMN(I$9)-1)&amp;":"&amp;ADDRESS(1000,COLUMN(I$9)-1))),
SUMIF(INDIRECT(Equipo!$G$4&amp;"!B10:B1000"),$B84,INDIRECT(Equipo!$G$4&amp;"!"&amp;ADDRESS(10,COLUMN(I$9)-1)&amp;":"&amp;ADDRESS(1000,COLUMN(I$9)-1)))))</f>
        <v>-</v>
      </c>
      <c r="J84" s="19" t="str">
        <f t="array" ref="J84">IF(ISBLANK(Tareas!$B80),"-",SUM(
SUMIF(INDIRECT(Equipo!$C$4&amp;"!B10:B1000"),$B84,INDIRECT(Equipo!$C$4&amp;"!"&amp;ADDRESS(10,COLUMN(J$9)-1)&amp;":"&amp;ADDRESS(1000,COLUMN(J$9)-1))),
SUMIF(INDIRECT(Equipo!$D$4&amp;"!B10:B1000"),$B84,INDIRECT(Equipo!$D$4&amp;"!"&amp;ADDRESS(10,COLUMN(J$9)-1)&amp;":"&amp;ADDRESS(1000,COLUMN(J$9)-1))),
SUMIF(INDIRECT(Equipo!$E$4&amp;"!B10:B1000"),$B84,INDIRECT(Equipo!$E$4&amp;"!"&amp;ADDRESS(10,COLUMN(J$9)-1)&amp;":"&amp;ADDRESS(1000,COLUMN(J$9)-1))),
SUMIF(INDIRECT(Equipo!$F$4&amp;"!B10:B1000"),$B84,INDIRECT(Equipo!$F$4&amp;"!"&amp;ADDRESS(10,COLUMN(J$9)-1)&amp;":"&amp;ADDRESS(1000,COLUMN(J$9)-1))),
SUMIF(INDIRECT(Equipo!$G$4&amp;"!B10:B1000"),$B84,INDIRECT(Equipo!$G$4&amp;"!"&amp;ADDRESS(10,COLUMN(J$9)-1)&amp;":"&amp;ADDRESS(1000,COLUMN(J$9)-1)))))</f>
        <v>-</v>
      </c>
      <c r="K84" s="19" t="str">
        <f t="array" ref="K84">IF(ISBLANK(Tareas!$B80),"-",SUM(
SUMIF(INDIRECT(Equipo!$C$4&amp;"!B10:B1000"),$B84,INDIRECT(Equipo!$C$4&amp;"!"&amp;ADDRESS(10,COLUMN(K$9)-1)&amp;":"&amp;ADDRESS(1000,COLUMN(K$9)-1))),
SUMIF(INDIRECT(Equipo!$D$4&amp;"!B10:B1000"),$B84,INDIRECT(Equipo!$D$4&amp;"!"&amp;ADDRESS(10,COLUMN(K$9)-1)&amp;":"&amp;ADDRESS(1000,COLUMN(K$9)-1))),
SUMIF(INDIRECT(Equipo!$E$4&amp;"!B10:B1000"),$B84,INDIRECT(Equipo!$E$4&amp;"!"&amp;ADDRESS(10,COLUMN(K$9)-1)&amp;":"&amp;ADDRESS(1000,COLUMN(K$9)-1))),
SUMIF(INDIRECT(Equipo!$F$4&amp;"!B10:B1000"),$B84,INDIRECT(Equipo!$F$4&amp;"!"&amp;ADDRESS(10,COLUMN(K$9)-1)&amp;":"&amp;ADDRESS(1000,COLUMN(K$9)-1))),
SUMIF(INDIRECT(Equipo!$G$4&amp;"!B10:B1000"),$B84,INDIRECT(Equipo!$G$4&amp;"!"&amp;ADDRESS(10,COLUMN(K$9)-1)&amp;":"&amp;ADDRESS(1000,COLUMN(K$9)-1)))))</f>
        <v>-</v>
      </c>
    </row>
    <row r="85" ht="15.75" customHeight="1">
      <c r="B85" s="1" t="str">
        <f>IF(ISBLANK(Tareas!B81)," - ",Tareas!B81)</f>
        <v> - </v>
      </c>
      <c r="D85" s="19" t="str">
        <f t="array" ref="D85">IF(ISBLANK(Tareas!$B81),"-",SUM(
SUMIF(INDIRECT(Equipo!$C$4&amp;"!B10:B1000"),$B85,INDIRECT(Equipo!$C$4&amp;"!"&amp;ADDRESS(10,COLUMN(D$9)-1)&amp;":"&amp;ADDRESS(1000,COLUMN(D$9)-1))),
SUMIF(INDIRECT(Equipo!$D$4&amp;"!B10:B1000"),$B85,INDIRECT(Equipo!$D$4&amp;"!"&amp;ADDRESS(10,COLUMN(D$9)-1)&amp;":"&amp;ADDRESS(1000,COLUMN(D$9)-1))),
SUMIF(INDIRECT(Equipo!$E$4&amp;"!B10:B1000"),$B85,INDIRECT(Equipo!$E$4&amp;"!"&amp;ADDRESS(10,COLUMN(D$9)-1)&amp;":"&amp;ADDRESS(1000,COLUMN(D$9)-1))),
SUMIF(INDIRECT(Equipo!$F$4&amp;"!B10:B1000"),$B85,INDIRECT(Equipo!$F$4&amp;"!"&amp;ADDRESS(10,COLUMN(D$9)-1)&amp;":"&amp;ADDRESS(1000,COLUMN(D$9)-1))),
SUMIF(INDIRECT(Equipo!$G$4&amp;"!B10:B1000"),$B85,INDIRECT(Equipo!$G$4&amp;"!"&amp;ADDRESS(10,COLUMN(D$9)-1)&amp;":"&amp;ADDRESS(1000,COLUMN(D$9)-1)))))</f>
        <v>-</v>
      </c>
      <c r="E85" s="19" t="str">
        <f t="array" ref="E85">IF(ISBLANK(Tareas!$B81),"-",SUM(
SUMIF(INDIRECT(Equipo!$C$4&amp;"!B10:B1000"),$B85,INDIRECT(Equipo!$C$4&amp;"!"&amp;ADDRESS(10,COLUMN(E$9)-1)&amp;":"&amp;ADDRESS(1000,COLUMN(E$9)-1))),
SUMIF(INDIRECT(Equipo!$D$4&amp;"!B10:B1000"),$B85,INDIRECT(Equipo!$D$4&amp;"!"&amp;ADDRESS(10,COLUMN(E$9)-1)&amp;":"&amp;ADDRESS(1000,COLUMN(E$9)-1))),
SUMIF(INDIRECT(Equipo!$E$4&amp;"!B10:B1000"),$B85,INDIRECT(Equipo!$E$4&amp;"!"&amp;ADDRESS(10,COLUMN(E$9)-1)&amp;":"&amp;ADDRESS(1000,COLUMN(E$9)-1))),
SUMIF(INDIRECT(Equipo!$F$4&amp;"!B10:B1000"),$B85,INDIRECT(Equipo!$F$4&amp;"!"&amp;ADDRESS(10,COLUMN(E$9)-1)&amp;":"&amp;ADDRESS(1000,COLUMN(E$9)-1))),
SUMIF(INDIRECT(Equipo!$G$4&amp;"!B10:B1000"),$B85,INDIRECT(Equipo!$G$4&amp;"!"&amp;ADDRESS(10,COLUMN(E$9)-1)&amp;":"&amp;ADDRESS(1000,COLUMN(E$9)-1)))))</f>
        <v>-</v>
      </c>
      <c r="F85" s="19" t="str">
        <f t="array" ref="F85">IF(ISBLANK(Tareas!$B81),"-",SUM(
SUMIF(INDIRECT(Equipo!$C$4&amp;"!B10:B1000"),$B85,INDIRECT(Equipo!$C$4&amp;"!"&amp;ADDRESS(10,COLUMN(F$9)-1)&amp;":"&amp;ADDRESS(1000,COLUMN(F$9)-1))),
SUMIF(INDIRECT(Equipo!$D$4&amp;"!B10:B1000"),$B85,INDIRECT(Equipo!$D$4&amp;"!"&amp;ADDRESS(10,COLUMN(F$9)-1)&amp;":"&amp;ADDRESS(1000,COLUMN(F$9)-1))),
SUMIF(INDIRECT(Equipo!$E$4&amp;"!B10:B1000"),$B85,INDIRECT(Equipo!$E$4&amp;"!"&amp;ADDRESS(10,COLUMN(F$9)-1)&amp;":"&amp;ADDRESS(1000,COLUMN(F$9)-1))),
SUMIF(INDIRECT(Equipo!$F$4&amp;"!B10:B1000"),$B85,INDIRECT(Equipo!$F$4&amp;"!"&amp;ADDRESS(10,COLUMN(F$9)-1)&amp;":"&amp;ADDRESS(1000,COLUMN(F$9)-1))),
SUMIF(INDIRECT(Equipo!$G$4&amp;"!B10:B1000"),$B85,INDIRECT(Equipo!$G$4&amp;"!"&amp;ADDRESS(10,COLUMN(F$9)-1)&amp;":"&amp;ADDRESS(1000,COLUMN(F$9)-1)))))</f>
        <v>-</v>
      </c>
      <c r="G85" s="19" t="str">
        <f t="array" ref="G85">IF(ISBLANK(Tareas!$B81),"-",SUM(
SUMIF(INDIRECT(Equipo!$C$4&amp;"!B10:B1000"),$B85,INDIRECT(Equipo!$C$4&amp;"!"&amp;ADDRESS(10,COLUMN(G$9)-1)&amp;":"&amp;ADDRESS(1000,COLUMN(G$9)-1))),
SUMIF(INDIRECT(Equipo!$D$4&amp;"!B10:B1000"),$B85,INDIRECT(Equipo!$D$4&amp;"!"&amp;ADDRESS(10,COLUMN(G$9)-1)&amp;":"&amp;ADDRESS(1000,COLUMN(G$9)-1))),
SUMIF(INDIRECT(Equipo!$E$4&amp;"!B10:B1000"),$B85,INDIRECT(Equipo!$E$4&amp;"!"&amp;ADDRESS(10,COLUMN(G$9)-1)&amp;":"&amp;ADDRESS(1000,COLUMN(G$9)-1))),
SUMIF(INDIRECT(Equipo!$F$4&amp;"!B10:B1000"),$B85,INDIRECT(Equipo!$F$4&amp;"!"&amp;ADDRESS(10,COLUMN(G$9)-1)&amp;":"&amp;ADDRESS(1000,COLUMN(G$9)-1))),
SUMIF(INDIRECT(Equipo!$G$4&amp;"!B10:B1000"),$B85,INDIRECT(Equipo!$G$4&amp;"!"&amp;ADDRESS(10,COLUMN(G$9)-1)&amp;":"&amp;ADDRESS(1000,COLUMN(G$9)-1)))))</f>
        <v>-</v>
      </c>
      <c r="H85" s="19" t="str">
        <f t="array" ref="H85">IF(ISBLANK(Tareas!$B81),"-",SUM(
SUMIF(INDIRECT(Equipo!$C$4&amp;"!B10:B1000"),$B85,INDIRECT(Equipo!$C$4&amp;"!"&amp;ADDRESS(10,COLUMN(H$9)-1)&amp;":"&amp;ADDRESS(1000,COLUMN(H$9)-1))),
SUMIF(INDIRECT(Equipo!$D$4&amp;"!B10:B1000"),$B85,INDIRECT(Equipo!$D$4&amp;"!"&amp;ADDRESS(10,COLUMN(H$9)-1)&amp;":"&amp;ADDRESS(1000,COLUMN(H$9)-1))),
SUMIF(INDIRECT(Equipo!$E$4&amp;"!B10:B1000"),$B85,INDIRECT(Equipo!$E$4&amp;"!"&amp;ADDRESS(10,COLUMN(H$9)-1)&amp;":"&amp;ADDRESS(1000,COLUMN(H$9)-1))),
SUMIF(INDIRECT(Equipo!$F$4&amp;"!B10:B1000"),$B85,INDIRECT(Equipo!$F$4&amp;"!"&amp;ADDRESS(10,COLUMN(H$9)-1)&amp;":"&amp;ADDRESS(1000,COLUMN(H$9)-1))),
SUMIF(INDIRECT(Equipo!$G$4&amp;"!B10:B1000"),$B85,INDIRECT(Equipo!$G$4&amp;"!"&amp;ADDRESS(10,COLUMN(H$9)-1)&amp;":"&amp;ADDRESS(1000,COLUMN(H$9)-1)))))</f>
        <v>-</v>
      </c>
      <c r="I85" s="19" t="str">
        <f t="array" ref="I85">IF(ISBLANK(Tareas!$B81),"-",SUM(
SUMIF(INDIRECT(Equipo!$C$4&amp;"!B10:B1000"),$B85,INDIRECT(Equipo!$C$4&amp;"!"&amp;ADDRESS(10,COLUMN(I$9)-1)&amp;":"&amp;ADDRESS(1000,COLUMN(I$9)-1))),
SUMIF(INDIRECT(Equipo!$D$4&amp;"!B10:B1000"),$B85,INDIRECT(Equipo!$D$4&amp;"!"&amp;ADDRESS(10,COLUMN(I$9)-1)&amp;":"&amp;ADDRESS(1000,COLUMN(I$9)-1))),
SUMIF(INDIRECT(Equipo!$E$4&amp;"!B10:B1000"),$B85,INDIRECT(Equipo!$E$4&amp;"!"&amp;ADDRESS(10,COLUMN(I$9)-1)&amp;":"&amp;ADDRESS(1000,COLUMN(I$9)-1))),
SUMIF(INDIRECT(Equipo!$F$4&amp;"!B10:B1000"),$B85,INDIRECT(Equipo!$F$4&amp;"!"&amp;ADDRESS(10,COLUMN(I$9)-1)&amp;":"&amp;ADDRESS(1000,COLUMN(I$9)-1))),
SUMIF(INDIRECT(Equipo!$G$4&amp;"!B10:B1000"),$B85,INDIRECT(Equipo!$G$4&amp;"!"&amp;ADDRESS(10,COLUMN(I$9)-1)&amp;":"&amp;ADDRESS(1000,COLUMN(I$9)-1)))))</f>
        <v>-</v>
      </c>
      <c r="J85" s="19" t="str">
        <f t="array" ref="J85">IF(ISBLANK(Tareas!$B81),"-",SUM(
SUMIF(INDIRECT(Equipo!$C$4&amp;"!B10:B1000"),$B85,INDIRECT(Equipo!$C$4&amp;"!"&amp;ADDRESS(10,COLUMN(J$9)-1)&amp;":"&amp;ADDRESS(1000,COLUMN(J$9)-1))),
SUMIF(INDIRECT(Equipo!$D$4&amp;"!B10:B1000"),$B85,INDIRECT(Equipo!$D$4&amp;"!"&amp;ADDRESS(10,COLUMN(J$9)-1)&amp;":"&amp;ADDRESS(1000,COLUMN(J$9)-1))),
SUMIF(INDIRECT(Equipo!$E$4&amp;"!B10:B1000"),$B85,INDIRECT(Equipo!$E$4&amp;"!"&amp;ADDRESS(10,COLUMN(J$9)-1)&amp;":"&amp;ADDRESS(1000,COLUMN(J$9)-1))),
SUMIF(INDIRECT(Equipo!$F$4&amp;"!B10:B1000"),$B85,INDIRECT(Equipo!$F$4&amp;"!"&amp;ADDRESS(10,COLUMN(J$9)-1)&amp;":"&amp;ADDRESS(1000,COLUMN(J$9)-1))),
SUMIF(INDIRECT(Equipo!$G$4&amp;"!B10:B1000"),$B85,INDIRECT(Equipo!$G$4&amp;"!"&amp;ADDRESS(10,COLUMN(J$9)-1)&amp;":"&amp;ADDRESS(1000,COLUMN(J$9)-1)))))</f>
        <v>-</v>
      </c>
      <c r="K85" s="19" t="str">
        <f t="array" ref="K85">IF(ISBLANK(Tareas!$B81),"-",SUM(
SUMIF(INDIRECT(Equipo!$C$4&amp;"!B10:B1000"),$B85,INDIRECT(Equipo!$C$4&amp;"!"&amp;ADDRESS(10,COLUMN(K$9)-1)&amp;":"&amp;ADDRESS(1000,COLUMN(K$9)-1))),
SUMIF(INDIRECT(Equipo!$D$4&amp;"!B10:B1000"),$B85,INDIRECT(Equipo!$D$4&amp;"!"&amp;ADDRESS(10,COLUMN(K$9)-1)&amp;":"&amp;ADDRESS(1000,COLUMN(K$9)-1))),
SUMIF(INDIRECT(Equipo!$E$4&amp;"!B10:B1000"),$B85,INDIRECT(Equipo!$E$4&amp;"!"&amp;ADDRESS(10,COLUMN(K$9)-1)&amp;":"&amp;ADDRESS(1000,COLUMN(K$9)-1))),
SUMIF(INDIRECT(Equipo!$F$4&amp;"!B10:B1000"),$B85,INDIRECT(Equipo!$F$4&amp;"!"&amp;ADDRESS(10,COLUMN(K$9)-1)&amp;":"&amp;ADDRESS(1000,COLUMN(K$9)-1))),
SUMIF(INDIRECT(Equipo!$G$4&amp;"!B10:B1000"),$B85,INDIRECT(Equipo!$G$4&amp;"!"&amp;ADDRESS(10,COLUMN(K$9)-1)&amp;":"&amp;ADDRESS(1000,COLUMN(K$9)-1)))))</f>
        <v>-</v>
      </c>
    </row>
    <row r="86" ht="15.75" customHeight="1">
      <c r="B86" s="1" t="str">
        <f>IF(ISBLANK(Tareas!B82)," - ",Tareas!B82)</f>
        <v> - </v>
      </c>
      <c r="D86" s="19" t="str">
        <f t="array" ref="D86">IF(ISBLANK(Tareas!$B82),"-",SUM(
SUMIF(INDIRECT(Equipo!$C$4&amp;"!B10:B1000"),$B86,INDIRECT(Equipo!$C$4&amp;"!"&amp;ADDRESS(10,COLUMN(D$9)-1)&amp;":"&amp;ADDRESS(1000,COLUMN(D$9)-1))),
SUMIF(INDIRECT(Equipo!$D$4&amp;"!B10:B1000"),$B86,INDIRECT(Equipo!$D$4&amp;"!"&amp;ADDRESS(10,COLUMN(D$9)-1)&amp;":"&amp;ADDRESS(1000,COLUMN(D$9)-1))),
SUMIF(INDIRECT(Equipo!$E$4&amp;"!B10:B1000"),$B86,INDIRECT(Equipo!$E$4&amp;"!"&amp;ADDRESS(10,COLUMN(D$9)-1)&amp;":"&amp;ADDRESS(1000,COLUMN(D$9)-1))),
SUMIF(INDIRECT(Equipo!$F$4&amp;"!B10:B1000"),$B86,INDIRECT(Equipo!$F$4&amp;"!"&amp;ADDRESS(10,COLUMN(D$9)-1)&amp;":"&amp;ADDRESS(1000,COLUMN(D$9)-1))),
SUMIF(INDIRECT(Equipo!$G$4&amp;"!B10:B1000"),$B86,INDIRECT(Equipo!$G$4&amp;"!"&amp;ADDRESS(10,COLUMN(D$9)-1)&amp;":"&amp;ADDRESS(1000,COLUMN(D$9)-1)))))</f>
        <v>-</v>
      </c>
      <c r="E86" s="19" t="str">
        <f t="array" ref="E86">IF(ISBLANK(Tareas!$B82),"-",SUM(
SUMIF(INDIRECT(Equipo!$C$4&amp;"!B10:B1000"),$B86,INDIRECT(Equipo!$C$4&amp;"!"&amp;ADDRESS(10,COLUMN(E$9)-1)&amp;":"&amp;ADDRESS(1000,COLUMN(E$9)-1))),
SUMIF(INDIRECT(Equipo!$D$4&amp;"!B10:B1000"),$B86,INDIRECT(Equipo!$D$4&amp;"!"&amp;ADDRESS(10,COLUMN(E$9)-1)&amp;":"&amp;ADDRESS(1000,COLUMN(E$9)-1))),
SUMIF(INDIRECT(Equipo!$E$4&amp;"!B10:B1000"),$B86,INDIRECT(Equipo!$E$4&amp;"!"&amp;ADDRESS(10,COLUMN(E$9)-1)&amp;":"&amp;ADDRESS(1000,COLUMN(E$9)-1))),
SUMIF(INDIRECT(Equipo!$F$4&amp;"!B10:B1000"),$B86,INDIRECT(Equipo!$F$4&amp;"!"&amp;ADDRESS(10,COLUMN(E$9)-1)&amp;":"&amp;ADDRESS(1000,COLUMN(E$9)-1))),
SUMIF(INDIRECT(Equipo!$G$4&amp;"!B10:B1000"),$B86,INDIRECT(Equipo!$G$4&amp;"!"&amp;ADDRESS(10,COLUMN(E$9)-1)&amp;":"&amp;ADDRESS(1000,COLUMN(E$9)-1)))))</f>
        <v>-</v>
      </c>
      <c r="F86" s="19" t="str">
        <f t="array" ref="F86">IF(ISBLANK(Tareas!$B82),"-",SUM(
SUMIF(INDIRECT(Equipo!$C$4&amp;"!B10:B1000"),$B86,INDIRECT(Equipo!$C$4&amp;"!"&amp;ADDRESS(10,COLUMN(F$9)-1)&amp;":"&amp;ADDRESS(1000,COLUMN(F$9)-1))),
SUMIF(INDIRECT(Equipo!$D$4&amp;"!B10:B1000"),$B86,INDIRECT(Equipo!$D$4&amp;"!"&amp;ADDRESS(10,COLUMN(F$9)-1)&amp;":"&amp;ADDRESS(1000,COLUMN(F$9)-1))),
SUMIF(INDIRECT(Equipo!$E$4&amp;"!B10:B1000"),$B86,INDIRECT(Equipo!$E$4&amp;"!"&amp;ADDRESS(10,COLUMN(F$9)-1)&amp;":"&amp;ADDRESS(1000,COLUMN(F$9)-1))),
SUMIF(INDIRECT(Equipo!$F$4&amp;"!B10:B1000"),$B86,INDIRECT(Equipo!$F$4&amp;"!"&amp;ADDRESS(10,COLUMN(F$9)-1)&amp;":"&amp;ADDRESS(1000,COLUMN(F$9)-1))),
SUMIF(INDIRECT(Equipo!$G$4&amp;"!B10:B1000"),$B86,INDIRECT(Equipo!$G$4&amp;"!"&amp;ADDRESS(10,COLUMN(F$9)-1)&amp;":"&amp;ADDRESS(1000,COLUMN(F$9)-1)))))</f>
        <v>-</v>
      </c>
      <c r="G86" s="19" t="str">
        <f t="array" ref="G86">IF(ISBLANK(Tareas!$B82),"-",SUM(
SUMIF(INDIRECT(Equipo!$C$4&amp;"!B10:B1000"),$B86,INDIRECT(Equipo!$C$4&amp;"!"&amp;ADDRESS(10,COLUMN(G$9)-1)&amp;":"&amp;ADDRESS(1000,COLUMN(G$9)-1))),
SUMIF(INDIRECT(Equipo!$D$4&amp;"!B10:B1000"),$B86,INDIRECT(Equipo!$D$4&amp;"!"&amp;ADDRESS(10,COLUMN(G$9)-1)&amp;":"&amp;ADDRESS(1000,COLUMN(G$9)-1))),
SUMIF(INDIRECT(Equipo!$E$4&amp;"!B10:B1000"),$B86,INDIRECT(Equipo!$E$4&amp;"!"&amp;ADDRESS(10,COLUMN(G$9)-1)&amp;":"&amp;ADDRESS(1000,COLUMN(G$9)-1))),
SUMIF(INDIRECT(Equipo!$F$4&amp;"!B10:B1000"),$B86,INDIRECT(Equipo!$F$4&amp;"!"&amp;ADDRESS(10,COLUMN(G$9)-1)&amp;":"&amp;ADDRESS(1000,COLUMN(G$9)-1))),
SUMIF(INDIRECT(Equipo!$G$4&amp;"!B10:B1000"),$B86,INDIRECT(Equipo!$G$4&amp;"!"&amp;ADDRESS(10,COLUMN(G$9)-1)&amp;":"&amp;ADDRESS(1000,COLUMN(G$9)-1)))))</f>
        <v>-</v>
      </c>
      <c r="H86" s="19" t="str">
        <f t="array" ref="H86">IF(ISBLANK(Tareas!$B82),"-",SUM(
SUMIF(INDIRECT(Equipo!$C$4&amp;"!B10:B1000"),$B86,INDIRECT(Equipo!$C$4&amp;"!"&amp;ADDRESS(10,COLUMN(H$9)-1)&amp;":"&amp;ADDRESS(1000,COLUMN(H$9)-1))),
SUMIF(INDIRECT(Equipo!$D$4&amp;"!B10:B1000"),$B86,INDIRECT(Equipo!$D$4&amp;"!"&amp;ADDRESS(10,COLUMN(H$9)-1)&amp;":"&amp;ADDRESS(1000,COLUMN(H$9)-1))),
SUMIF(INDIRECT(Equipo!$E$4&amp;"!B10:B1000"),$B86,INDIRECT(Equipo!$E$4&amp;"!"&amp;ADDRESS(10,COLUMN(H$9)-1)&amp;":"&amp;ADDRESS(1000,COLUMN(H$9)-1))),
SUMIF(INDIRECT(Equipo!$F$4&amp;"!B10:B1000"),$B86,INDIRECT(Equipo!$F$4&amp;"!"&amp;ADDRESS(10,COLUMN(H$9)-1)&amp;":"&amp;ADDRESS(1000,COLUMN(H$9)-1))),
SUMIF(INDIRECT(Equipo!$G$4&amp;"!B10:B1000"),$B86,INDIRECT(Equipo!$G$4&amp;"!"&amp;ADDRESS(10,COLUMN(H$9)-1)&amp;":"&amp;ADDRESS(1000,COLUMN(H$9)-1)))))</f>
        <v>-</v>
      </c>
      <c r="I86" s="19" t="str">
        <f t="array" ref="I86">IF(ISBLANK(Tareas!$B82),"-",SUM(
SUMIF(INDIRECT(Equipo!$C$4&amp;"!B10:B1000"),$B86,INDIRECT(Equipo!$C$4&amp;"!"&amp;ADDRESS(10,COLUMN(I$9)-1)&amp;":"&amp;ADDRESS(1000,COLUMN(I$9)-1))),
SUMIF(INDIRECT(Equipo!$D$4&amp;"!B10:B1000"),$B86,INDIRECT(Equipo!$D$4&amp;"!"&amp;ADDRESS(10,COLUMN(I$9)-1)&amp;":"&amp;ADDRESS(1000,COLUMN(I$9)-1))),
SUMIF(INDIRECT(Equipo!$E$4&amp;"!B10:B1000"),$B86,INDIRECT(Equipo!$E$4&amp;"!"&amp;ADDRESS(10,COLUMN(I$9)-1)&amp;":"&amp;ADDRESS(1000,COLUMN(I$9)-1))),
SUMIF(INDIRECT(Equipo!$F$4&amp;"!B10:B1000"),$B86,INDIRECT(Equipo!$F$4&amp;"!"&amp;ADDRESS(10,COLUMN(I$9)-1)&amp;":"&amp;ADDRESS(1000,COLUMN(I$9)-1))),
SUMIF(INDIRECT(Equipo!$G$4&amp;"!B10:B1000"),$B86,INDIRECT(Equipo!$G$4&amp;"!"&amp;ADDRESS(10,COLUMN(I$9)-1)&amp;":"&amp;ADDRESS(1000,COLUMN(I$9)-1)))))</f>
        <v>-</v>
      </c>
      <c r="J86" s="19" t="str">
        <f t="array" ref="J86">IF(ISBLANK(Tareas!$B82),"-",SUM(
SUMIF(INDIRECT(Equipo!$C$4&amp;"!B10:B1000"),$B86,INDIRECT(Equipo!$C$4&amp;"!"&amp;ADDRESS(10,COLUMN(J$9)-1)&amp;":"&amp;ADDRESS(1000,COLUMN(J$9)-1))),
SUMIF(INDIRECT(Equipo!$D$4&amp;"!B10:B1000"),$B86,INDIRECT(Equipo!$D$4&amp;"!"&amp;ADDRESS(10,COLUMN(J$9)-1)&amp;":"&amp;ADDRESS(1000,COLUMN(J$9)-1))),
SUMIF(INDIRECT(Equipo!$E$4&amp;"!B10:B1000"),$B86,INDIRECT(Equipo!$E$4&amp;"!"&amp;ADDRESS(10,COLUMN(J$9)-1)&amp;":"&amp;ADDRESS(1000,COLUMN(J$9)-1))),
SUMIF(INDIRECT(Equipo!$F$4&amp;"!B10:B1000"),$B86,INDIRECT(Equipo!$F$4&amp;"!"&amp;ADDRESS(10,COLUMN(J$9)-1)&amp;":"&amp;ADDRESS(1000,COLUMN(J$9)-1))),
SUMIF(INDIRECT(Equipo!$G$4&amp;"!B10:B1000"),$B86,INDIRECT(Equipo!$G$4&amp;"!"&amp;ADDRESS(10,COLUMN(J$9)-1)&amp;":"&amp;ADDRESS(1000,COLUMN(J$9)-1)))))</f>
        <v>-</v>
      </c>
      <c r="K86" s="19" t="str">
        <f t="array" ref="K86">IF(ISBLANK(Tareas!$B82),"-",SUM(
SUMIF(INDIRECT(Equipo!$C$4&amp;"!B10:B1000"),$B86,INDIRECT(Equipo!$C$4&amp;"!"&amp;ADDRESS(10,COLUMN(K$9)-1)&amp;":"&amp;ADDRESS(1000,COLUMN(K$9)-1))),
SUMIF(INDIRECT(Equipo!$D$4&amp;"!B10:B1000"),$B86,INDIRECT(Equipo!$D$4&amp;"!"&amp;ADDRESS(10,COLUMN(K$9)-1)&amp;":"&amp;ADDRESS(1000,COLUMN(K$9)-1))),
SUMIF(INDIRECT(Equipo!$E$4&amp;"!B10:B1000"),$B86,INDIRECT(Equipo!$E$4&amp;"!"&amp;ADDRESS(10,COLUMN(K$9)-1)&amp;":"&amp;ADDRESS(1000,COLUMN(K$9)-1))),
SUMIF(INDIRECT(Equipo!$F$4&amp;"!B10:B1000"),$B86,INDIRECT(Equipo!$F$4&amp;"!"&amp;ADDRESS(10,COLUMN(K$9)-1)&amp;":"&amp;ADDRESS(1000,COLUMN(K$9)-1))),
SUMIF(INDIRECT(Equipo!$G$4&amp;"!B10:B1000"),$B86,INDIRECT(Equipo!$G$4&amp;"!"&amp;ADDRESS(10,COLUMN(K$9)-1)&amp;":"&amp;ADDRESS(1000,COLUMN(K$9)-1)))))</f>
        <v>-</v>
      </c>
    </row>
    <row r="87" ht="15.75" customHeight="1">
      <c r="B87" s="1" t="str">
        <f>IF(ISBLANK(Tareas!B83)," - ",Tareas!B83)</f>
        <v> - </v>
      </c>
      <c r="D87" s="19" t="str">
        <f t="array" ref="D87">IF(ISBLANK(Tareas!$B83),"-",SUM(
SUMIF(INDIRECT(Equipo!$C$4&amp;"!B10:B1000"),$B87,INDIRECT(Equipo!$C$4&amp;"!"&amp;ADDRESS(10,COLUMN(D$9)-1)&amp;":"&amp;ADDRESS(1000,COLUMN(D$9)-1))),
SUMIF(INDIRECT(Equipo!$D$4&amp;"!B10:B1000"),$B87,INDIRECT(Equipo!$D$4&amp;"!"&amp;ADDRESS(10,COLUMN(D$9)-1)&amp;":"&amp;ADDRESS(1000,COLUMN(D$9)-1))),
SUMIF(INDIRECT(Equipo!$E$4&amp;"!B10:B1000"),$B87,INDIRECT(Equipo!$E$4&amp;"!"&amp;ADDRESS(10,COLUMN(D$9)-1)&amp;":"&amp;ADDRESS(1000,COLUMN(D$9)-1))),
SUMIF(INDIRECT(Equipo!$F$4&amp;"!B10:B1000"),$B87,INDIRECT(Equipo!$F$4&amp;"!"&amp;ADDRESS(10,COLUMN(D$9)-1)&amp;":"&amp;ADDRESS(1000,COLUMN(D$9)-1))),
SUMIF(INDIRECT(Equipo!$G$4&amp;"!B10:B1000"),$B87,INDIRECT(Equipo!$G$4&amp;"!"&amp;ADDRESS(10,COLUMN(D$9)-1)&amp;":"&amp;ADDRESS(1000,COLUMN(D$9)-1)))))</f>
        <v>-</v>
      </c>
      <c r="E87" s="19" t="str">
        <f t="array" ref="E87">IF(ISBLANK(Tareas!$B83),"-",SUM(
SUMIF(INDIRECT(Equipo!$C$4&amp;"!B10:B1000"),$B87,INDIRECT(Equipo!$C$4&amp;"!"&amp;ADDRESS(10,COLUMN(E$9)-1)&amp;":"&amp;ADDRESS(1000,COLUMN(E$9)-1))),
SUMIF(INDIRECT(Equipo!$D$4&amp;"!B10:B1000"),$B87,INDIRECT(Equipo!$D$4&amp;"!"&amp;ADDRESS(10,COLUMN(E$9)-1)&amp;":"&amp;ADDRESS(1000,COLUMN(E$9)-1))),
SUMIF(INDIRECT(Equipo!$E$4&amp;"!B10:B1000"),$B87,INDIRECT(Equipo!$E$4&amp;"!"&amp;ADDRESS(10,COLUMN(E$9)-1)&amp;":"&amp;ADDRESS(1000,COLUMN(E$9)-1))),
SUMIF(INDIRECT(Equipo!$F$4&amp;"!B10:B1000"),$B87,INDIRECT(Equipo!$F$4&amp;"!"&amp;ADDRESS(10,COLUMN(E$9)-1)&amp;":"&amp;ADDRESS(1000,COLUMN(E$9)-1))),
SUMIF(INDIRECT(Equipo!$G$4&amp;"!B10:B1000"),$B87,INDIRECT(Equipo!$G$4&amp;"!"&amp;ADDRESS(10,COLUMN(E$9)-1)&amp;":"&amp;ADDRESS(1000,COLUMN(E$9)-1)))))</f>
        <v>-</v>
      </c>
      <c r="F87" s="19" t="str">
        <f t="array" ref="F87">IF(ISBLANK(Tareas!$B83),"-",SUM(
SUMIF(INDIRECT(Equipo!$C$4&amp;"!B10:B1000"),$B87,INDIRECT(Equipo!$C$4&amp;"!"&amp;ADDRESS(10,COLUMN(F$9)-1)&amp;":"&amp;ADDRESS(1000,COLUMN(F$9)-1))),
SUMIF(INDIRECT(Equipo!$D$4&amp;"!B10:B1000"),$B87,INDIRECT(Equipo!$D$4&amp;"!"&amp;ADDRESS(10,COLUMN(F$9)-1)&amp;":"&amp;ADDRESS(1000,COLUMN(F$9)-1))),
SUMIF(INDIRECT(Equipo!$E$4&amp;"!B10:B1000"),$B87,INDIRECT(Equipo!$E$4&amp;"!"&amp;ADDRESS(10,COLUMN(F$9)-1)&amp;":"&amp;ADDRESS(1000,COLUMN(F$9)-1))),
SUMIF(INDIRECT(Equipo!$F$4&amp;"!B10:B1000"),$B87,INDIRECT(Equipo!$F$4&amp;"!"&amp;ADDRESS(10,COLUMN(F$9)-1)&amp;":"&amp;ADDRESS(1000,COLUMN(F$9)-1))),
SUMIF(INDIRECT(Equipo!$G$4&amp;"!B10:B1000"),$B87,INDIRECT(Equipo!$G$4&amp;"!"&amp;ADDRESS(10,COLUMN(F$9)-1)&amp;":"&amp;ADDRESS(1000,COLUMN(F$9)-1)))))</f>
        <v>-</v>
      </c>
      <c r="G87" s="19" t="str">
        <f t="array" ref="G87">IF(ISBLANK(Tareas!$B83),"-",SUM(
SUMIF(INDIRECT(Equipo!$C$4&amp;"!B10:B1000"),$B87,INDIRECT(Equipo!$C$4&amp;"!"&amp;ADDRESS(10,COLUMN(G$9)-1)&amp;":"&amp;ADDRESS(1000,COLUMN(G$9)-1))),
SUMIF(INDIRECT(Equipo!$D$4&amp;"!B10:B1000"),$B87,INDIRECT(Equipo!$D$4&amp;"!"&amp;ADDRESS(10,COLUMN(G$9)-1)&amp;":"&amp;ADDRESS(1000,COLUMN(G$9)-1))),
SUMIF(INDIRECT(Equipo!$E$4&amp;"!B10:B1000"),$B87,INDIRECT(Equipo!$E$4&amp;"!"&amp;ADDRESS(10,COLUMN(G$9)-1)&amp;":"&amp;ADDRESS(1000,COLUMN(G$9)-1))),
SUMIF(INDIRECT(Equipo!$F$4&amp;"!B10:B1000"),$B87,INDIRECT(Equipo!$F$4&amp;"!"&amp;ADDRESS(10,COLUMN(G$9)-1)&amp;":"&amp;ADDRESS(1000,COLUMN(G$9)-1))),
SUMIF(INDIRECT(Equipo!$G$4&amp;"!B10:B1000"),$B87,INDIRECT(Equipo!$G$4&amp;"!"&amp;ADDRESS(10,COLUMN(G$9)-1)&amp;":"&amp;ADDRESS(1000,COLUMN(G$9)-1)))))</f>
        <v>-</v>
      </c>
      <c r="H87" s="19" t="str">
        <f t="array" ref="H87">IF(ISBLANK(Tareas!$B83),"-",SUM(
SUMIF(INDIRECT(Equipo!$C$4&amp;"!B10:B1000"),$B87,INDIRECT(Equipo!$C$4&amp;"!"&amp;ADDRESS(10,COLUMN(H$9)-1)&amp;":"&amp;ADDRESS(1000,COLUMN(H$9)-1))),
SUMIF(INDIRECT(Equipo!$D$4&amp;"!B10:B1000"),$B87,INDIRECT(Equipo!$D$4&amp;"!"&amp;ADDRESS(10,COLUMN(H$9)-1)&amp;":"&amp;ADDRESS(1000,COLUMN(H$9)-1))),
SUMIF(INDIRECT(Equipo!$E$4&amp;"!B10:B1000"),$B87,INDIRECT(Equipo!$E$4&amp;"!"&amp;ADDRESS(10,COLUMN(H$9)-1)&amp;":"&amp;ADDRESS(1000,COLUMN(H$9)-1))),
SUMIF(INDIRECT(Equipo!$F$4&amp;"!B10:B1000"),$B87,INDIRECT(Equipo!$F$4&amp;"!"&amp;ADDRESS(10,COLUMN(H$9)-1)&amp;":"&amp;ADDRESS(1000,COLUMN(H$9)-1))),
SUMIF(INDIRECT(Equipo!$G$4&amp;"!B10:B1000"),$B87,INDIRECT(Equipo!$G$4&amp;"!"&amp;ADDRESS(10,COLUMN(H$9)-1)&amp;":"&amp;ADDRESS(1000,COLUMN(H$9)-1)))))</f>
        <v>-</v>
      </c>
      <c r="I87" s="19" t="str">
        <f t="array" ref="I87">IF(ISBLANK(Tareas!$B83),"-",SUM(
SUMIF(INDIRECT(Equipo!$C$4&amp;"!B10:B1000"),$B87,INDIRECT(Equipo!$C$4&amp;"!"&amp;ADDRESS(10,COLUMN(I$9)-1)&amp;":"&amp;ADDRESS(1000,COLUMN(I$9)-1))),
SUMIF(INDIRECT(Equipo!$D$4&amp;"!B10:B1000"),$B87,INDIRECT(Equipo!$D$4&amp;"!"&amp;ADDRESS(10,COLUMN(I$9)-1)&amp;":"&amp;ADDRESS(1000,COLUMN(I$9)-1))),
SUMIF(INDIRECT(Equipo!$E$4&amp;"!B10:B1000"),$B87,INDIRECT(Equipo!$E$4&amp;"!"&amp;ADDRESS(10,COLUMN(I$9)-1)&amp;":"&amp;ADDRESS(1000,COLUMN(I$9)-1))),
SUMIF(INDIRECT(Equipo!$F$4&amp;"!B10:B1000"),$B87,INDIRECT(Equipo!$F$4&amp;"!"&amp;ADDRESS(10,COLUMN(I$9)-1)&amp;":"&amp;ADDRESS(1000,COLUMN(I$9)-1))),
SUMIF(INDIRECT(Equipo!$G$4&amp;"!B10:B1000"),$B87,INDIRECT(Equipo!$G$4&amp;"!"&amp;ADDRESS(10,COLUMN(I$9)-1)&amp;":"&amp;ADDRESS(1000,COLUMN(I$9)-1)))))</f>
        <v>-</v>
      </c>
      <c r="J87" s="19" t="str">
        <f t="array" ref="J87">IF(ISBLANK(Tareas!$B83),"-",SUM(
SUMIF(INDIRECT(Equipo!$C$4&amp;"!B10:B1000"),$B87,INDIRECT(Equipo!$C$4&amp;"!"&amp;ADDRESS(10,COLUMN(J$9)-1)&amp;":"&amp;ADDRESS(1000,COLUMN(J$9)-1))),
SUMIF(INDIRECT(Equipo!$D$4&amp;"!B10:B1000"),$B87,INDIRECT(Equipo!$D$4&amp;"!"&amp;ADDRESS(10,COLUMN(J$9)-1)&amp;":"&amp;ADDRESS(1000,COLUMN(J$9)-1))),
SUMIF(INDIRECT(Equipo!$E$4&amp;"!B10:B1000"),$B87,INDIRECT(Equipo!$E$4&amp;"!"&amp;ADDRESS(10,COLUMN(J$9)-1)&amp;":"&amp;ADDRESS(1000,COLUMN(J$9)-1))),
SUMIF(INDIRECT(Equipo!$F$4&amp;"!B10:B1000"),$B87,INDIRECT(Equipo!$F$4&amp;"!"&amp;ADDRESS(10,COLUMN(J$9)-1)&amp;":"&amp;ADDRESS(1000,COLUMN(J$9)-1))),
SUMIF(INDIRECT(Equipo!$G$4&amp;"!B10:B1000"),$B87,INDIRECT(Equipo!$G$4&amp;"!"&amp;ADDRESS(10,COLUMN(J$9)-1)&amp;":"&amp;ADDRESS(1000,COLUMN(J$9)-1)))))</f>
        <v>-</v>
      </c>
      <c r="K87" s="19" t="str">
        <f t="array" ref="K87">IF(ISBLANK(Tareas!$B83),"-",SUM(
SUMIF(INDIRECT(Equipo!$C$4&amp;"!B10:B1000"),$B87,INDIRECT(Equipo!$C$4&amp;"!"&amp;ADDRESS(10,COLUMN(K$9)-1)&amp;":"&amp;ADDRESS(1000,COLUMN(K$9)-1))),
SUMIF(INDIRECT(Equipo!$D$4&amp;"!B10:B1000"),$B87,INDIRECT(Equipo!$D$4&amp;"!"&amp;ADDRESS(10,COLUMN(K$9)-1)&amp;":"&amp;ADDRESS(1000,COLUMN(K$9)-1))),
SUMIF(INDIRECT(Equipo!$E$4&amp;"!B10:B1000"),$B87,INDIRECT(Equipo!$E$4&amp;"!"&amp;ADDRESS(10,COLUMN(K$9)-1)&amp;":"&amp;ADDRESS(1000,COLUMN(K$9)-1))),
SUMIF(INDIRECT(Equipo!$F$4&amp;"!B10:B1000"),$B87,INDIRECT(Equipo!$F$4&amp;"!"&amp;ADDRESS(10,COLUMN(K$9)-1)&amp;":"&amp;ADDRESS(1000,COLUMN(K$9)-1))),
SUMIF(INDIRECT(Equipo!$G$4&amp;"!B10:B1000"),$B87,INDIRECT(Equipo!$G$4&amp;"!"&amp;ADDRESS(10,COLUMN(K$9)-1)&amp;":"&amp;ADDRESS(1000,COLUMN(K$9)-1)))))</f>
        <v>-</v>
      </c>
    </row>
    <row r="88" ht="15.75" customHeight="1">
      <c r="B88" s="1" t="str">
        <f>IF(ISBLANK(Tareas!B84)," - ",Tareas!B84)</f>
        <v> - </v>
      </c>
      <c r="D88" s="19" t="str">
        <f t="array" ref="D88">IF(ISBLANK(Tareas!$B84),"-",SUM(
SUMIF(INDIRECT(Equipo!$C$4&amp;"!B10:B1000"),$B88,INDIRECT(Equipo!$C$4&amp;"!"&amp;ADDRESS(10,COLUMN(D$9)-1)&amp;":"&amp;ADDRESS(1000,COLUMN(D$9)-1))),
SUMIF(INDIRECT(Equipo!$D$4&amp;"!B10:B1000"),$B88,INDIRECT(Equipo!$D$4&amp;"!"&amp;ADDRESS(10,COLUMN(D$9)-1)&amp;":"&amp;ADDRESS(1000,COLUMN(D$9)-1))),
SUMIF(INDIRECT(Equipo!$E$4&amp;"!B10:B1000"),$B88,INDIRECT(Equipo!$E$4&amp;"!"&amp;ADDRESS(10,COLUMN(D$9)-1)&amp;":"&amp;ADDRESS(1000,COLUMN(D$9)-1))),
SUMIF(INDIRECT(Equipo!$F$4&amp;"!B10:B1000"),$B88,INDIRECT(Equipo!$F$4&amp;"!"&amp;ADDRESS(10,COLUMN(D$9)-1)&amp;":"&amp;ADDRESS(1000,COLUMN(D$9)-1))),
SUMIF(INDIRECT(Equipo!$G$4&amp;"!B10:B1000"),$B88,INDIRECT(Equipo!$G$4&amp;"!"&amp;ADDRESS(10,COLUMN(D$9)-1)&amp;":"&amp;ADDRESS(1000,COLUMN(D$9)-1)))))</f>
        <v>-</v>
      </c>
      <c r="E88" s="19" t="str">
        <f t="array" ref="E88">IF(ISBLANK(Tareas!$B84),"-",SUM(
SUMIF(INDIRECT(Equipo!$C$4&amp;"!B10:B1000"),$B88,INDIRECT(Equipo!$C$4&amp;"!"&amp;ADDRESS(10,COLUMN(E$9)-1)&amp;":"&amp;ADDRESS(1000,COLUMN(E$9)-1))),
SUMIF(INDIRECT(Equipo!$D$4&amp;"!B10:B1000"),$B88,INDIRECT(Equipo!$D$4&amp;"!"&amp;ADDRESS(10,COLUMN(E$9)-1)&amp;":"&amp;ADDRESS(1000,COLUMN(E$9)-1))),
SUMIF(INDIRECT(Equipo!$E$4&amp;"!B10:B1000"),$B88,INDIRECT(Equipo!$E$4&amp;"!"&amp;ADDRESS(10,COLUMN(E$9)-1)&amp;":"&amp;ADDRESS(1000,COLUMN(E$9)-1))),
SUMIF(INDIRECT(Equipo!$F$4&amp;"!B10:B1000"),$B88,INDIRECT(Equipo!$F$4&amp;"!"&amp;ADDRESS(10,COLUMN(E$9)-1)&amp;":"&amp;ADDRESS(1000,COLUMN(E$9)-1))),
SUMIF(INDIRECT(Equipo!$G$4&amp;"!B10:B1000"),$B88,INDIRECT(Equipo!$G$4&amp;"!"&amp;ADDRESS(10,COLUMN(E$9)-1)&amp;":"&amp;ADDRESS(1000,COLUMN(E$9)-1)))))</f>
        <v>-</v>
      </c>
      <c r="F88" s="19" t="str">
        <f t="array" ref="F88">IF(ISBLANK(Tareas!$B84),"-",SUM(
SUMIF(INDIRECT(Equipo!$C$4&amp;"!B10:B1000"),$B88,INDIRECT(Equipo!$C$4&amp;"!"&amp;ADDRESS(10,COLUMN(F$9)-1)&amp;":"&amp;ADDRESS(1000,COLUMN(F$9)-1))),
SUMIF(INDIRECT(Equipo!$D$4&amp;"!B10:B1000"),$B88,INDIRECT(Equipo!$D$4&amp;"!"&amp;ADDRESS(10,COLUMN(F$9)-1)&amp;":"&amp;ADDRESS(1000,COLUMN(F$9)-1))),
SUMIF(INDIRECT(Equipo!$E$4&amp;"!B10:B1000"),$B88,INDIRECT(Equipo!$E$4&amp;"!"&amp;ADDRESS(10,COLUMN(F$9)-1)&amp;":"&amp;ADDRESS(1000,COLUMN(F$9)-1))),
SUMIF(INDIRECT(Equipo!$F$4&amp;"!B10:B1000"),$B88,INDIRECT(Equipo!$F$4&amp;"!"&amp;ADDRESS(10,COLUMN(F$9)-1)&amp;":"&amp;ADDRESS(1000,COLUMN(F$9)-1))),
SUMIF(INDIRECT(Equipo!$G$4&amp;"!B10:B1000"),$B88,INDIRECT(Equipo!$G$4&amp;"!"&amp;ADDRESS(10,COLUMN(F$9)-1)&amp;":"&amp;ADDRESS(1000,COLUMN(F$9)-1)))))</f>
        <v>-</v>
      </c>
      <c r="G88" s="19" t="str">
        <f t="array" ref="G88">IF(ISBLANK(Tareas!$B84),"-",SUM(
SUMIF(INDIRECT(Equipo!$C$4&amp;"!B10:B1000"),$B88,INDIRECT(Equipo!$C$4&amp;"!"&amp;ADDRESS(10,COLUMN(G$9)-1)&amp;":"&amp;ADDRESS(1000,COLUMN(G$9)-1))),
SUMIF(INDIRECT(Equipo!$D$4&amp;"!B10:B1000"),$B88,INDIRECT(Equipo!$D$4&amp;"!"&amp;ADDRESS(10,COLUMN(G$9)-1)&amp;":"&amp;ADDRESS(1000,COLUMN(G$9)-1))),
SUMIF(INDIRECT(Equipo!$E$4&amp;"!B10:B1000"),$B88,INDIRECT(Equipo!$E$4&amp;"!"&amp;ADDRESS(10,COLUMN(G$9)-1)&amp;":"&amp;ADDRESS(1000,COLUMN(G$9)-1))),
SUMIF(INDIRECT(Equipo!$F$4&amp;"!B10:B1000"),$B88,INDIRECT(Equipo!$F$4&amp;"!"&amp;ADDRESS(10,COLUMN(G$9)-1)&amp;":"&amp;ADDRESS(1000,COLUMN(G$9)-1))),
SUMIF(INDIRECT(Equipo!$G$4&amp;"!B10:B1000"),$B88,INDIRECT(Equipo!$G$4&amp;"!"&amp;ADDRESS(10,COLUMN(G$9)-1)&amp;":"&amp;ADDRESS(1000,COLUMN(G$9)-1)))))</f>
        <v>-</v>
      </c>
      <c r="H88" s="19" t="str">
        <f t="array" ref="H88">IF(ISBLANK(Tareas!$B84),"-",SUM(
SUMIF(INDIRECT(Equipo!$C$4&amp;"!B10:B1000"),$B88,INDIRECT(Equipo!$C$4&amp;"!"&amp;ADDRESS(10,COLUMN(H$9)-1)&amp;":"&amp;ADDRESS(1000,COLUMN(H$9)-1))),
SUMIF(INDIRECT(Equipo!$D$4&amp;"!B10:B1000"),$B88,INDIRECT(Equipo!$D$4&amp;"!"&amp;ADDRESS(10,COLUMN(H$9)-1)&amp;":"&amp;ADDRESS(1000,COLUMN(H$9)-1))),
SUMIF(INDIRECT(Equipo!$E$4&amp;"!B10:B1000"),$B88,INDIRECT(Equipo!$E$4&amp;"!"&amp;ADDRESS(10,COLUMN(H$9)-1)&amp;":"&amp;ADDRESS(1000,COLUMN(H$9)-1))),
SUMIF(INDIRECT(Equipo!$F$4&amp;"!B10:B1000"),$B88,INDIRECT(Equipo!$F$4&amp;"!"&amp;ADDRESS(10,COLUMN(H$9)-1)&amp;":"&amp;ADDRESS(1000,COLUMN(H$9)-1))),
SUMIF(INDIRECT(Equipo!$G$4&amp;"!B10:B1000"),$B88,INDIRECT(Equipo!$G$4&amp;"!"&amp;ADDRESS(10,COLUMN(H$9)-1)&amp;":"&amp;ADDRESS(1000,COLUMN(H$9)-1)))))</f>
        <v>-</v>
      </c>
      <c r="I88" s="19" t="str">
        <f t="array" ref="I88">IF(ISBLANK(Tareas!$B84),"-",SUM(
SUMIF(INDIRECT(Equipo!$C$4&amp;"!B10:B1000"),$B88,INDIRECT(Equipo!$C$4&amp;"!"&amp;ADDRESS(10,COLUMN(I$9)-1)&amp;":"&amp;ADDRESS(1000,COLUMN(I$9)-1))),
SUMIF(INDIRECT(Equipo!$D$4&amp;"!B10:B1000"),$B88,INDIRECT(Equipo!$D$4&amp;"!"&amp;ADDRESS(10,COLUMN(I$9)-1)&amp;":"&amp;ADDRESS(1000,COLUMN(I$9)-1))),
SUMIF(INDIRECT(Equipo!$E$4&amp;"!B10:B1000"),$B88,INDIRECT(Equipo!$E$4&amp;"!"&amp;ADDRESS(10,COLUMN(I$9)-1)&amp;":"&amp;ADDRESS(1000,COLUMN(I$9)-1))),
SUMIF(INDIRECT(Equipo!$F$4&amp;"!B10:B1000"),$B88,INDIRECT(Equipo!$F$4&amp;"!"&amp;ADDRESS(10,COLUMN(I$9)-1)&amp;":"&amp;ADDRESS(1000,COLUMN(I$9)-1))),
SUMIF(INDIRECT(Equipo!$G$4&amp;"!B10:B1000"),$B88,INDIRECT(Equipo!$G$4&amp;"!"&amp;ADDRESS(10,COLUMN(I$9)-1)&amp;":"&amp;ADDRESS(1000,COLUMN(I$9)-1)))))</f>
        <v>-</v>
      </c>
      <c r="J88" s="19" t="str">
        <f t="array" ref="J88">IF(ISBLANK(Tareas!$B84),"-",SUM(
SUMIF(INDIRECT(Equipo!$C$4&amp;"!B10:B1000"),$B88,INDIRECT(Equipo!$C$4&amp;"!"&amp;ADDRESS(10,COLUMN(J$9)-1)&amp;":"&amp;ADDRESS(1000,COLUMN(J$9)-1))),
SUMIF(INDIRECT(Equipo!$D$4&amp;"!B10:B1000"),$B88,INDIRECT(Equipo!$D$4&amp;"!"&amp;ADDRESS(10,COLUMN(J$9)-1)&amp;":"&amp;ADDRESS(1000,COLUMN(J$9)-1))),
SUMIF(INDIRECT(Equipo!$E$4&amp;"!B10:B1000"),$B88,INDIRECT(Equipo!$E$4&amp;"!"&amp;ADDRESS(10,COLUMN(J$9)-1)&amp;":"&amp;ADDRESS(1000,COLUMN(J$9)-1))),
SUMIF(INDIRECT(Equipo!$F$4&amp;"!B10:B1000"),$B88,INDIRECT(Equipo!$F$4&amp;"!"&amp;ADDRESS(10,COLUMN(J$9)-1)&amp;":"&amp;ADDRESS(1000,COLUMN(J$9)-1))),
SUMIF(INDIRECT(Equipo!$G$4&amp;"!B10:B1000"),$B88,INDIRECT(Equipo!$G$4&amp;"!"&amp;ADDRESS(10,COLUMN(J$9)-1)&amp;":"&amp;ADDRESS(1000,COLUMN(J$9)-1)))))</f>
        <v>-</v>
      </c>
      <c r="K88" s="19" t="str">
        <f t="array" ref="K88">IF(ISBLANK(Tareas!$B84),"-",SUM(
SUMIF(INDIRECT(Equipo!$C$4&amp;"!B10:B1000"),$B88,INDIRECT(Equipo!$C$4&amp;"!"&amp;ADDRESS(10,COLUMN(K$9)-1)&amp;":"&amp;ADDRESS(1000,COLUMN(K$9)-1))),
SUMIF(INDIRECT(Equipo!$D$4&amp;"!B10:B1000"),$B88,INDIRECT(Equipo!$D$4&amp;"!"&amp;ADDRESS(10,COLUMN(K$9)-1)&amp;":"&amp;ADDRESS(1000,COLUMN(K$9)-1))),
SUMIF(INDIRECT(Equipo!$E$4&amp;"!B10:B1000"),$B88,INDIRECT(Equipo!$E$4&amp;"!"&amp;ADDRESS(10,COLUMN(K$9)-1)&amp;":"&amp;ADDRESS(1000,COLUMN(K$9)-1))),
SUMIF(INDIRECT(Equipo!$F$4&amp;"!B10:B1000"),$B88,INDIRECT(Equipo!$F$4&amp;"!"&amp;ADDRESS(10,COLUMN(K$9)-1)&amp;":"&amp;ADDRESS(1000,COLUMN(K$9)-1))),
SUMIF(INDIRECT(Equipo!$G$4&amp;"!B10:B1000"),$B88,INDIRECT(Equipo!$G$4&amp;"!"&amp;ADDRESS(10,COLUMN(K$9)-1)&amp;":"&amp;ADDRESS(1000,COLUMN(K$9)-1)))))</f>
        <v>-</v>
      </c>
    </row>
    <row r="89" ht="15.75" customHeight="1">
      <c r="B89" s="1" t="str">
        <f>IF(ISBLANK(Tareas!B85)," - ",Tareas!B85)</f>
        <v> - </v>
      </c>
      <c r="D89" s="19" t="str">
        <f t="array" ref="D89">IF(ISBLANK(Tareas!$B85),"-",SUM(
SUMIF(INDIRECT(Equipo!$C$4&amp;"!B10:B1000"),$B89,INDIRECT(Equipo!$C$4&amp;"!"&amp;ADDRESS(10,COLUMN(D$9)-1)&amp;":"&amp;ADDRESS(1000,COLUMN(D$9)-1))),
SUMIF(INDIRECT(Equipo!$D$4&amp;"!B10:B1000"),$B89,INDIRECT(Equipo!$D$4&amp;"!"&amp;ADDRESS(10,COLUMN(D$9)-1)&amp;":"&amp;ADDRESS(1000,COLUMN(D$9)-1))),
SUMIF(INDIRECT(Equipo!$E$4&amp;"!B10:B1000"),$B89,INDIRECT(Equipo!$E$4&amp;"!"&amp;ADDRESS(10,COLUMN(D$9)-1)&amp;":"&amp;ADDRESS(1000,COLUMN(D$9)-1))),
SUMIF(INDIRECT(Equipo!$F$4&amp;"!B10:B1000"),$B89,INDIRECT(Equipo!$F$4&amp;"!"&amp;ADDRESS(10,COLUMN(D$9)-1)&amp;":"&amp;ADDRESS(1000,COLUMN(D$9)-1))),
SUMIF(INDIRECT(Equipo!$G$4&amp;"!B10:B1000"),$B89,INDIRECT(Equipo!$G$4&amp;"!"&amp;ADDRESS(10,COLUMN(D$9)-1)&amp;":"&amp;ADDRESS(1000,COLUMN(D$9)-1)))))</f>
        <v>-</v>
      </c>
      <c r="E89" s="19" t="str">
        <f t="array" ref="E89">IF(ISBLANK(Tareas!$B85),"-",SUM(
SUMIF(INDIRECT(Equipo!$C$4&amp;"!B10:B1000"),$B89,INDIRECT(Equipo!$C$4&amp;"!"&amp;ADDRESS(10,COLUMN(E$9)-1)&amp;":"&amp;ADDRESS(1000,COLUMN(E$9)-1))),
SUMIF(INDIRECT(Equipo!$D$4&amp;"!B10:B1000"),$B89,INDIRECT(Equipo!$D$4&amp;"!"&amp;ADDRESS(10,COLUMN(E$9)-1)&amp;":"&amp;ADDRESS(1000,COLUMN(E$9)-1))),
SUMIF(INDIRECT(Equipo!$E$4&amp;"!B10:B1000"),$B89,INDIRECT(Equipo!$E$4&amp;"!"&amp;ADDRESS(10,COLUMN(E$9)-1)&amp;":"&amp;ADDRESS(1000,COLUMN(E$9)-1))),
SUMIF(INDIRECT(Equipo!$F$4&amp;"!B10:B1000"),$B89,INDIRECT(Equipo!$F$4&amp;"!"&amp;ADDRESS(10,COLUMN(E$9)-1)&amp;":"&amp;ADDRESS(1000,COLUMN(E$9)-1))),
SUMIF(INDIRECT(Equipo!$G$4&amp;"!B10:B1000"),$B89,INDIRECT(Equipo!$G$4&amp;"!"&amp;ADDRESS(10,COLUMN(E$9)-1)&amp;":"&amp;ADDRESS(1000,COLUMN(E$9)-1)))))</f>
        <v>-</v>
      </c>
      <c r="F89" s="19" t="str">
        <f t="array" ref="F89">IF(ISBLANK(Tareas!$B85),"-",SUM(
SUMIF(INDIRECT(Equipo!$C$4&amp;"!B10:B1000"),$B89,INDIRECT(Equipo!$C$4&amp;"!"&amp;ADDRESS(10,COLUMN(F$9)-1)&amp;":"&amp;ADDRESS(1000,COLUMN(F$9)-1))),
SUMIF(INDIRECT(Equipo!$D$4&amp;"!B10:B1000"),$B89,INDIRECT(Equipo!$D$4&amp;"!"&amp;ADDRESS(10,COLUMN(F$9)-1)&amp;":"&amp;ADDRESS(1000,COLUMN(F$9)-1))),
SUMIF(INDIRECT(Equipo!$E$4&amp;"!B10:B1000"),$B89,INDIRECT(Equipo!$E$4&amp;"!"&amp;ADDRESS(10,COLUMN(F$9)-1)&amp;":"&amp;ADDRESS(1000,COLUMN(F$9)-1))),
SUMIF(INDIRECT(Equipo!$F$4&amp;"!B10:B1000"),$B89,INDIRECT(Equipo!$F$4&amp;"!"&amp;ADDRESS(10,COLUMN(F$9)-1)&amp;":"&amp;ADDRESS(1000,COLUMN(F$9)-1))),
SUMIF(INDIRECT(Equipo!$G$4&amp;"!B10:B1000"),$B89,INDIRECT(Equipo!$G$4&amp;"!"&amp;ADDRESS(10,COLUMN(F$9)-1)&amp;":"&amp;ADDRESS(1000,COLUMN(F$9)-1)))))</f>
        <v>-</v>
      </c>
      <c r="G89" s="19" t="str">
        <f t="array" ref="G89">IF(ISBLANK(Tareas!$B85),"-",SUM(
SUMIF(INDIRECT(Equipo!$C$4&amp;"!B10:B1000"),$B89,INDIRECT(Equipo!$C$4&amp;"!"&amp;ADDRESS(10,COLUMN(G$9)-1)&amp;":"&amp;ADDRESS(1000,COLUMN(G$9)-1))),
SUMIF(INDIRECT(Equipo!$D$4&amp;"!B10:B1000"),$B89,INDIRECT(Equipo!$D$4&amp;"!"&amp;ADDRESS(10,COLUMN(G$9)-1)&amp;":"&amp;ADDRESS(1000,COLUMN(G$9)-1))),
SUMIF(INDIRECT(Equipo!$E$4&amp;"!B10:B1000"),$B89,INDIRECT(Equipo!$E$4&amp;"!"&amp;ADDRESS(10,COLUMN(G$9)-1)&amp;":"&amp;ADDRESS(1000,COLUMN(G$9)-1))),
SUMIF(INDIRECT(Equipo!$F$4&amp;"!B10:B1000"),$B89,INDIRECT(Equipo!$F$4&amp;"!"&amp;ADDRESS(10,COLUMN(G$9)-1)&amp;":"&amp;ADDRESS(1000,COLUMN(G$9)-1))),
SUMIF(INDIRECT(Equipo!$G$4&amp;"!B10:B1000"),$B89,INDIRECT(Equipo!$G$4&amp;"!"&amp;ADDRESS(10,COLUMN(G$9)-1)&amp;":"&amp;ADDRESS(1000,COLUMN(G$9)-1)))))</f>
        <v>-</v>
      </c>
      <c r="H89" s="19" t="str">
        <f t="array" ref="H89">IF(ISBLANK(Tareas!$B85),"-",SUM(
SUMIF(INDIRECT(Equipo!$C$4&amp;"!B10:B1000"),$B89,INDIRECT(Equipo!$C$4&amp;"!"&amp;ADDRESS(10,COLUMN(H$9)-1)&amp;":"&amp;ADDRESS(1000,COLUMN(H$9)-1))),
SUMIF(INDIRECT(Equipo!$D$4&amp;"!B10:B1000"),$B89,INDIRECT(Equipo!$D$4&amp;"!"&amp;ADDRESS(10,COLUMN(H$9)-1)&amp;":"&amp;ADDRESS(1000,COLUMN(H$9)-1))),
SUMIF(INDIRECT(Equipo!$E$4&amp;"!B10:B1000"),$B89,INDIRECT(Equipo!$E$4&amp;"!"&amp;ADDRESS(10,COLUMN(H$9)-1)&amp;":"&amp;ADDRESS(1000,COLUMN(H$9)-1))),
SUMIF(INDIRECT(Equipo!$F$4&amp;"!B10:B1000"),$B89,INDIRECT(Equipo!$F$4&amp;"!"&amp;ADDRESS(10,COLUMN(H$9)-1)&amp;":"&amp;ADDRESS(1000,COLUMN(H$9)-1))),
SUMIF(INDIRECT(Equipo!$G$4&amp;"!B10:B1000"),$B89,INDIRECT(Equipo!$G$4&amp;"!"&amp;ADDRESS(10,COLUMN(H$9)-1)&amp;":"&amp;ADDRESS(1000,COLUMN(H$9)-1)))))</f>
        <v>-</v>
      </c>
      <c r="I89" s="19" t="str">
        <f t="array" ref="I89">IF(ISBLANK(Tareas!$B85),"-",SUM(
SUMIF(INDIRECT(Equipo!$C$4&amp;"!B10:B1000"),$B89,INDIRECT(Equipo!$C$4&amp;"!"&amp;ADDRESS(10,COLUMN(I$9)-1)&amp;":"&amp;ADDRESS(1000,COLUMN(I$9)-1))),
SUMIF(INDIRECT(Equipo!$D$4&amp;"!B10:B1000"),$B89,INDIRECT(Equipo!$D$4&amp;"!"&amp;ADDRESS(10,COLUMN(I$9)-1)&amp;":"&amp;ADDRESS(1000,COLUMN(I$9)-1))),
SUMIF(INDIRECT(Equipo!$E$4&amp;"!B10:B1000"),$B89,INDIRECT(Equipo!$E$4&amp;"!"&amp;ADDRESS(10,COLUMN(I$9)-1)&amp;":"&amp;ADDRESS(1000,COLUMN(I$9)-1))),
SUMIF(INDIRECT(Equipo!$F$4&amp;"!B10:B1000"),$B89,INDIRECT(Equipo!$F$4&amp;"!"&amp;ADDRESS(10,COLUMN(I$9)-1)&amp;":"&amp;ADDRESS(1000,COLUMN(I$9)-1))),
SUMIF(INDIRECT(Equipo!$G$4&amp;"!B10:B1000"),$B89,INDIRECT(Equipo!$G$4&amp;"!"&amp;ADDRESS(10,COLUMN(I$9)-1)&amp;":"&amp;ADDRESS(1000,COLUMN(I$9)-1)))))</f>
        <v>-</v>
      </c>
      <c r="J89" s="19" t="str">
        <f t="array" ref="J89">IF(ISBLANK(Tareas!$B85),"-",SUM(
SUMIF(INDIRECT(Equipo!$C$4&amp;"!B10:B1000"),$B89,INDIRECT(Equipo!$C$4&amp;"!"&amp;ADDRESS(10,COLUMN(J$9)-1)&amp;":"&amp;ADDRESS(1000,COLUMN(J$9)-1))),
SUMIF(INDIRECT(Equipo!$D$4&amp;"!B10:B1000"),$B89,INDIRECT(Equipo!$D$4&amp;"!"&amp;ADDRESS(10,COLUMN(J$9)-1)&amp;":"&amp;ADDRESS(1000,COLUMN(J$9)-1))),
SUMIF(INDIRECT(Equipo!$E$4&amp;"!B10:B1000"),$B89,INDIRECT(Equipo!$E$4&amp;"!"&amp;ADDRESS(10,COLUMN(J$9)-1)&amp;":"&amp;ADDRESS(1000,COLUMN(J$9)-1))),
SUMIF(INDIRECT(Equipo!$F$4&amp;"!B10:B1000"),$B89,INDIRECT(Equipo!$F$4&amp;"!"&amp;ADDRESS(10,COLUMN(J$9)-1)&amp;":"&amp;ADDRESS(1000,COLUMN(J$9)-1))),
SUMIF(INDIRECT(Equipo!$G$4&amp;"!B10:B1000"),$B89,INDIRECT(Equipo!$G$4&amp;"!"&amp;ADDRESS(10,COLUMN(J$9)-1)&amp;":"&amp;ADDRESS(1000,COLUMN(J$9)-1)))))</f>
        <v>-</v>
      </c>
      <c r="K89" s="19" t="str">
        <f t="array" ref="K89">IF(ISBLANK(Tareas!$B85),"-",SUM(
SUMIF(INDIRECT(Equipo!$C$4&amp;"!B10:B1000"),$B89,INDIRECT(Equipo!$C$4&amp;"!"&amp;ADDRESS(10,COLUMN(K$9)-1)&amp;":"&amp;ADDRESS(1000,COLUMN(K$9)-1))),
SUMIF(INDIRECT(Equipo!$D$4&amp;"!B10:B1000"),$B89,INDIRECT(Equipo!$D$4&amp;"!"&amp;ADDRESS(10,COLUMN(K$9)-1)&amp;":"&amp;ADDRESS(1000,COLUMN(K$9)-1))),
SUMIF(INDIRECT(Equipo!$E$4&amp;"!B10:B1000"),$B89,INDIRECT(Equipo!$E$4&amp;"!"&amp;ADDRESS(10,COLUMN(K$9)-1)&amp;":"&amp;ADDRESS(1000,COLUMN(K$9)-1))),
SUMIF(INDIRECT(Equipo!$F$4&amp;"!B10:B1000"),$B89,INDIRECT(Equipo!$F$4&amp;"!"&amp;ADDRESS(10,COLUMN(K$9)-1)&amp;":"&amp;ADDRESS(1000,COLUMN(K$9)-1))),
SUMIF(INDIRECT(Equipo!$G$4&amp;"!B10:B1000"),$B89,INDIRECT(Equipo!$G$4&amp;"!"&amp;ADDRESS(10,COLUMN(K$9)-1)&amp;":"&amp;ADDRESS(1000,COLUMN(K$9)-1)))))</f>
        <v>-</v>
      </c>
    </row>
    <row r="90" ht="15.75" customHeight="1">
      <c r="B90" s="1" t="str">
        <f>IF(ISBLANK(Tareas!B86)," - ",Tareas!B86)</f>
        <v> - </v>
      </c>
      <c r="D90" s="19" t="str">
        <f t="array" ref="D90">IF(ISBLANK(Tareas!$B86),"-",SUM(
SUMIF(INDIRECT(Equipo!$C$4&amp;"!B10:B1000"),$B90,INDIRECT(Equipo!$C$4&amp;"!"&amp;ADDRESS(10,COLUMN(D$9)-1)&amp;":"&amp;ADDRESS(1000,COLUMN(D$9)-1))),
SUMIF(INDIRECT(Equipo!$D$4&amp;"!B10:B1000"),$B90,INDIRECT(Equipo!$D$4&amp;"!"&amp;ADDRESS(10,COLUMN(D$9)-1)&amp;":"&amp;ADDRESS(1000,COLUMN(D$9)-1))),
SUMIF(INDIRECT(Equipo!$E$4&amp;"!B10:B1000"),$B90,INDIRECT(Equipo!$E$4&amp;"!"&amp;ADDRESS(10,COLUMN(D$9)-1)&amp;":"&amp;ADDRESS(1000,COLUMN(D$9)-1))),
SUMIF(INDIRECT(Equipo!$F$4&amp;"!B10:B1000"),$B90,INDIRECT(Equipo!$F$4&amp;"!"&amp;ADDRESS(10,COLUMN(D$9)-1)&amp;":"&amp;ADDRESS(1000,COLUMN(D$9)-1))),
SUMIF(INDIRECT(Equipo!$G$4&amp;"!B10:B1000"),$B90,INDIRECT(Equipo!$G$4&amp;"!"&amp;ADDRESS(10,COLUMN(D$9)-1)&amp;":"&amp;ADDRESS(1000,COLUMN(D$9)-1)))))</f>
        <v>-</v>
      </c>
      <c r="E90" s="19" t="str">
        <f t="array" ref="E90">IF(ISBLANK(Tareas!$B86),"-",SUM(
SUMIF(INDIRECT(Equipo!$C$4&amp;"!B10:B1000"),$B90,INDIRECT(Equipo!$C$4&amp;"!"&amp;ADDRESS(10,COLUMN(E$9)-1)&amp;":"&amp;ADDRESS(1000,COLUMN(E$9)-1))),
SUMIF(INDIRECT(Equipo!$D$4&amp;"!B10:B1000"),$B90,INDIRECT(Equipo!$D$4&amp;"!"&amp;ADDRESS(10,COLUMN(E$9)-1)&amp;":"&amp;ADDRESS(1000,COLUMN(E$9)-1))),
SUMIF(INDIRECT(Equipo!$E$4&amp;"!B10:B1000"),$B90,INDIRECT(Equipo!$E$4&amp;"!"&amp;ADDRESS(10,COLUMN(E$9)-1)&amp;":"&amp;ADDRESS(1000,COLUMN(E$9)-1))),
SUMIF(INDIRECT(Equipo!$F$4&amp;"!B10:B1000"),$B90,INDIRECT(Equipo!$F$4&amp;"!"&amp;ADDRESS(10,COLUMN(E$9)-1)&amp;":"&amp;ADDRESS(1000,COLUMN(E$9)-1))),
SUMIF(INDIRECT(Equipo!$G$4&amp;"!B10:B1000"),$B90,INDIRECT(Equipo!$G$4&amp;"!"&amp;ADDRESS(10,COLUMN(E$9)-1)&amp;":"&amp;ADDRESS(1000,COLUMN(E$9)-1)))))</f>
        <v>-</v>
      </c>
      <c r="F90" s="19" t="str">
        <f t="array" ref="F90">IF(ISBLANK(Tareas!$B86),"-",SUM(
SUMIF(INDIRECT(Equipo!$C$4&amp;"!B10:B1000"),$B90,INDIRECT(Equipo!$C$4&amp;"!"&amp;ADDRESS(10,COLUMN(F$9)-1)&amp;":"&amp;ADDRESS(1000,COLUMN(F$9)-1))),
SUMIF(INDIRECT(Equipo!$D$4&amp;"!B10:B1000"),$B90,INDIRECT(Equipo!$D$4&amp;"!"&amp;ADDRESS(10,COLUMN(F$9)-1)&amp;":"&amp;ADDRESS(1000,COLUMN(F$9)-1))),
SUMIF(INDIRECT(Equipo!$E$4&amp;"!B10:B1000"),$B90,INDIRECT(Equipo!$E$4&amp;"!"&amp;ADDRESS(10,COLUMN(F$9)-1)&amp;":"&amp;ADDRESS(1000,COLUMN(F$9)-1))),
SUMIF(INDIRECT(Equipo!$F$4&amp;"!B10:B1000"),$B90,INDIRECT(Equipo!$F$4&amp;"!"&amp;ADDRESS(10,COLUMN(F$9)-1)&amp;":"&amp;ADDRESS(1000,COLUMN(F$9)-1))),
SUMIF(INDIRECT(Equipo!$G$4&amp;"!B10:B1000"),$B90,INDIRECT(Equipo!$G$4&amp;"!"&amp;ADDRESS(10,COLUMN(F$9)-1)&amp;":"&amp;ADDRESS(1000,COLUMN(F$9)-1)))))</f>
        <v>-</v>
      </c>
      <c r="G90" s="19" t="str">
        <f t="array" ref="G90">IF(ISBLANK(Tareas!$B86),"-",SUM(
SUMIF(INDIRECT(Equipo!$C$4&amp;"!B10:B1000"),$B90,INDIRECT(Equipo!$C$4&amp;"!"&amp;ADDRESS(10,COLUMN(G$9)-1)&amp;":"&amp;ADDRESS(1000,COLUMN(G$9)-1))),
SUMIF(INDIRECT(Equipo!$D$4&amp;"!B10:B1000"),$B90,INDIRECT(Equipo!$D$4&amp;"!"&amp;ADDRESS(10,COLUMN(G$9)-1)&amp;":"&amp;ADDRESS(1000,COLUMN(G$9)-1))),
SUMIF(INDIRECT(Equipo!$E$4&amp;"!B10:B1000"),$B90,INDIRECT(Equipo!$E$4&amp;"!"&amp;ADDRESS(10,COLUMN(G$9)-1)&amp;":"&amp;ADDRESS(1000,COLUMN(G$9)-1))),
SUMIF(INDIRECT(Equipo!$F$4&amp;"!B10:B1000"),$B90,INDIRECT(Equipo!$F$4&amp;"!"&amp;ADDRESS(10,COLUMN(G$9)-1)&amp;":"&amp;ADDRESS(1000,COLUMN(G$9)-1))),
SUMIF(INDIRECT(Equipo!$G$4&amp;"!B10:B1000"),$B90,INDIRECT(Equipo!$G$4&amp;"!"&amp;ADDRESS(10,COLUMN(G$9)-1)&amp;":"&amp;ADDRESS(1000,COLUMN(G$9)-1)))))</f>
        <v>-</v>
      </c>
      <c r="H90" s="19" t="str">
        <f t="array" ref="H90">IF(ISBLANK(Tareas!$B86),"-",SUM(
SUMIF(INDIRECT(Equipo!$C$4&amp;"!B10:B1000"),$B90,INDIRECT(Equipo!$C$4&amp;"!"&amp;ADDRESS(10,COLUMN(H$9)-1)&amp;":"&amp;ADDRESS(1000,COLUMN(H$9)-1))),
SUMIF(INDIRECT(Equipo!$D$4&amp;"!B10:B1000"),$B90,INDIRECT(Equipo!$D$4&amp;"!"&amp;ADDRESS(10,COLUMN(H$9)-1)&amp;":"&amp;ADDRESS(1000,COLUMN(H$9)-1))),
SUMIF(INDIRECT(Equipo!$E$4&amp;"!B10:B1000"),$B90,INDIRECT(Equipo!$E$4&amp;"!"&amp;ADDRESS(10,COLUMN(H$9)-1)&amp;":"&amp;ADDRESS(1000,COLUMN(H$9)-1))),
SUMIF(INDIRECT(Equipo!$F$4&amp;"!B10:B1000"),$B90,INDIRECT(Equipo!$F$4&amp;"!"&amp;ADDRESS(10,COLUMN(H$9)-1)&amp;":"&amp;ADDRESS(1000,COLUMN(H$9)-1))),
SUMIF(INDIRECT(Equipo!$G$4&amp;"!B10:B1000"),$B90,INDIRECT(Equipo!$G$4&amp;"!"&amp;ADDRESS(10,COLUMN(H$9)-1)&amp;":"&amp;ADDRESS(1000,COLUMN(H$9)-1)))))</f>
        <v>-</v>
      </c>
      <c r="I90" s="19" t="str">
        <f t="array" ref="I90">IF(ISBLANK(Tareas!$B86),"-",SUM(
SUMIF(INDIRECT(Equipo!$C$4&amp;"!B10:B1000"),$B90,INDIRECT(Equipo!$C$4&amp;"!"&amp;ADDRESS(10,COLUMN(I$9)-1)&amp;":"&amp;ADDRESS(1000,COLUMN(I$9)-1))),
SUMIF(INDIRECT(Equipo!$D$4&amp;"!B10:B1000"),$B90,INDIRECT(Equipo!$D$4&amp;"!"&amp;ADDRESS(10,COLUMN(I$9)-1)&amp;":"&amp;ADDRESS(1000,COLUMN(I$9)-1))),
SUMIF(INDIRECT(Equipo!$E$4&amp;"!B10:B1000"),$B90,INDIRECT(Equipo!$E$4&amp;"!"&amp;ADDRESS(10,COLUMN(I$9)-1)&amp;":"&amp;ADDRESS(1000,COLUMN(I$9)-1))),
SUMIF(INDIRECT(Equipo!$F$4&amp;"!B10:B1000"),$B90,INDIRECT(Equipo!$F$4&amp;"!"&amp;ADDRESS(10,COLUMN(I$9)-1)&amp;":"&amp;ADDRESS(1000,COLUMN(I$9)-1))),
SUMIF(INDIRECT(Equipo!$G$4&amp;"!B10:B1000"),$B90,INDIRECT(Equipo!$G$4&amp;"!"&amp;ADDRESS(10,COLUMN(I$9)-1)&amp;":"&amp;ADDRESS(1000,COLUMN(I$9)-1)))))</f>
        <v>-</v>
      </c>
      <c r="J90" s="19" t="str">
        <f t="array" ref="J90">IF(ISBLANK(Tareas!$B86),"-",SUM(
SUMIF(INDIRECT(Equipo!$C$4&amp;"!B10:B1000"),$B90,INDIRECT(Equipo!$C$4&amp;"!"&amp;ADDRESS(10,COLUMN(J$9)-1)&amp;":"&amp;ADDRESS(1000,COLUMN(J$9)-1))),
SUMIF(INDIRECT(Equipo!$D$4&amp;"!B10:B1000"),$B90,INDIRECT(Equipo!$D$4&amp;"!"&amp;ADDRESS(10,COLUMN(J$9)-1)&amp;":"&amp;ADDRESS(1000,COLUMN(J$9)-1))),
SUMIF(INDIRECT(Equipo!$E$4&amp;"!B10:B1000"),$B90,INDIRECT(Equipo!$E$4&amp;"!"&amp;ADDRESS(10,COLUMN(J$9)-1)&amp;":"&amp;ADDRESS(1000,COLUMN(J$9)-1))),
SUMIF(INDIRECT(Equipo!$F$4&amp;"!B10:B1000"),$B90,INDIRECT(Equipo!$F$4&amp;"!"&amp;ADDRESS(10,COLUMN(J$9)-1)&amp;":"&amp;ADDRESS(1000,COLUMN(J$9)-1))),
SUMIF(INDIRECT(Equipo!$G$4&amp;"!B10:B1000"),$B90,INDIRECT(Equipo!$G$4&amp;"!"&amp;ADDRESS(10,COLUMN(J$9)-1)&amp;":"&amp;ADDRESS(1000,COLUMN(J$9)-1)))))</f>
        <v>-</v>
      </c>
      <c r="K90" s="19" t="str">
        <f t="array" ref="K90">IF(ISBLANK(Tareas!$B86),"-",SUM(
SUMIF(INDIRECT(Equipo!$C$4&amp;"!B10:B1000"),$B90,INDIRECT(Equipo!$C$4&amp;"!"&amp;ADDRESS(10,COLUMN(K$9)-1)&amp;":"&amp;ADDRESS(1000,COLUMN(K$9)-1))),
SUMIF(INDIRECT(Equipo!$D$4&amp;"!B10:B1000"),$B90,INDIRECT(Equipo!$D$4&amp;"!"&amp;ADDRESS(10,COLUMN(K$9)-1)&amp;":"&amp;ADDRESS(1000,COLUMN(K$9)-1))),
SUMIF(INDIRECT(Equipo!$E$4&amp;"!B10:B1000"),$B90,INDIRECT(Equipo!$E$4&amp;"!"&amp;ADDRESS(10,COLUMN(K$9)-1)&amp;":"&amp;ADDRESS(1000,COLUMN(K$9)-1))),
SUMIF(INDIRECT(Equipo!$F$4&amp;"!B10:B1000"),$B90,INDIRECT(Equipo!$F$4&amp;"!"&amp;ADDRESS(10,COLUMN(K$9)-1)&amp;":"&amp;ADDRESS(1000,COLUMN(K$9)-1))),
SUMIF(INDIRECT(Equipo!$G$4&amp;"!B10:B1000"),$B90,INDIRECT(Equipo!$G$4&amp;"!"&amp;ADDRESS(10,COLUMN(K$9)-1)&amp;":"&amp;ADDRESS(1000,COLUMN(K$9)-1)))))</f>
        <v>-</v>
      </c>
    </row>
    <row r="91" ht="15.75" customHeight="1">
      <c r="B91" s="1" t="str">
        <f>IF(ISBLANK(Tareas!B87)," - ",Tareas!B87)</f>
        <v> - </v>
      </c>
      <c r="D91" s="19" t="str">
        <f t="array" ref="D91">IF(ISBLANK(Tareas!$B87),"-",SUM(
SUMIF(INDIRECT(Equipo!$C$4&amp;"!B10:B1000"),$B91,INDIRECT(Equipo!$C$4&amp;"!"&amp;ADDRESS(10,COLUMN(D$9)-1)&amp;":"&amp;ADDRESS(1000,COLUMN(D$9)-1))),
SUMIF(INDIRECT(Equipo!$D$4&amp;"!B10:B1000"),$B91,INDIRECT(Equipo!$D$4&amp;"!"&amp;ADDRESS(10,COLUMN(D$9)-1)&amp;":"&amp;ADDRESS(1000,COLUMN(D$9)-1))),
SUMIF(INDIRECT(Equipo!$E$4&amp;"!B10:B1000"),$B91,INDIRECT(Equipo!$E$4&amp;"!"&amp;ADDRESS(10,COLUMN(D$9)-1)&amp;":"&amp;ADDRESS(1000,COLUMN(D$9)-1))),
SUMIF(INDIRECT(Equipo!$F$4&amp;"!B10:B1000"),$B91,INDIRECT(Equipo!$F$4&amp;"!"&amp;ADDRESS(10,COLUMN(D$9)-1)&amp;":"&amp;ADDRESS(1000,COLUMN(D$9)-1))),
SUMIF(INDIRECT(Equipo!$G$4&amp;"!B10:B1000"),$B91,INDIRECT(Equipo!$G$4&amp;"!"&amp;ADDRESS(10,COLUMN(D$9)-1)&amp;":"&amp;ADDRESS(1000,COLUMN(D$9)-1)))))</f>
        <v>-</v>
      </c>
      <c r="E91" s="19" t="str">
        <f t="array" ref="E91">IF(ISBLANK(Tareas!$B87),"-",SUM(
SUMIF(INDIRECT(Equipo!$C$4&amp;"!B10:B1000"),$B91,INDIRECT(Equipo!$C$4&amp;"!"&amp;ADDRESS(10,COLUMN(E$9)-1)&amp;":"&amp;ADDRESS(1000,COLUMN(E$9)-1))),
SUMIF(INDIRECT(Equipo!$D$4&amp;"!B10:B1000"),$B91,INDIRECT(Equipo!$D$4&amp;"!"&amp;ADDRESS(10,COLUMN(E$9)-1)&amp;":"&amp;ADDRESS(1000,COLUMN(E$9)-1))),
SUMIF(INDIRECT(Equipo!$E$4&amp;"!B10:B1000"),$B91,INDIRECT(Equipo!$E$4&amp;"!"&amp;ADDRESS(10,COLUMN(E$9)-1)&amp;":"&amp;ADDRESS(1000,COLUMN(E$9)-1))),
SUMIF(INDIRECT(Equipo!$F$4&amp;"!B10:B1000"),$B91,INDIRECT(Equipo!$F$4&amp;"!"&amp;ADDRESS(10,COLUMN(E$9)-1)&amp;":"&amp;ADDRESS(1000,COLUMN(E$9)-1))),
SUMIF(INDIRECT(Equipo!$G$4&amp;"!B10:B1000"),$B91,INDIRECT(Equipo!$G$4&amp;"!"&amp;ADDRESS(10,COLUMN(E$9)-1)&amp;":"&amp;ADDRESS(1000,COLUMN(E$9)-1)))))</f>
        <v>-</v>
      </c>
      <c r="F91" s="19" t="str">
        <f t="array" ref="F91">IF(ISBLANK(Tareas!$B87),"-",SUM(
SUMIF(INDIRECT(Equipo!$C$4&amp;"!B10:B1000"),$B91,INDIRECT(Equipo!$C$4&amp;"!"&amp;ADDRESS(10,COLUMN(F$9)-1)&amp;":"&amp;ADDRESS(1000,COLUMN(F$9)-1))),
SUMIF(INDIRECT(Equipo!$D$4&amp;"!B10:B1000"),$B91,INDIRECT(Equipo!$D$4&amp;"!"&amp;ADDRESS(10,COLUMN(F$9)-1)&amp;":"&amp;ADDRESS(1000,COLUMN(F$9)-1))),
SUMIF(INDIRECT(Equipo!$E$4&amp;"!B10:B1000"),$B91,INDIRECT(Equipo!$E$4&amp;"!"&amp;ADDRESS(10,COLUMN(F$9)-1)&amp;":"&amp;ADDRESS(1000,COLUMN(F$9)-1))),
SUMIF(INDIRECT(Equipo!$F$4&amp;"!B10:B1000"),$B91,INDIRECT(Equipo!$F$4&amp;"!"&amp;ADDRESS(10,COLUMN(F$9)-1)&amp;":"&amp;ADDRESS(1000,COLUMN(F$9)-1))),
SUMIF(INDIRECT(Equipo!$G$4&amp;"!B10:B1000"),$B91,INDIRECT(Equipo!$G$4&amp;"!"&amp;ADDRESS(10,COLUMN(F$9)-1)&amp;":"&amp;ADDRESS(1000,COLUMN(F$9)-1)))))</f>
        <v>-</v>
      </c>
      <c r="G91" s="19" t="str">
        <f t="array" ref="G91">IF(ISBLANK(Tareas!$B87),"-",SUM(
SUMIF(INDIRECT(Equipo!$C$4&amp;"!B10:B1000"),$B91,INDIRECT(Equipo!$C$4&amp;"!"&amp;ADDRESS(10,COLUMN(G$9)-1)&amp;":"&amp;ADDRESS(1000,COLUMN(G$9)-1))),
SUMIF(INDIRECT(Equipo!$D$4&amp;"!B10:B1000"),$B91,INDIRECT(Equipo!$D$4&amp;"!"&amp;ADDRESS(10,COLUMN(G$9)-1)&amp;":"&amp;ADDRESS(1000,COLUMN(G$9)-1))),
SUMIF(INDIRECT(Equipo!$E$4&amp;"!B10:B1000"),$B91,INDIRECT(Equipo!$E$4&amp;"!"&amp;ADDRESS(10,COLUMN(G$9)-1)&amp;":"&amp;ADDRESS(1000,COLUMN(G$9)-1))),
SUMIF(INDIRECT(Equipo!$F$4&amp;"!B10:B1000"),$B91,INDIRECT(Equipo!$F$4&amp;"!"&amp;ADDRESS(10,COLUMN(G$9)-1)&amp;":"&amp;ADDRESS(1000,COLUMN(G$9)-1))),
SUMIF(INDIRECT(Equipo!$G$4&amp;"!B10:B1000"),$B91,INDIRECT(Equipo!$G$4&amp;"!"&amp;ADDRESS(10,COLUMN(G$9)-1)&amp;":"&amp;ADDRESS(1000,COLUMN(G$9)-1)))))</f>
        <v>-</v>
      </c>
      <c r="H91" s="19" t="str">
        <f t="array" ref="H91">IF(ISBLANK(Tareas!$B87),"-",SUM(
SUMIF(INDIRECT(Equipo!$C$4&amp;"!B10:B1000"),$B91,INDIRECT(Equipo!$C$4&amp;"!"&amp;ADDRESS(10,COLUMN(H$9)-1)&amp;":"&amp;ADDRESS(1000,COLUMN(H$9)-1))),
SUMIF(INDIRECT(Equipo!$D$4&amp;"!B10:B1000"),$B91,INDIRECT(Equipo!$D$4&amp;"!"&amp;ADDRESS(10,COLUMN(H$9)-1)&amp;":"&amp;ADDRESS(1000,COLUMN(H$9)-1))),
SUMIF(INDIRECT(Equipo!$E$4&amp;"!B10:B1000"),$B91,INDIRECT(Equipo!$E$4&amp;"!"&amp;ADDRESS(10,COLUMN(H$9)-1)&amp;":"&amp;ADDRESS(1000,COLUMN(H$9)-1))),
SUMIF(INDIRECT(Equipo!$F$4&amp;"!B10:B1000"),$B91,INDIRECT(Equipo!$F$4&amp;"!"&amp;ADDRESS(10,COLUMN(H$9)-1)&amp;":"&amp;ADDRESS(1000,COLUMN(H$9)-1))),
SUMIF(INDIRECT(Equipo!$G$4&amp;"!B10:B1000"),$B91,INDIRECT(Equipo!$G$4&amp;"!"&amp;ADDRESS(10,COLUMN(H$9)-1)&amp;":"&amp;ADDRESS(1000,COLUMN(H$9)-1)))))</f>
        <v>-</v>
      </c>
      <c r="I91" s="19" t="str">
        <f t="array" ref="I91">IF(ISBLANK(Tareas!$B87),"-",SUM(
SUMIF(INDIRECT(Equipo!$C$4&amp;"!B10:B1000"),$B91,INDIRECT(Equipo!$C$4&amp;"!"&amp;ADDRESS(10,COLUMN(I$9)-1)&amp;":"&amp;ADDRESS(1000,COLUMN(I$9)-1))),
SUMIF(INDIRECT(Equipo!$D$4&amp;"!B10:B1000"),$B91,INDIRECT(Equipo!$D$4&amp;"!"&amp;ADDRESS(10,COLUMN(I$9)-1)&amp;":"&amp;ADDRESS(1000,COLUMN(I$9)-1))),
SUMIF(INDIRECT(Equipo!$E$4&amp;"!B10:B1000"),$B91,INDIRECT(Equipo!$E$4&amp;"!"&amp;ADDRESS(10,COLUMN(I$9)-1)&amp;":"&amp;ADDRESS(1000,COLUMN(I$9)-1))),
SUMIF(INDIRECT(Equipo!$F$4&amp;"!B10:B1000"),$B91,INDIRECT(Equipo!$F$4&amp;"!"&amp;ADDRESS(10,COLUMN(I$9)-1)&amp;":"&amp;ADDRESS(1000,COLUMN(I$9)-1))),
SUMIF(INDIRECT(Equipo!$G$4&amp;"!B10:B1000"),$B91,INDIRECT(Equipo!$G$4&amp;"!"&amp;ADDRESS(10,COLUMN(I$9)-1)&amp;":"&amp;ADDRESS(1000,COLUMN(I$9)-1)))))</f>
        <v>-</v>
      </c>
      <c r="J91" s="19" t="str">
        <f t="array" ref="J91">IF(ISBLANK(Tareas!$B87),"-",SUM(
SUMIF(INDIRECT(Equipo!$C$4&amp;"!B10:B1000"),$B91,INDIRECT(Equipo!$C$4&amp;"!"&amp;ADDRESS(10,COLUMN(J$9)-1)&amp;":"&amp;ADDRESS(1000,COLUMN(J$9)-1))),
SUMIF(INDIRECT(Equipo!$D$4&amp;"!B10:B1000"),$B91,INDIRECT(Equipo!$D$4&amp;"!"&amp;ADDRESS(10,COLUMN(J$9)-1)&amp;":"&amp;ADDRESS(1000,COLUMN(J$9)-1))),
SUMIF(INDIRECT(Equipo!$E$4&amp;"!B10:B1000"),$B91,INDIRECT(Equipo!$E$4&amp;"!"&amp;ADDRESS(10,COLUMN(J$9)-1)&amp;":"&amp;ADDRESS(1000,COLUMN(J$9)-1))),
SUMIF(INDIRECT(Equipo!$F$4&amp;"!B10:B1000"),$B91,INDIRECT(Equipo!$F$4&amp;"!"&amp;ADDRESS(10,COLUMN(J$9)-1)&amp;":"&amp;ADDRESS(1000,COLUMN(J$9)-1))),
SUMIF(INDIRECT(Equipo!$G$4&amp;"!B10:B1000"),$B91,INDIRECT(Equipo!$G$4&amp;"!"&amp;ADDRESS(10,COLUMN(J$9)-1)&amp;":"&amp;ADDRESS(1000,COLUMN(J$9)-1)))))</f>
        <v>-</v>
      </c>
      <c r="K91" s="19" t="str">
        <f t="array" ref="K91">IF(ISBLANK(Tareas!$B87),"-",SUM(
SUMIF(INDIRECT(Equipo!$C$4&amp;"!B10:B1000"),$B91,INDIRECT(Equipo!$C$4&amp;"!"&amp;ADDRESS(10,COLUMN(K$9)-1)&amp;":"&amp;ADDRESS(1000,COLUMN(K$9)-1))),
SUMIF(INDIRECT(Equipo!$D$4&amp;"!B10:B1000"),$B91,INDIRECT(Equipo!$D$4&amp;"!"&amp;ADDRESS(10,COLUMN(K$9)-1)&amp;":"&amp;ADDRESS(1000,COLUMN(K$9)-1))),
SUMIF(INDIRECT(Equipo!$E$4&amp;"!B10:B1000"),$B91,INDIRECT(Equipo!$E$4&amp;"!"&amp;ADDRESS(10,COLUMN(K$9)-1)&amp;":"&amp;ADDRESS(1000,COLUMN(K$9)-1))),
SUMIF(INDIRECT(Equipo!$F$4&amp;"!B10:B1000"),$B91,INDIRECT(Equipo!$F$4&amp;"!"&amp;ADDRESS(10,COLUMN(K$9)-1)&amp;":"&amp;ADDRESS(1000,COLUMN(K$9)-1))),
SUMIF(INDIRECT(Equipo!$G$4&amp;"!B10:B1000"),$B91,INDIRECT(Equipo!$G$4&amp;"!"&amp;ADDRESS(10,COLUMN(K$9)-1)&amp;":"&amp;ADDRESS(1000,COLUMN(K$9)-1)))))</f>
        <v>-</v>
      </c>
    </row>
    <row r="92" ht="15.75" customHeight="1">
      <c r="B92" s="1" t="str">
        <f>IF(ISBLANK(Tareas!B88)," - ",Tareas!B88)</f>
        <v> - </v>
      </c>
      <c r="D92" s="19" t="str">
        <f t="array" ref="D92">IF(ISBLANK(Tareas!$B88),"-",SUM(
SUMIF(INDIRECT(Equipo!$C$4&amp;"!B10:B1000"),$B92,INDIRECT(Equipo!$C$4&amp;"!"&amp;ADDRESS(10,COLUMN(D$9)-1)&amp;":"&amp;ADDRESS(1000,COLUMN(D$9)-1))),
SUMIF(INDIRECT(Equipo!$D$4&amp;"!B10:B1000"),$B92,INDIRECT(Equipo!$D$4&amp;"!"&amp;ADDRESS(10,COLUMN(D$9)-1)&amp;":"&amp;ADDRESS(1000,COLUMN(D$9)-1))),
SUMIF(INDIRECT(Equipo!$E$4&amp;"!B10:B1000"),$B92,INDIRECT(Equipo!$E$4&amp;"!"&amp;ADDRESS(10,COLUMN(D$9)-1)&amp;":"&amp;ADDRESS(1000,COLUMN(D$9)-1))),
SUMIF(INDIRECT(Equipo!$F$4&amp;"!B10:B1000"),$B92,INDIRECT(Equipo!$F$4&amp;"!"&amp;ADDRESS(10,COLUMN(D$9)-1)&amp;":"&amp;ADDRESS(1000,COLUMN(D$9)-1))),
SUMIF(INDIRECT(Equipo!$G$4&amp;"!B10:B1000"),$B92,INDIRECT(Equipo!$G$4&amp;"!"&amp;ADDRESS(10,COLUMN(D$9)-1)&amp;":"&amp;ADDRESS(1000,COLUMN(D$9)-1)))))</f>
        <v>-</v>
      </c>
      <c r="E92" s="19" t="str">
        <f t="array" ref="E92">IF(ISBLANK(Tareas!$B88),"-",SUM(
SUMIF(INDIRECT(Equipo!$C$4&amp;"!B10:B1000"),$B92,INDIRECT(Equipo!$C$4&amp;"!"&amp;ADDRESS(10,COLUMN(E$9)-1)&amp;":"&amp;ADDRESS(1000,COLUMN(E$9)-1))),
SUMIF(INDIRECT(Equipo!$D$4&amp;"!B10:B1000"),$B92,INDIRECT(Equipo!$D$4&amp;"!"&amp;ADDRESS(10,COLUMN(E$9)-1)&amp;":"&amp;ADDRESS(1000,COLUMN(E$9)-1))),
SUMIF(INDIRECT(Equipo!$E$4&amp;"!B10:B1000"),$B92,INDIRECT(Equipo!$E$4&amp;"!"&amp;ADDRESS(10,COLUMN(E$9)-1)&amp;":"&amp;ADDRESS(1000,COLUMN(E$9)-1))),
SUMIF(INDIRECT(Equipo!$F$4&amp;"!B10:B1000"),$B92,INDIRECT(Equipo!$F$4&amp;"!"&amp;ADDRESS(10,COLUMN(E$9)-1)&amp;":"&amp;ADDRESS(1000,COLUMN(E$9)-1))),
SUMIF(INDIRECT(Equipo!$G$4&amp;"!B10:B1000"),$B92,INDIRECT(Equipo!$G$4&amp;"!"&amp;ADDRESS(10,COLUMN(E$9)-1)&amp;":"&amp;ADDRESS(1000,COLUMN(E$9)-1)))))</f>
        <v>-</v>
      </c>
      <c r="F92" s="19" t="str">
        <f t="array" ref="F92">IF(ISBLANK(Tareas!$B88),"-",SUM(
SUMIF(INDIRECT(Equipo!$C$4&amp;"!B10:B1000"),$B92,INDIRECT(Equipo!$C$4&amp;"!"&amp;ADDRESS(10,COLUMN(F$9)-1)&amp;":"&amp;ADDRESS(1000,COLUMN(F$9)-1))),
SUMIF(INDIRECT(Equipo!$D$4&amp;"!B10:B1000"),$B92,INDIRECT(Equipo!$D$4&amp;"!"&amp;ADDRESS(10,COLUMN(F$9)-1)&amp;":"&amp;ADDRESS(1000,COLUMN(F$9)-1))),
SUMIF(INDIRECT(Equipo!$E$4&amp;"!B10:B1000"),$B92,INDIRECT(Equipo!$E$4&amp;"!"&amp;ADDRESS(10,COLUMN(F$9)-1)&amp;":"&amp;ADDRESS(1000,COLUMN(F$9)-1))),
SUMIF(INDIRECT(Equipo!$F$4&amp;"!B10:B1000"),$B92,INDIRECT(Equipo!$F$4&amp;"!"&amp;ADDRESS(10,COLUMN(F$9)-1)&amp;":"&amp;ADDRESS(1000,COLUMN(F$9)-1))),
SUMIF(INDIRECT(Equipo!$G$4&amp;"!B10:B1000"),$B92,INDIRECT(Equipo!$G$4&amp;"!"&amp;ADDRESS(10,COLUMN(F$9)-1)&amp;":"&amp;ADDRESS(1000,COLUMN(F$9)-1)))))</f>
        <v>-</v>
      </c>
      <c r="G92" s="19" t="str">
        <f t="array" ref="G92">IF(ISBLANK(Tareas!$B88),"-",SUM(
SUMIF(INDIRECT(Equipo!$C$4&amp;"!B10:B1000"),$B92,INDIRECT(Equipo!$C$4&amp;"!"&amp;ADDRESS(10,COLUMN(G$9)-1)&amp;":"&amp;ADDRESS(1000,COLUMN(G$9)-1))),
SUMIF(INDIRECT(Equipo!$D$4&amp;"!B10:B1000"),$B92,INDIRECT(Equipo!$D$4&amp;"!"&amp;ADDRESS(10,COLUMN(G$9)-1)&amp;":"&amp;ADDRESS(1000,COLUMN(G$9)-1))),
SUMIF(INDIRECT(Equipo!$E$4&amp;"!B10:B1000"),$B92,INDIRECT(Equipo!$E$4&amp;"!"&amp;ADDRESS(10,COLUMN(G$9)-1)&amp;":"&amp;ADDRESS(1000,COLUMN(G$9)-1))),
SUMIF(INDIRECT(Equipo!$F$4&amp;"!B10:B1000"),$B92,INDIRECT(Equipo!$F$4&amp;"!"&amp;ADDRESS(10,COLUMN(G$9)-1)&amp;":"&amp;ADDRESS(1000,COLUMN(G$9)-1))),
SUMIF(INDIRECT(Equipo!$G$4&amp;"!B10:B1000"),$B92,INDIRECT(Equipo!$G$4&amp;"!"&amp;ADDRESS(10,COLUMN(G$9)-1)&amp;":"&amp;ADDRESS(1000,COLUMN(G$9)-1)))))</f>
        <v>-</v>
      </c>
      <c r="H92" s="19" t="str">
        <f t="array" ref="H92">IF(ISBLANK(Tareas!$B88),"-",SUM(
SUMIF(INDIRECT(Equipo!$C$4&amp;"!B10:B1000"),$B92,INDIRECT(Equipo!$C$4&amp;"!"&amp;ADDRESS(10,COLUMN(H$9)-1)&amp;":"&amp;ADDRESS(1000,COLUMN(H$9)-1))),
SUMIF(INDIRECT(Equipo!$D$4&amp;"!B10:B1000"),$B92,INDIRECT(Equipo!$D$4&amp;"!"&amp;ADDRESS(10,COLUMN(H$9)-1)&amp;":"&amp;ADDRESS(1000,COLUMN(H$9)-1))),
SUMIF(INDIRECT(Equipo!$E$4&amp;"!B10:B1000"),$B92,INDIRECT(Equipo!$E$4&amp;"!"&amp;ADDRESS(10,COLUMN(H$9)-1)&amp;":"&amp;ADDRESS(1000,COLUMN(H$9)-1))),
SUMIF(INDIRECT(Equipo!$F$4&amp;"!B10:B1000"),$B92,INDIRECT(Equipo!$F$4&amp;"!"&amp;ADDRESS(10,COLUMN(H$9)-1)&amp;":"&amp;ADDRESS(1000,COLUMN(H$9)-1))),
SUMIF(INDIRECT(Equipo!$G$4&amp;"!B10:B1000"),$B92,INDIRECT(Equipo!$G$4&amp;"!"&amp;ADDRESS(10,COLUMN(H$9)-1)&amp;":"&amp;ADDRESS(1000,COLUMN(H$9)-1)))))</f>
        <v>-</v>
      </c>
      <c r="I92" s="19" t="str">
        <f t="array" ref="I92">IF(ISBLANK(Tareas!$B88),"-",SUM(
SUMIF(INDIRECT(Equipo!$C$4&amp;"!B10:B1000"),$B92,INDIRECT(Equipo!$C$4&amp;"!"&amp;ADDRESS(10,COLUMN(I$9)-1)&amp;":"&amp;ADDRESS(1000,COLUMN(I$9)-1))),
SUMIF(INDIRECT(Equipo!$D$4&amp;"!B10:B1000"),$B92,INDIRECT(Equipo!$D$4&amp;"!"&amp;ADDRESS(10,COLUMN(I$9)-1)&amp;":"&amp;ADDRESS(1000,COLUMN(I$9)-1))),
SUMIF(INDIRECT(Equipo!$E$4&amp;"!B10:B1000"),$B92,INDIRECT(Equipo!$E$4&amp;"!"&amp;ADDRESS(10,COLUMN(I$9)-1)&amp;":"&amp;ADDRESS(1000,COLUMN(I$9)-1))),
SUMIF(INDIRECT(Equipo!$F$4&amp;"!B10:B1000"),$B92,INDIRECT(Equipo!$F$4&amp;"!"&amp;ADDRESS(10,COLUMN(I$9)-1)&amp;":"&amp;ADDRESS(1000,COLUMN(I$9)-1))),
SUMIF(INDIRECT(Equipo!$G$4&amp;"!B10:B1000"),$B92,INDIRECT(Equipo!$G$4&amp;"!"&amp;ADDRESS(10,COLUMN(I$9)-1)&amp;":"&amp;ADDRESS(1000,COLUMN(I$9)-1)))))</f>
        <v>-</v>
      </c>
      <c r="J92" s="19" t="str">
        <f t="array" ref="J92">IF(ISBLANK(Tareas!$B88),"-",SUM(
SUMIF(INDIRECT(Equipo!$C$4&amp;"!B10:B1000"),$B92,INDIRECT(Equipo!$C$4&amp;"!"&amp;ADDRESS(10,COLUMN(J$9)-1)&amp;":"&amp;ADDRESS(1000,COLUMN(J$9)-1))),
SUMIF(INDIRECT(Equipo!$D$4&amp;"!B10:B1000"),$B92,INDIRECT(Equipo!$D$4&amp;"!"&amp;ADDRESS(10,COLUMN(J$9)-1)&amp;":"&amp;ADDRESS(1000,COLUMN(J$9)-1))),
SUMIF(INDIRECT(Equipo!$E$4&amp;"!B10:B1000"),$B92,INDIRECT(Equipo!$E$4&amp;"!"&amp;ADDRESS(10,COLUMN(J$9)-1)&amp;":"&amp;ADDRESS(1000,COLUMN(J$9)-1))),
SUMIF(INDIRECT(Equipo!$F$4&amp;"!B10:B1000"),$B92,INDIRECT(Equipo!$F$4&amp;"!"&amp;ADDRESS(10,COLUMN(J$9)-1)&amp;":"&amp;ADDRESS(1000,COLUMN(J$9)-1))),
SUMIF(INDIRECT(Equipo!$G$4&amp;"!B10:B1000"),$B92,INDIRECT(Equipo!$G$4&amp;"!"&amp;ADDRESS(10,COLUMN(J$9)-1)&amp;":"&amp;ADDRESS(1000,COLUMN(J$9)-1)))))</f>
        <v>-</v>
      </c>
      <c r="K92" s="19" t="str">
        <f t="array" ref="K92">IF(ISBLANK(Tareas!$B88),"-",SUM(
SUMIF(INDIRECT(Equipo!$C$4&amp;"!B10:B1000"),$B92,INDIRECT(Equipo!$C$4&amp;"!"&amp;ADDRESS(10,COLUMN(K$9)-1)&amp;":"&amp;ADDRESS(1000,COLUMN(K$9)-1))),
SUMIF(INDIRECT(Equipo!$D$4&amp;"!B10:B1000"),$B92,INDIRECT(Equipo!$D$4&amp;"!"&amp;ADDRESS(10,COLUMN(K$9)-1)&amp;":"&amp;ADDRESS(1000,COLUMN(K$9)-1))),
SUMIF(INDIRECT(Equipo!$E$4&amp;"!B10:B1000"),$B92,INDIRECT(Equipo!$E$4&amp;"!"&amp;ADDRESS(10,COLUMN(K$9)-1)&amp;":"&amp;ADDRESS(1000,COLUMN(K$9)-1))),
SUMIF(INDIRECT(Equipo!$F$4&amp;"!B10:B1000"),$B92,INDIRECT(Equipo!$F$4&amp;"!"&amp;ADDRESS(10,COLUMN(K$9)-1)&amp;":"&amp;ADDRESS(1000,COLUMN(K$9)-1))),
SUMIF(INDIRECT(Equipo!$G$4&amp;"!B10:B1000"),$B92,INDIRECT(Equipo!$G$4&amp;"!"&amp;ADDRESS(10,COLUMN(K$9)-1)&amp;":"&amp;ADDRESS(1000,COLUMN(K$9)-1)))))</f>
        <v>-</v>
      </c>
    </row>
    <row r="93" ht="15.75" customHeight="1">
      <c r="B93" s="1" t="str">
        <f>IF(ISBLANK(Tareas!B89)," - ",Tareas!B89)</f>
        <v> - </v>
      </c>
      <c r="D93" s="19" t="str">
        <f t="array" ref="D93">IF(ISBLANK(Tareas!$B89),"-",SUM(
SUMIF(INDIRECT(Equipo!$C$4&amp;"!B10:B1000"),$B93,INDIRECT(Equipo!$C$4&amp;"!"&amp;ADDRESS(10,COLUMN(D$9)-1)&amp;":"&amp;ADDRESS(1000,COLUMN(D$9)-1))),
SUMIF(INDIRECT(Equipo!$D$4&amp;"!B10:B1000"),$B93,INDIRECT(Equipo!$D$4&amp;"!"&amp;ADDRESS(10,COLUMN(D$9)-1)&amp;":"&amp;ADDRESS(1000,COLUMN(D$9)-1))),
SUMIF(INDIRECT(Equipo!$E$4&amp;"!B10:B1000"),$B93,INDIRECT(Equipo!$E$4&amp;"!"&amp;ADDRESS(10,COLUMN(D$9)-1)&amp;":"&amp;ADDRESS(1000,COLUMN(D$9)-1))),
SUMIF(INDIRECT(Equipo!$F$4&amp;"!B10:B1000"),$B93,INDIRECT(Equipo!$F$4&amp;"!"&amp;ADDRESS(10,COLUMN(D$9)-1)&amp;":"&amp;ADDRESS(1000,COLUMN(D$9)-1))),
SUMIF(INDIRECT(Equipo!$G$4&amp;"!B10:B1000"),$B93,INDIRECT(Equipo!$G$4&amp;"!"&amp;ADDRESS(10,COLUMN(D$9)-1)&amp;":"&amp;ADDRESS(1000,COLUMN(D$9)-1)))))</f>
        <v>-</v>
      </c>
      <c r="E93" s="19" t="str">
        <f t="array" ref="E93">IF(ISBLANK(Tareas!$B89),"-",SUM(
SUMIF(INDIRECT(Equipo!$C$4&amp;"!B10:B1000"),$B93,INDIRECT(Equipo!$C$4&amp;"!"&amp;ADDRESS(10,COLUMN(E$9)-1)&amp;":"&amp;ADDRESS(1000,COLUMN(E$9)-1))),
SUMIF(INDIRECT(Equipo!$D$4&amp;"!B10:B1000"),$B93,INDIRECT(Equipo!$D$4&amp;"!"&amp;ADDRESS(10,COLUMN(E$9)-1)&amp;":"&amp;ADDRESS(1000,COLUMN(E$9)-1))),
SUMIF(INDIRECT(Equipo!$E$4&amp;"!B10:B1000"),$B93,INDIRECT(Equipo!$E$4&amp;"!"&amp;ADDRESS(10,COLUMN(E$9)-1)&amp;":"&amp;ADDRESS(1000,COLUMN(E$9)-1))),
SUMIF(INDIRECT(Equipo!$F$4&amp;"!B10:B1000"),$B93,INDIRECT(Equipo!$F$4&amp;"!"&amp;ADDRESS(10,COLUMN(E$9)-1)&amp;":"&amp;ADDRESS(1000,COLUMN(E$9)-1))),
SUMIF(INDIRECT(Equipo!$G$4&amp;"!B10:B1000"),$B93,INDIRECT(Equipo!$G$4&amp;"!"&amp;ADDRESS(10,COLUMN(E$9)-1)&amp;":"&amp;ADDRESS(1000,COLUMN(E$9)-1)))))</f>
        <v>-</v>
      </c>
      <c r="F93" s="19" t="str">
        <f t="array" ref="F93">IF(ISBLANK(Tareas!$B89),"-",SUM(
SUMIF(INDIRECT(Equipo!$C$4&amp;"!B10:B1000"),$B93,INDIRECT(Equipo!$C$4&amp;"!"&amp;ADDRESS(10,COLUMN(F$9)-1)&amp;":"&amp;ADDRESS(1000,COLUMN(F$9)-1))),
SUMIF(INDIRECT(Equipo!$D$4&amp;"!B10:B1000"),$B93,INDIRECT(Equipo!$D$4&amp;"!"&amp;ADDRESS(10,COLUMN(F$9)-1)&amp;":"&amp;ADDRESS(1000,COLUMN(F$9)-1))),
SUMIF(INDIRECT(Equipo!$E$4&amp;"!B10:B1000"),$B93,INDIRECT(Equipo!$E$4&amp;"!"&amp;ADDRESS(10,COLUMN(F$9)-1)&amp;":"&amp;ADDRESS(1000,COLUMN(F$9)-1))),
SUMIF(INDIRECT(Equipo!$F$4&amp;"!B10:B1000"),$B93,INDIRECT(Equipo!$F$4&amp;"!"&amp;ADDRESS(10,COLUMN(F$9)-1)&amp;":"&amp;ADDRESS(1000,COLUMN(F$9)-1))),
SUMIF(INDIRECT(Equipo!$G$4&amp;"!B10:B1000"),$B93,INDIRECT(Equipo!$G$4&amp;"!"&amp;ADDRESS(10,COLUMN(F$9)-1)&amp;":"&amp;ADDRESS(1000,COLUMN(F$9)-1)))))</f>
        <v>-</v>
      </c>
      <c r="G93" s="19" t="str">
        <f t="array" ref="G93">IF(ISBLANK(Tareas!$B89),"-",SUM(
SUMIF(INDIRECT(Equipo!$C$4&amp;"!B10:B1000"),$B93,INDIRECT(Equipo!$C$4&amp;"!"&amp;ADDRESS(10,COLUMN(G$9)-1)&amp;":"&amp;ADDRESS(1000,COLUMN(G$9)-1))),
SUMIF(INDIRECT(Equipo!$D$4&amp;"!B10:B1000"),$B93,INDIRECT(Equipo!$D$4&amp;"!"&amp;ADDRESS(10,COLUMN(G$9)-1)&amp;":"&amp;ADDRESS(1000,COLUMN(G$9)-1))),
SUMIF(INDIRECT(Equipo!$E$4&amp;"!B10:B1000"),$B93,INDIRECT(Equipo!$E$4&amp;"!"&amp;ADDRESS(10,COLUMN(G$9)-1)&amp;":"&amp;ADDRESS(1000,COLUMN(G$9)-1))),
SUMIF(INDIRECT(Equipo!$F$4&amp;"!B10:B1000"),$B93,INDIRECT(Equipo!$F$4&amp;"!"&amp;ADDRESS(10,COLUMN(G$9)-1)&amp;":"&amp;ADDRESS(1000,COLUMN(G$9)-1))),
SUMIF(INDIRECT(Equipo!$G$4&amp;"!B10:B1000"),$B93,INDIRECT(Equipo!$G$4&amp;"!"&amp;ADDRESS(10,COLUMN(G$9)-1)&amp;":"&amp;ADDRESS(1000,COLUMN(G$9)-1)))))</f>
        <v>-</v>
      </c>
      <c r="H93" s="19" t="str">
        <f t="array" ref="H93">IF(ISBLANK(Tareas!$B89),"-",SUM(
SUMIF(INDIRECT(Equipo!$C$4&amp;"!B10:B1000"),$B93,INDIRECT(Equipo!$C$4&amp;"!"&amp;ADDRESS(10,COLUMN(H$9)-1)&amp;":"&amp;ADDRESS(1000,COLUMN(H$9)-1))),
SUMIF(INDIRECT(Equipo!$D$4&amp;"!B10:B1000"),$B93,INDIRECT(Equipo!$D$4&amp;"!"&amp;ADDRESS(10,COLUMN(H$9)-1)&amp;":"&amp;ADDRESS(1000,COLUMN(H$9)-1))),
SUMIF(INDIRECT(Equipo!$E$4&amp;"!B10:B1000"),$B93,INDIRECT(Equipo!$E$4&amp;"!"&amp;ADDRESS(10,COLUMN(H$9)-1)&amp;":"&amp;ADDRESS(1000,COLUMN(H$9)-1))),
SUMIF(INDIRECT(Equipo!$F$4&amp;"!B10:B1000"),$B93,INDIRECT(Equipo!$F$4&amp;"!"&amp;ADDRESS(10,COLUMN(H$9)-1)&amp;":"&amp;ADDRESS(1000,COLUMN(H$9)-1))),
SUMIF(INDIRECT(Equipo!$G$4&amp;"!B10:B1000"),$B93,INDIRECT(Equipo!$G$4&amp;"!"&amp;ADDRESS(10,COLUMN(H$9)-1)&amp;":"&amp;ADDRESS(1000,COLUMN(H$9)-1)))))</f>
        <v>-</v>
      </c>
      <c r="I93" s="19" t="str">
        <f t="array" ref="I93">IF(ISBLANK(Tareas!$B89),"-",SUM(
SUMIF(INDIRECT(Equipo!$C$4&amp;"!B10:B1000"),$B93,INDIRECT(Equipo!$C$4&amp;"!"&amp;ADDRESS(10,COLUMN(I$9)-1)&amp;":"&amp;ADDRESS(1000,COLUMN(I$9)-1))),
SUMIF(INDIRECT(Equipo!$D$4&amp;"!B10:B1000"),$B93,INDIRECT(Equipo!$D$4&amp;"!"&amp;ADDRESS(10,COLUMN(I$9)-1)&amp;":"&amp;ADDRESS(1000,COLUMN(I$9)-1))),
SUMIF(INDIRECT(Equipo!$E$4&amp;"!B10:B1000"),$B93,INDIRECT(Equipo!$E$4&amp;"!"&amp;ADDRESS(10,COLUMN(I$9)-1)&amp;":"&amp;ADDRESS(1000,COLUMN(I$9)-1))),
SUMIF(INDIRECT(Equipo!$F$4&amp;"!B10:B1000"),$B93,INDIRECT(Equipo!$F$4&amp;"!"&amp;ADDRESS(10,COLUMN(I$9)-1)&amp;":"&amp;ADDRESS(1000,COLUMN(I$9)-1))),
SUMIF(INDIRECT(Equipo!$G$4&amp;"!B10:B1000"),$B93,INDIRECT(Equipo!$G$4&amp;"!"&amp;ADDRESS(10,COLUMN(I$9)-1)&amp;":"&amp;ADDRESS(1000,COLUMN(I$9)-1)))))</f>
        <v>-</v>
      </c>
      <c r="J93" s="19" t="str">
        <f t="array" ref="J93">IF(ISBLANK(Tareas!$B89),"-",SUM(
SUMIF(INDIRECT(Equipo!$C$4&amp;"!B10:B1000"),$B93,INDIRECT(Equipo!$C$4&amp;"!"&amp;ADDRESS(10,COLUMN(J$9)-1)&amp;":"&amp;ADDRESS(1000,COLUMN(J$9)-1))),
SUMIF(INDIRECT(Equipo!$D$4&amp;"!B10:B1000"),$B93,INDIRECT(Equipo!$D$4&amp;"!"&amp;ADDRESS(10,COLUMN(J$9)-1)&amp;":"&amp;ADDRESS(1000,COLUMN(J$9)-1))),
SUMIF(INDIRECT(Equipo!$E$4&amp;"!B10:B1000"),$B93,INDIRECT(Equipo!$E$4&amp;"!"&amp;ADDRESS(10,COLUMN(J$9)-1)&amp;":"&amp;ADDRESS(1000,COLUMN(J$9)-1))),
SUMIF(INDIRECT(Equipo!$F$4&amp;"!B10:B1000"),$B93,INDIRECT(Equipo!$F$4&amp;"!"&amp;ADDRESS(10,COLUMN(J$9)-1)&amp;":"&amp;ADDRESS(1000,COLUMN(J$9)-1))),
SUMIF(INDIRECT(Equipo!$G$4&amp;"!B10:B1000"),$B93,INDIRECT(Equipo!$G$4&amp;"!"&amp;ADDRESS(10,COLUMN(J$9)-1)&amp;":"&amp;ADDRESS(1000,COLUMN(J$9)-1)))))</f>
        <v>-</v>
      </c>
      <c r="K93" s="19" t="str">
        <f t="array" ref="K93">IF(ISBLANK(Tareas!$B89),"-",SUM(
SUMIF(INDIRECT(Equipo!$C$4&amp;"!B10:B1000"),$B93,INDIRECT(Equipo!$C$4&amp;"!"&amp;ADDRESS(10,COLUMN(K$9)-1)&amp;":"&amp;ADDRESS(1000,COLUMN(K$9)-1))),
SUMIF(INDIRECT(Equipo!$D$4&amp;"!B10:B1000"),$B93,INDIRECT(Equipo!$D$4&amp;"!"&amp;ADDRESS(10,COLUMN(K$9)-1)&amp;":"&amp;ADDRESS(1000,COLUMN(K$9)-1))),
SUMIF(INDIRECT(Equipo!$E$4&amp;"!B10:B1000"),$B93,INDIRECT(Equipo!$E$4&amp;"!"&amp;ADDRESS(10,COLUMN(K$9)-1)&amp;":"&amp;ADDRESS(1000,COLUMN(K$9)-1))),
SUMIF(INDIRECT(Equipo!$F$4&amp;"!B10:B1000"),$B93,INDIRECT(Equipo!$F$4&amp;"!"&amp;ADDRESS(10,COLUMN(K$9)-1)&amp;":"&amp;ADDRESS(1000,COLUMN(K$9)-1))),
SUMIF(INDIRECT(Equipo!$G$4&amp;"!B10:B1000"),$B93,INDIRECT(Equipo!$G$4&amp;"!"&amp;ADDRESS(10,COLUMN(K$9)-1)&amp;":"&amp;ADDRESS(1000,COLUMN(K$9)-1)))))</f>
        <v>-</v>
      </c>
    </row>
    <row r="94" ht="15.75" customHeight="1">
      <c r="B94" s="1" t="str">
        <f>IF(ISBLANK(Tareas!B90)," - ",Tareas!B90)</f>
        <v> - </v>
      </c>
      <c r="D94" s="19" t="str">
        <f t="array" ref="D94">IF(ISBLANK(Tareas!$B90),"-",SUM(
SUMIF(INDIRECT(Equipo!$C$4&amp;"!B10:B1000"),$B94,INDIRECT(Equipo!$C$4&amp;"!"&amp;ADDRESS(10,COLUMN(D$9)-1)&amp;":"&amp;ADDRESS(1000,COLUMN(D$9)-1))),
SUMIF(INDIRECT(Equipo!$D$4&amp;"!B10:B1000"),$B94,INDIRECT(Equipo!$D$4&amp;"!"&amp;ADDRESS(10,COLUMN(D$9)-1)&amp;":"&amp;ADDRESS(1000,COLUMN(D$9)-1))),
SUMIF(INDIRECT(Equipo!$E$4&amp;"!B10:B1000"),$B94,INDIRECT(Equipo!$E$4&amp;"!"&amp;ADDRESS(10,COLUMN(D$9)-1)&amp;":"&amp;ADDRESS(1000,COLUMN(D$9)-1))),
SUMIF(INDIRECT(Equipo!$F$4&amp;"!B10:B1000"),$B94,INDIRECT(Equipo!$F$4&amp;"!"&amp;ADDRESS(10,COLUMN(D$9)-1)&amp;":"&amp;ADDRESS(1000,COLUMN(D$9)-1))),
SUMIF(INDIRECT(Equipo!$G$4&amp;"!B10:B1000"),$B94,INDIRECT(Equipo!$G$4&amp;"!"&amp;ADDRESS(10,COLUMN(D$9)-1)&amp;":"&amp;ADDRESS(1000,COLUMN(D$9)-1)))))</f>
        <v>-</v>
      </c>
      <c r="E94" s="19" t="str">
        <f t="array" ref="E94">IF(ISBLANK(Tareas!$B90),"-",SUM(
SUMIF(INDIRECT(Equipo!$C$4&amp;"!B10:B1000"),$B94,INDIRECT(Equipo!$C$4&amp;"!"&amp;ADDRESS(10,COLUMN(E$9)-1)&amp;":"&amp;ADDRESS(1000,COLUMN(E$9)-1))),
SUMIF(INDIRECT(Equipo!$D$4&amp;"!B10:B1000"),$B94,INDIRECT(Equipo!$D$4&amp;"!"&amp;ADDRESS(10,COLUMN(E$9)-1)&amp;":"&amp;ADDRESS(1000,COLUMN(E$9)-1))),
SUMIF(INDIRECT(Equipo!$E$4&amp;"!B10:B1000"),$B94,INDIRECT(Equipo!$E$4&amp;"!"&amp;ADDRESS(10,COLUMN(E$9)-1)&amp;":"&amp;ADDRESS(1000,COLUMN(E$9)-1))),
SUMIF(INDIRECT(Equipo!$F$4&amp;"!B10:B1000"),$B94,INDIRECT(Equipo!$F$4&amp;"!"&amp;ADDRESS(10,COLUMN(E$9)-1)&amp;":"&amp;ADDRESS(1000,COLUMN(E$9)-1))),
SUMIF(INDIRECT(Equipo!$G$4&amp;"!B10:B1000"),$B94,INDIRECT(Equipo!$G$4&amp;"!"&amp;ADDRESS(10,COLUMN(E$9)-1)&amp;":"&amp;ADDRESS(1000,COLUMN(E$9)-1)))))</f>
        <v>-</v>
      </c>
      <c r="F94" s="19" t="str">
        <f t="array" ref="F94">IF(ISBLANK(Tareas!$B90),"-",SUM(
SUMIF(INDIRECT(Equipo!$C$4&amp;"!B10:B1000"),$B94,INDIRECT(Equipo!$C$4&amp;"!"&amp;ADDRESS(10,COLUMN(F$9)-1)&amp;":"&amp;ADDRESS(1000,COLUMN(F$9)-1))),
SUMIF(INDIRECT(Equipo!$D$4&amp;"!B10:B1000"),$B94,INDIRECT(Equipo!$D$4&amp;"!"&amp;ADDRESS(10,COLUMN(F$9)-1)&amp;":"&amp;ADDRESS(1000,COLUMN(F$9)-1))),
SUMIF(INDIRECT(Equipo!$E$4&amp;"!B10:B1000"),$B94,INDIRECT(Equipo!$E$4&amp;"!"&amp;ADDRESS(10,COLUMN(F$9)-1)&amp;":"&amp;ADDRESS(1000,COLUMN(F$9)-1))),
SUMIF(INDIRECT(Equipo!$F$4&amp;"!B10:B1000"),$B94,INDIRECT(Equipo!$F$4&amp;"!"&amp;ADDRESS(10,COLUMN(F$9)-1)&amp;":"&amp;ADDRESS(1000,COLUMN(F$9)-1))),
SUMIF(INDIRECT(Equipo!$G$4&amp;"!B10:B1000"),$B94,INDIRECT(Equipo!$G$4&amp;"!"&amp;ADDRESS(10,COLUMN(F$9)-1)&amp;":"&amp;ADDRESS(1000,COLUMN(F$9)-1)))))</f>
        <v>-</v>
      </c>
      <c r="G94" s="19" t="str">
        <f t="array" ref="G94">IF(ISBLANK(Tareas!$B90),"-",SUM(
SUMIF(INDIRECT(Equipo!$C$4&amp;"!B10:B1000"),$B94,INDIRECT(Equipo!$C$4&amp;"!"&amp;ADDRESS(10,COLUMN(G$9)-1)&amp;":"&amp;ADDRESS(1000,COLUMN(G$9)-1))),
SUMIF(INDIRECT(Equipo!$D$4&amp;"!B10:B1000"),$B94,INDIRECT(Equipo!$D$4&amp;"!"&amp;ADDRESS(10,COLUMN(G$9)-1)&amp;":"&amp;ADDRESS(1000,COLUMN(G$9)-1))),
SUMIF(INDIRECT(Equipo!$E$4&amp;"!B10:B1000"),$B94,INDIRECT(Equipo!$E$4&amp;"!"&amp;ADDRESS(10,COLUMN(G$9)-1)&amp;":"&amp;ADDRESS(1000,COLUMN(G$9)-1))),
SUMIF(INDIRECT(Equipo!$F$4&amp;"!B10:B1000"),$B94,INDIRECT(Equipo!$F$4&amp;"!"&amp;ADDRESS(10,COLUMN(G$9)-1)&amp;":"&amp;ADDRESS(1000,COLUMN(G$9)-1))),
SUMIF(INDIRECT(Equipo!$G$4&amp;"!B10:B1000"),$B94,INDIRECT(Equipo!$G$4&amp;"!"&amp;ADDRESS(10,COLUMN(G$9)-1)&amp;":"&amp;ADDRESS(1000,COLUMN(G$9)-1)))))</f>
        <v>-</v>
      </c>
      <c r="H94" s="19" t="str">
        <f t="array" ref="H94">IF(ISBLANK(Tareas!$B90),"-",SUM(
SUMIF(INDIRECT(Equipo!$C$4&amp;"!B10:B1000"),$B94,INDIRECT(Equipo!$C$4&amp;"!"&amp;ADDRESS(10,COLUMN(H$9)-1)&amp;":"&amp;ADDRESS(1000,COLUMN(H$9)-1))),
SUMIF(INDIRECT(Equipo!$D$4&amp;"!B10:B1000"),$B94,INDIRECT(Equipo!$D$4&amp;"!"&amp;ADDRESS(10,COLUMN(H$9)-1)&amp;":"&amp;ADDRESS(1000,COLUMN(H$9)-1))),
SUMIF(INDIRECT(Equipo!$E$4&amp;"!B10:B1000"),$B94,INDIRECT(Equipo!$E$4&amp;"!"&amp;ADDRESS(10,COLUMN(H$9)-1)&amp;":"&amp;ADDRESS(1000,COLUMN(H$9)-1))),
SUMIF(INDIRECT(Equipo!$F$4&amp;"!B10:B1000"),$B94,INDIRECT(Equipo!$F$4&amp;"!"&amp;ADDRESS(10,COLUMN(H$9)-1)&amp;":"&amp;ADDRESS(1000,COLUMN(H$9)-1))),
SUMIF(INDIRECT(Equipo!$G$4&amp;"!B10:B1000"),$B94,INDIRECT(Equipo!$G$4&amp;"!"&amp;ADDRESS(10,COLUMN(H$9)-1)&amp;":"&amp;ADDRESS(1000,COLUMN(H$9)-1)))))</f>
        <v>-</v>
      </c>
      <c r="I94" s="19" t="str">
        <f t="array" ref="I94">IF(ISBLANK(Tareas!$B90),"-",SUM(
SUMIF(INDIRECT(Equipo!$C$4&amp;"!B10:B1000"),$B94,INDIRECT(Equipo!$C$4&amp;"!"&amp;ADDRESS(10,COLUMN(I$9)-1)&amp;":"&amp;ADDRESS(1000,COLUMN(I$9)-1))),
SUMIF(INDIRECT(Equipo!$D$4&amp;"!B10:B1000"),$B94,INDIRECT(Equipo!$D$4&amp;"!"&amp;ADDRESS(10,COLUMN(I$9)-1)&amp;":"&amp;ADDRESS(1000,COLUMN(I$9)-1))),
SUMIF(INDIRECT(Equipo!$E$4&amp;"!B10:B1000"),$B94,INDIRECT(Equipo!$E$4&amp;"!"&amp;ADDRESS(10,COLUMN(I$9)-1)&amp;":"&amp;ADDRESS(1000,COLUMN(I$9)-1))),
SUMIF(INDIRECT(Equipo!$F$4&amp;"!B10:B1000"),$B94,INDIRECT(Equipo!$F$4&amp;"!"&amp;ADDRESS(10,COLUMN(I$9)-1)&amp;":"&amp;ADDRESS(1000,COLUMN(I$9)-1))),
SUMIF(INDIRECT(Equipo!$G$4&amp;"!B10:B1000"),$B94,INDIRECT(Equipo!$G$4&amp;"!"&amp;ADDRESS(10,COLUMN(I$9)-1)&amp;":"&amp;ADDRESS(1000,COLUMN(I$9)-1)))))</f>
        <v>-</v>
      </c>
      <c r="J94" s="19" t="str">
        <f t="array" ref="J94">IF(ISBLANK(Tareas!$B90),"-",SUM(
SUMIF(INDIRECT(Equipo!$C$4&amp;"!B10:B1000"),$B94,INDIRECT(Equipo!$C$4&amp;"!"&amp;ADDRESS(10,COLUMN(J$9)-1)&amp;":"&amp;ADDRESS(1000,COLUMN(J$9)-1))),
SUMIF(INDIRECT(Equipo!$D$4&amp;"!B10:B1000"),$B94,INDIRECT(Equipo!$D$4&amp;"!"&amp;ADDRESS(10,COLUMN(J$9)-1)&amp;":"&amp;ADDRESS(1000,COLUMN(J$9)-1))),
SUMIF(INDIRECT(Equipo!$E$4&amp;"!B10:B1000"),$B94,INDIRECT(Equipo!$E$4&amp;"!"&amp;ADDRESS(10,COLUMN(J$9)-1)&amp;":"&amp;ADDRESS(1000,COLUMN(J$9)-1))),
SUMIF(INDIRECT(Equipo!$F$4&amp;"!B10:B1000"),$B94,INDIRECT(Equipo!$F$4&amp;"!"&amp;ADDRESS(10,COLUMN(J$9)-1)&amp;":"&amp;ADDRESS(1000,COLUMN(J$9)-1))),
SUMIF(INDIRECT(Equipo!$G$4&amp;"!B10:B1000"),$B94,INDIRECT(Equipo!$G$4&amp;"!"&amp;ADDRESS(10,COLUMN(J$9)-1)&amp;":"&amp;ADDRESS(1000,COLUMN(J$9)-1)))))</f>
        <v>-</v>
      </c>
      <c r="K94" s="19" t="str">
        <f t="array" ref="K94">IF(ISBLANK(Tareas!$B90),"-",SUM(
SUMIF(INDIRECT(Equipo!$C$4&amp;"!B10:B1000"),$B94,INDIRECT(Equipo!$C$4&amp;"!"&amp;ADDRESS(10,COLUMN(K$9)-1)&amp;":"&amp;ADDRESS(1000,COLUMN(K$9)-1))),
SUMIF(INDIRECT(Equipo!$D$4&amp;"!B10:B1000"),$B94,INDIRECT(Equipo!$D$4&amp;"!"&amp;ADDRESS(10,COLUMN(K$9)-1)&amp;":"&amp;ADDRESS(1000,COLUMN(K$9)-1))),
SUMIF(INDIRECT(Equipo!$E$4&amp;"!B10:B1000"),$B94,INDIRECT(Equipo!$E$4&amp;"!"&amp;ADDRESS(10,COLUMN(K$9)-1)&amp;":"&amp;ADDRESS(1000,COLUMN(K$9)-1))),
SUMIF(INDIRECT(Equipo!$F$4&amp;"!B10:B1000"),$B94,INDIRECT(Equipo!$F$4&amp;"!"&amp;ADDRESS(10,COLUMN(K$9)-1)&amp;":"&amp;ADDRESS(1000,COLUMN(K$9)-1))),
SUMIF(INDIRECT(Equipo!$G$4&amp;"!B10:B1000"),$B94,INDIRECT(Equipo!$G$4&amp;"!"&amp;ADDRESS(10,COLUMN(K$9)-1)&amp;":"&amp;ADDRESS(1000,COLUMN(K$9)-1)))))</f>
        <v>-</v>
      </c>
    </row>
    <row r="95" ht="15.75" customHeight="1">
      <c r="B95" s="1" t="str">
        <f>IF(ISBLANK(Tareas!B91)," - ",Tareas!B91)</f>
        <v> - </v>
      </c>
      <c r="D95" s="19" t="str">
        <f t="array" ref="D95">IF(ISBLANK(Tareas!$B91),"-",SUM(
SUMIF(INDIRECT(Equipo!$C$4&amp;"!B10:B1000"),$B95,INDIRECT(Equipo!$C$4&amp;"!"&amp;ADDRESS(10,COLUMN(D$9)-1)&amp;":"&amp;ADDRESS(1000,COLUMN(D$9)-1))),
SUMIF(INDIRECT(Equipo!$D$4&amp;"!B10:B1000"),$B95,INDIRECT(Equipo!$D$4&amp;"!"&amp;ADDRESS(10,COLUMN(D$9)-1)&amp;":"&amp;ADDRESS(1000,COLUMN(D$9)-1))),
SUMIF(INDIRECT(Equipo!$E$4&amp;"!B10:B1000"),$B95,INDIRECT(Equipo!$E$4&amp;"!"&amp;ADDRESS(10,COLUMN(D$9)-1)&amp;":"&amp;ADDRESS(1000,COLUMN(D$9)-1))),
SUMIF(INDIRECT(Equipo!$F$4&amp;"!B10:B1000"),$B95,INDIRECT(Equipo!$F$4&amp;"!"&amp;ADDRESS(10,COLUMN(D$9)-1)&amp;":"&amp;ADDRESS(1000,COLUMN(D$9)-1))),
SUMIF(INDIRECT(Equipo!$G$4&amp;"!B10:B1000"),$B95,INDIRECT(Equipo!$G$4&amp;"!"&amp;ADDRESS(10,COLUMN(D$9)-1)&amp;":"&amp;ADDRESS(1000,COLUMN(D$9)-1)))))</f>
        <v>-</v>
      </c>
      <c r="E95" s="19" t="str">
        <f t="array" ref="E95">IF(ISBLANK(Tareas!$B91),"-",SUM(
SUMIF(INDIRECT(Equipo!$C$4&amp;"!B10:B1000"),$B95,INDIRECT(Equipo!$C$4&amp;"!"&amp;ADDRESS(10,COLUMN(E$9)-1)&amp;":"&amp;ADDRESS(1000,COLUMN(E$9)-1))),
SUMIF(INDIRECT(Equipo!$D$4&amp;"!B10:B1000"),$B95,INDIRECT(Equipo!$D$4&amp;"!"&amp;ADDRESS(10,COLUMN(E$9)-1)&amp;":"&amp;ADDRESS(1000,COLUMN(E$9)-1))),
SUMIF(INDIRECT(Equipo!$E$4&amp;"!B10:B1000"),$B95,INDIRECT(Equipo!$E$4&amp;"!"&amp;ADDRESS(10,COLUMN(E$9)-1)&amp;":"&amp;ADDRESS(1000,COLUMN(E$9)-1))),
SUMIF(INDIRECT(Equipo!$F$4&amp;"!B10:B1000"),$B95,INDIRECT(Equipo!$F$4&amp;"!"&amp;ADDRESS(10,COLUMN(E$9)-1)&amp;":"&amp;ADDRESS(1000,COLUMN(E$9)-1))),
SUMIF(INDIRECT(Equipo!$G$4&amp;"!B10:B1000"),$B95,INDIRECT(Equipo!$G$4&amp;"!"&amp;ADDRESS(10,COLUMN(E$9)-1)&amp;":"&amp;ADDRESS(1000,COLUMN(E$9)-1)))))</f>
        <v>-</v>
      </c>
      <c r="F95" s="19" t="str">
        <f t="array" ref="F95">IF(ISBLANK(Tareas!$B91),"-",SUM(
SUMIF(INDIRECT(Equipo!$C$4&amp;"!B10:B1000"),$B95,INDIRECT(Equipo!$C$4&amp;"!"&amp;ADDRESS(10,COLUMN(F$9)-1)&amp;":"&amp;ADDRESS(1000,COLUMN(F$9)-1))),
SUMIF(INDIRECT(Equipo!$D$4&amp;"!B10:B1000"),$B95,INDIRECT(Equipo!$D$4&amp;"!"&amp;ADDRESS(10,COLUMN(F$9)-1)&amp;":"&amp;ADDRESS(1000,COLUMN(F$9)-1))),
SUMIF(INDIRECT(Equipo!$E$4&amp;"!B10:B1000"),$B95,INDIRECT(Equipo!$E$4&amp;"!"&amp;ADDRESS(10,COLUMN(F$9)-1)&amp;":"&amp;ADDRESS(1000,COLUMN(F$9)-1))),
SUMIF(INDIRECT(Equipo!$F$4&amp;"!B10:B1000"),$B95,INDIRECT(Equipo!$F$4&amp;"!"&amp;ADDRESS(10,COLUMN(F$9)-1)&amp;":"&amp;ADDRESS(1000,COLUMN(F$9)-1))),
SUMIF(INDIRECT(Equipo!$G$4&amp;"!B10:B1000"),$B95,INDIRECT(Equipo!$G$4&amp;"!"&amp;ADDRESS(10,COLUMN(F$9)-1)&amp;":"&amp;ADDRESS(1000,COLUMN(F$9)-1)))))</f>
        <v>-</v>
      </c>
      <c r="G95" s="19" t="str">
        <f t="array" ref="G95">IF(ISBLANK(Tareas!$B91),"-",SUM(
SUMIF(INDIRECT(Equipo!$C$4&amp;"!B10:B1000"),$B95,INDIRECT(Equipo!$C$4&amp;"!"&amp;ADDRESS(10,COLUMN(G$9)-1)&amp;":"&amp;ADDRESS(1000,COLUMN(G$9)-1))),
SUMIF(INDIRECT(Equipo!$D$4&amp;"!B10:B1000"),$B95,INDIRECT(Equipo!$D$4&amp;"!"&amp;ADDRESS(10,COLUMN(G$9)-1)&amp;":"&amp;ADDRESS(1000,COLUMN(G$9)-1))),
SUMIF(INDIRECT(Equipo!$E$4&amp;"!B10:B1000"),$B95,INDIRECT(Equipo!$E$4&amp;"!"&amp;ADDRESS(10,COLUMN(G$9)-1)&amp;":"&amp;ADDRESS(1000,COLUMN(G$9)-1))),
SUMIF(INDIRECT(Equipo!$F$4&amp;"!B10:B1000"),$B95,INDIRECT(Equipo!$F$4&amp;"!"&amp;ADDRESS(10,COLUMN(G$9)-1)&amp;":"&amp;ADDRESS(1000,COLUMN(G$9)-1))),
SUMIF(INDIRECT(Equipo!$G$4&amp;"!B10:B1000"),$B95,INDIRECT(Equipo!$G$4&amp;"!"&amp;ADDRESS(10,COLUMN(G$9)-1)&amp;":"&amp;ADDRESS(1000,COLUMN(G$9)-1)))))</f>
        <v>-</v>
      </c>
      <c r="H95" s="19" t="str">
        <f t="array" ref="H95">IF(ISBLANK(Tareas!$B91),"-",SUM(
SUMIF(INDIRECT(Equipo!$C$4&amp;"!B10:B1000"),$B95,INDIRECT(Equipo!$C$4&amp;"!"&amp;ADDRESS(10,COLUMN(H$9)-1)&amp;":"&amp;ADDRESS(1000,COLUMN(H$9)-1))),
SUMIF(INDIRECT(Equipo!$D$4&amp;"!B10:B1000"),$B95,INDIRECT(Equipo!$D$4&amp;"!"&amp;ADDRESS(10,COLUMN(H$9)-1)&amp;":"&amp;ADDRESS(1000,COLUMN(H$9)-1))),
SUMIF(INDIRECT(Equipo!$E$4&amp;"!B10:B1000"),$B95,INDIRECT(Equipo!$E$4&amp;"!"&amp;ADDRESS(10,COLUMN(H$9)-1)&amp;":"&amp;ADDRESS(1000,COLUMN(H$9)-1))),
SUMIF(INDIRECT(Equipo!$F$4&amp;"!B10:B1000"),$B95,INDIRECT(Equipo!$F$4&amp;"!"&amp;ADDRESS(10,COLUMN(H$9)-1)&amp;":"&amp;ADDRESS(1000,COLUMN(H$9)-1))),
SUMIF(INDIRECT(Equipo!$G$4&amp;"!B10:B1000"),$B95,INDIRECT(Equipo!$G$4&amp;"!"&amp;ADDRESS(10,COLUMN(H$9)-1)&amp;":"&amp;ADDRESS(1000,COLUMN(H$9)-1)))))</f>
        <v>-</v>
      </c>
      <c r="I95" s="19" t="str">
        <f t="array" ref="I95">IF(ISBLANK(Tareas!$B91),"-",SUM(
SUMIF(INDIRECT(Equipo!$C$4&amp;"!B10:B1000"),$B95,INDIRECT(Equipo!$C$4&amp;"!"&amp;ADDRESS(10,COLUMN(I$9)-1)&amp;":"&amp;ADDRESS(1000,COLUMN(I$9)-1))),
SUMIF(INDIRECT(Equipo!$D$4&amp;"!B10:B1000"),$B95,INDIRECT(Equipo!$D$4&amp;"!"&amp;ADDRESS(10,COLUMN(I$9)-1)&amp;":"&amp;ADDRESS(1000,COLUMN(I$9)-1))),
SUMIF(INDIRECT(Equipo!$E$4&amp;"!B10:B1000"),$B95,INDIRECT(Equipo!$E$4&amp;"!"&amp;ADDRESS(10,COLUMN(I$9)-1)&amp;":"&amp;ADDRESS(1000,COLUMN(I$9)-1))),
SUMIF(INDIRECT(Equipo!$F$4&amp;"!B10:B1000"),$B95,INDIRECT(Equipo!$F$4&amp;"!"&amp;ADDRESS(10,COLUMN(I$9)-1)&amp;":"&amp;ADDRESS(1000,COLUMN(I$9)-1))),
SUMIF(INDIRECT(Equipo!$G$4&amp;"!B10:B1000"),$B95,INDIRECT(Equipo!$G$4&amp;"!"&amp;ADDRESS(10,COLUMN(I$9)-1)&amp;":"&amp;ADDRESS(1000,COLUMN(I$9)-1)))))</f>
        <v>-</v>
      </c>
      <c r="J95" s="19" t="str">
        <f t="array" ref="J95">IF(ISBLANK(Tareas!$B91),"-",SUM(
SUMIF(INDIRECT(Equipo!$C$4&amp;"!B10:B1000"),$B95,INDIRECT(Equipo!$C$4&amp;"!"&amp;ADDRESS(10,COLUMN(J$9)-1)&amp;":"&amp;ADDRESS(1000,COLUMN(J$9)-1))),
SUMIF(INDIRECT(Equipo!$D$4&amp;"!B10:B1000"),$B95,INDIRECT(Equipo!$D$4&amp;"!"&amp;ADDRESS(10,COLUMN(J$9)-1)&amp;":"&amp;ADDRESS(1000,COLUMN(J$9)-1))),
SUMIF(INDIRECT(Equipo!$E$4&amp;"!B10:B1000"),$B95,INDIRECT(Equipo!$E$4&amp;"!"&amp;ADDRESS(10,COLUMN(J$9)-1)&amp;":"&amp;ADDRESS(1000,COLUMN(J$9)-1))),
SUMIF(INDIRECT(Equipo!$F$4&amp;"!B10:B1000"),$B95,INDIRECT(Equipo!$F$4&amp;"!"&amp;ADDRESS(10,COLUMN(J$9)-1)&amp;":"&amp;ADDRESS(1000,COLUMN(J$9)-1))),
SUMIF(INDIRECT(Equipo!$G$4&amp;"!B10:B1000"),$B95,INDIRECT(Equipo!$G$4&amp;"!"&amp;ADDRESS(10,COLUMN(J$9)-1)&amp;":"&amp;ADDRESS(1000,COLUMN(J$9)-1)))))</f>
        <v>-</v>
      </c>
      <c r="K95" s="19" t="str">
        <f t="array" ref="K95">IF(ISBLANK(Tareas!$B91),"-",SUM(
SUMIF(INDIRECT(Equipo!$C$4&amp;"!B10:B1000"),$B95,INDIRECT(Equipo!$C$4&amp;"!"&amp;ADDRESS(10,COLUMN(K$9)-1)&amp;":"&amp;ADDRESS(1000,COLUMN(K$9)-1))),
SUMIF(INDIRECT(Equipo!$D$4&amp;"!B10:B1000"),$B95,INDIRECT(Equipo!$D$4&amp;"!"&amp;ADDRESS(10,COLUMN(K$9)-1)&amp;":"&amp;ADDRESS(1000,COLUMN(K$9)-1))),
SUMIF(INDIRECT(Equipo!$E$4&amp;"!B10:B1000"),$B95,INDIRECT(Equipo!$E$4&amp;"!"&amp;ADDRESS(10,COLUMN(K$9)-1)&amp;":"&amp;ADDRESS(1000,COLUMN(K$9)-1))),
SUMIF(INDIRECT(Equipo!$F$4&amp;"!B10:B1000"),$B95,INDIRECT(Equipo!$F$4&amp;"!"&amp;ADDRESS(10,COLUMN(K$9)-1)&amp;":"&amp;ADDRESS(1000,COLUMN(K$9)-1))),
SUMIF(INDIRECT(Equipo!$G$4&amp;"!B10:B1000"),$B95,INDIRECT(Equipo!$G$4&amp;"!"&amp;ADDRESS(10,COLUMN(K$9)-1)&amp;":"&amp;ADDRESS(1000,COLUMN(K$9)-1)))))</f>
        <v>-</v>
      </c>
    </row>
    <row r="96" ht="15.75" customHeight="1">
      <c r="B96" s="1" t="str">
        <f>IF(ISBLANK(Tareas!B92)," - ",Tareas!B92)</f>
        <v> - </v>
      </c>
      <c r="D96" s="19" t="str">
        <f t="array" ref="D96">IF(ISBLANK(Tareas!$B92),"-",SUM(
SUMIF(INDIRECT(Equipo!$C$4&amp;"!B10:B1000"),$B96,INDIRECT(Equipo!$C$4&amp;"!"&amp;ADDRESS(10,COLUMN(D$9)-1)&amp;":"&amp;ADDRESS(1000,COLUMN(D$9)-1))),
SUMIF(INDIRECT(Equipo!$D$4&amp;"!B10:B1000"),$B96,INDIRECT(Equipo!$D$4&amp;"!"&amp;ADDRESS(10,COLUMN(D$9)-1)&amp;":"&amp;ADDRESS(1000,COLUMN(D$9)-1))),
SUMIF(INDIRECT(Equipo!$E$4&amp;"!B10:B1000"),$B96,INDIRECT(Equipo!$E$4&amp;"!"&amp;ADDRESS(10,COLUMN(D$9)-1)&amp;":"&amp;ADDRESS(1000,COLUMN(D$9)-1))),
SUMIF(INDIRECT(Equipo!$F$4&amp;"!B10:B1000"),$B96,INDIRECT(Equipo!$F$4&amp;"!"&amp;ADDRESS(10,COLUMN(D$9)-1)&amp;":"&amp;ADDRESS(1000,COLUMN(D$9)-1))),
SUMIF(INDIRECT(Equipo!$G$4&amp;"!B10:B1000"),$B96,INDIRECT(Equipo!$G$4&amp;"!"&amp;ADDRESS(10,COLUMN(D$9)-1)&amp;":"&amp;ADDRESS(1000,COLUMN(D$9)-1)))))</f>
        <v>-</v>
      </c>
      <c r="E96" s="19" t="str">
        <f t="array" ref="E96">IF(ISBLANK(Tareas!$B92),"-",SUM(
SUMIF(INDIRECT(Equipo!$C$4&amp;"!B10:B1000"),$B96,INDIRECT(Equipo!$C$4&amp;"!"&amp;ADDRESS(10,COLUMN(E$9)-1)&amp;":"&amp;ADDRESS(1000,COLUMN(E$9)-1))),
SUMIF(INDIRECT(Equipo!$D$4&amp;"!B10:B1000"),$B96,INDIRECT(Equipo!$D$4&amp;"!"&amp;ADDRESS(10,COLUMN(E$9)-1)&amp;":"&amp;ADDRESS(1000,COLUMN(E$9)-1))),
SUMIF(INDIRECT(Equipo!$E$4&amp;"!B10:B1000"),$B96,INDIRECT(Equipo!$E$4&amp;"!"&amp;ADDRESS(10,COLUMN(E$9)-1)&amp;":"&amp;ADDRESS(1000,COLUMN(E$9)-1))),
SUMIF(INDIRECT(Equipo!$F$4&amp;"!B10:B1000"),$B96,INDIRECT(Equipo!$F$4&amp;"!"&amp;ADDRESS(10,COLUMN(E$9)-1)&amp;":"&amp;ADDRESS(1000,COLUMN(E$9)-1))),
SUMIF(INDIRECT(Equipo!$G$4&amp;"!B10:B1000"),$B96,INDIRECT(Equipo!$G$4&amp;"!"&amp;ADDRESS(10,COLUMN(E$9)-1)&amp;":"&amp;ADDRESS(1000,COLUMN(E$9)-1)))))</f>
        <v>-</v>
      </c>
      <c r="F96" s="19" t="str">
        <f t="array" ref="F96">IF(ISBLANK(Tareas!$B92),"-",SUM(
SUMIF(INDIRECT(Equipo!$C$4&amp;"!B10:B1000"),$B96,INDIRECT(Equipo!$C$4&amp;"!"&amp;ADDRESS(10,COLUMN(F$9)-1)&amp;":"&amp;ADDRESS(1000,COLUMN(F$9)-1))),
SUMIF(INDIRECT(Equipo!$D$4&amp;"!B10:B1000"),$B96,INDIRECT(Equipo!$D$4&amp;"!"&amp;ADDRESS(10,COLUMN(F$9)-1)&amp;":"&amp;ADDRESS(1000,COLUMN(F$9)-1))),
SUMIF(INDIRECT(Equipo!$E$4&amp;"!B10:B1000"),$B96,INDIRECT(Equipo!$E$4&amp;"!"&amp;ADDRESS(10,COLUMN(F$9)-1)&amp;":"&amp;ADDRESS(1000,COLUMN(F$9)-1))),
SUMIF(INDIRECT(Equipo!$F$4&amp;"!B10:B1000"),$B96,INDIRECT(Equipo!$F$4&amp;"!"&amp;ADDRESS(10,COLUMN(F$9)-1)&amp;":"&amp;ADDRESS(1000,COLUMN(F$9)-1))),
SUMIF(INDIRECT(Equipo!$G$4&amp;"!B10:B1000"),$B96,INDIRECT(Equipo!$G$4&amp;"!"&amp;ADDRESS(10,COLUMN(F$9)-1)&amp;":"&amp;ADDRESS(1000,COLUMN(F$9)-1)))))</f>
        <v>-</v>
      </c>
      <c r="G96" s="19" t="str">
        <f t="array" ref="G96">IF(ISBLANK(Tareas!$B92),"-",SUM(
SUMIF(INDIRECT(Equipo!$C$4&amp;"!B10:B1000"),$B96,INDIRECT(Equipo!$C$4&amp;"!"&amp;ADDRESS(10,COLUMN(G$9)-1)&amp;":"&amp;ADDRESS(1000,COLUMN(G$9)-1))),
SUMIF(INDIRECT(Equipo!$D$4&amp;"!B10:B1000"),$B96,INDIRECT(Equipo!$D$4&amp;"!"&amp;ADDRESS(10,COLUMN(G$9)-1)&amp;":"&amp;ADDRESS(1000,COLUMN(G$9)-1))),
SUMIF(INDIRECT(Equipo!$E$4&amp;"!B10:B1000"),$B96,INDIRECT(Equipo!$E$4&amp;"!"&amp;ADDRESS(10,COLUMN(G$9)-1)&amp;":"&amp;ADDRESS(1000,COLUMN(G$9)-1))),
SUMIF(INDIRECT(Equipo!$F$4&amp;"!B10:B1000"),$B96,INDIRECT(Equipo!$F$4&amp;"!"&amp;ADDRESS(10,COLUMN(G$9)-1)&amp;":"&amp;ADDRESS(1000,COLUMN(G$9)-1))),
SUMIF(INDIRECT(Equipo!$G$4&amp;"!B10:B1000"),$B96,INDIRECT(Equipo!$G$4&amp;"!"&amp;ADDRESS(10,COLUMN(G$9)-1)&amp;":"&amp;ADDRESS(1000,COLUMN(G$9)-1)))))</f>
        <v>-</v>
      </c>
      <c r="H96" s="19" t="str">
        <f t="array" ref="H96">IF(ISBLANK(Tareas!$B92),"-",SUM(
SUMIF(INDIRECT(Equipo!$C$4&amp;"!B10:B1000"),$B96,INDIRECT(Equipo!$C$4&amp;"!"&amp;ADDRESS(10,COLUMN(H$9)-1)&amp;":"&amp;ADDRESS(1000,COLUMN(H$9)-1))),
SUMIF(INDIRECT(Equipo!$D$4&amp;"!B10:B1000"),$B96,INDIRECT(Equipo!$D$4&amp;"!"&amp;ADDRESS(10,COLUMN(H$9)-1)&amp;":"&amp;ADDRESS(1000,COLUMN(H$9)-1))),
SUMIF(INDIRECT(Equipo!$E$4&amp;"!B10:B1000"),$B96,INDIRECT(Equipo!$E$4&amp;"!"&amp;ADDRESS(10,COLUMN(H$9)-1)&amp;":"&amp;ADDRESS(1000,COLUMN(H$9)-1))),
SUMIF(INDIRECT(Equipo!$F$4&amp;"!B10:B1000"),$B96,INDIRECT(Equipo!$F$4&amp;"!"&amp;ADDRESS(10,COLUMN(H$9)-1)&amp;":"&amp;ADDRESS(1000,COLUMN(H$9)-1))),
SUMIF(INDIRECT(Equipo!$G$4&amp;"!B10:B1000"),$B96,INDIRECT(Equipo!$G$4&amp;"!"&amp;ADDRESS(10,COLUMN(H$9)-1)&amp;":"&amp;ADDRESS(1000,COLUMN(H$9)-1)))))</f>
        <v>-</v>
      </c>
      <c r="I96" s="19" t="str">
        <f t="array" ref="I96">IF(ISBLANK(Tareas!$B92),"-",SUM(
SUMIF(INDIRECT(Equipo!$C$4&amp;"!B10:B1000"),$B96,INDIRECT(Equipo!$C$4&amp;"!"&amp;ADDRESS(10,COLUMN(I$9)-1)&amp;":"&amp;ADDRESS(1000,COLUMN(I$9)-1))),
SUMIF(INDIRECT(Equipo!$D$4&amp;"!B10:B1000"),$B96,INDIRECT(Equipo!$D$4&amp;"!"&amp;ADDRESS(10,COLUMN(I$9)-1)&amp;":"&amp;ADDRESS(1000,COLUMN(I$9)-1))),
SUMIF(INDIRECT(Equipo!$E$4&amp;"!B10:B1000"),$B96,INDIRECT(Equipo!$E$4&amp;"!"&amp;ADDRESS(10,COLUMN(I$9)-1)&amp;":"&amp;ADDRESS(1000,COLUMN(I$9)-1))),
SUMIF(INDIRECT(Equipo!$F$4&amp;"!B10:B1000"),$B96,INDIRECT(Equipo!$F$4&amp;"!"&amp;ADDRESS(10,COLUMN(I$9)-1)&amp;":"&amp;ADDRESS(1000,COLUMN(I$9)-1))),
SUMIF(INDIRECT(Equipo!$G$4&amp;"!B10:B1000"),$B96,INDIRECT(Equipo!$G$4&amp;"!"&amp;ADDRESS(10,COLUMN(I$9)-1)&amp;":"&amp;ADDRESS(1000,COLUMN(I$9)-1)))))</f>
        <v>-</v>
      </c>
      <c r="J96" s="19" t="str">
        <f t="array" ref="J96">IF(ISBLANK(Tareas!$B92),"-",SUM(
SUMIF(INDIRECT(Equipo!$C$4&amp;"!B10:B1000"),$B96,INDIRECT(Equipo!$C$4&amp;"!"&amp;ADDRESS(10,COLUMN(J$9)-1)&amp;":"&amp;ADDRESS(1000,COLUMN(J$9)-1))),
SUMIF(INDIRECT(Equipo!$D$4&amp;"!B10:B1000"),$B96,INDIRECT(Equipo!$D$4&amp;"!"&amp;ADDRESS(10,COLUMN(J$9)-1)&amp;":"&amp;ADDRESS(1000,COLUMN(J$9)-1))),
SUMIF(INDIRECT(Equipo!$E$4&amp;"!B10:B1000"),$B96,INDIRECT(Equipo!$E$4&amp;"!"&amp;ADDRESS(10,COLUMN(J$9)-1)&amp;":"&amp;ADDRESS(1000,COLUMN(J$9)-1))),
SUMIF(INDIRECT(Equipo!$F$4&amp;"!B10:B1000"),$B96,INDIRECT(Equipo!$F$4&amp;"!"&amp;ADDRESS(10,COLUMN(J$9)-1)&amp;":"&amp;ADDRESS(1000,COLUMN(J$9)-1))),
SUMIF(INDIRECT(Equipo!$G$4&amp;"!B10:B1000"),$B96,INDIRECT(Equipo!$G$4&amp;"!"&amp;ADDRESS(10,COLUMN(J$9)-1)&amp;":"&amp;ADDRESS(1000,COLUMN(J$9)-1)))))</f>
        <v>-</v>
      </c>
      <c r="K96" s="19" t="str">
        <f t="array" ref="K96">IF(ISBLANK(Tareas!$B92),"-",SUM(
SUMIF(INDIRECT(Equipo!$C$4&amp;"!B10:B1000"),$B96,INDIRECT(Equipo!$C$4&amp;"!"&amp;ADDRESS(10,COLUMN(K$9)-1)&amp;":"&amp;ADDRESS(1000,COLUMN(K$9)-1))),
SUMIF(INDIRECT(Equipo!$D$4&amp;"!B10:B1000"),$B96,INDIRECT(Equipo!$D$4&amp;"!"&amp;ADDRESS(10,COLUMN(K$9)-1)&amp;":"&amp;ADDRESS(1000,COLUMN(K$9)-1))),
SUMIF(INDIRECT(Equipo!$E$4&amp;"!B10:B1000"),$B96,INDIRECT(Equipo!$E$4&amp;"!"&amp;ADDRESS(10,COLUMN(K$9)-1)&amp;":"&amp;ADDRESS(1000,COLUMN(K$9)-1))),
SUMIF(INDIRECT(Equipo!$F$4&amp;"!B10:B1000"),$B96,INDIRECT(Equipo!$F$4&amp;"!"&amp;ADDRESS(10,COLUMN(K$9)-1)&amp;":"&amp;ADDRESS(1000,COLUMN(K$9)-1))),
SUMIF(INDIRECT(Equipo!$G$4&amp;"!B10:B1000"),$B96,INDIRECT(Equipo!$G$4&amp;"!"&amp;ADDRESS(10,COLUMN(K$9)-1)&amp;":"&amp;ADDRESS(1000,COLUMN(K$9)-1)))))</f>
        <v>-</v>
      </c>
    </row>
    <row r="97" ht="15.75" customHeight="1">
      <c r="B97" s="1" t="str">
        <f>IF(ISBLANK(Tareas!B93)," - ",Tareas!B93)</f>
        <v> - </v>
      </c>
      <c r="D97" s="19" t="str">
        <f t="array" ref="D97">IF(ISBLANK(Tareas!$B93),"-",SUM(
SUMIF(INDIRECT(Equipo!$C$4&amp;"!B10:B1000"),$B97,INDIRECT(Equipo!$C$4&amp;"!"&amp;ADDRESS(10,COLUMN(D$9)-1)&amp;":"&amp;ADDRESS(1000,COLUMN(D$9)-1))),
SUMIF(INDIRECT(Equipo!$D$4&amp;"!B10:B1000"),$B97,INDIRECT(Equipo!$D$4&amp;"!"&amp;ADDRESS(10,COLUMN(D$9)-1)&amp;":"&amp;ADDRESS(1000,COLUMN(D$9)-1))),
SUMIF(INDIRECT(Equipo!$E$4&amp;"!B10:B1000"),$B97,INDIRECT(Equipo!$E$4&amp;"!"&amp;ADDRESS(10,COLUMN(D$9)-1)&amp;":"&amp;ADDRESS(1000,COLUMN(D$9)-1))),
SUMIF(INDIRECT(Equipo!$F$4&amp;"!B10:B1000"),$B97,INDIRECT(Equipo!$F$4&amp;"!"&amp;ADDRESS(10,COLUMN(D$9)-1)&amp;":"&amp;ADDRESS(1000,COLUMN(D$9)-1))),
SUMIF(INDIRECT(Equipo!$G$4&amp;"!B10:B1000"),$B97,INDIRECT(Equipo!$G$4&amp;"!"&amp;ADDRESS(10,COLUMN(D$9)-1)&amp;":"&amp;ADDRESS(1000,COLUMN(D$9)-1)))))</f>
        <v>-</v>
      </c>
      <c r="E97" s="19" t="str">
        <f t="array" ref="E97">IF(ISBLANK(Tareas!$B93),"-",SUM(
SUMIF(INDIRECT(Equipo!$C$4&amp;"!B10:B1000"),$B97,INDIRECT(Equipo!$C$4&amp;"!"&amp;ADDRESS(10,COLUMN(E$9)-1)&amp;":"&amp;ADDRESS(1000,COLUMN(E$9)-1))),
SUMIF(INDIRECT(Equipo!$D$4&amp;"!B10:B1000"),$B97,INDIRECT(Equipo!$D$4&amp;"!"&amp;ADDRESS(10,COLUMN(E$9)-1)&amp;":"&amp;ADDRESS(1000,COLUMN(E$9)-1))),
SUMIF(INDIRECT(Equipo!$E$4&amp;"!B10:B1000"),$B97,INDIRECT(Equipo!$E$4&amp;"!"&amp;ADDRESS(10,COLUMN(E$9)-1)&amp;":"&amp;ADDRESS(1000,COLUMN(E$9)-1))),
SUMIF(INDIRECT(Equipo!$F$4&amp;"!B10:B1000"),$B97,INDIRECT(Equipo!$F$4&amp;"!"&amp;ADDRESS(10,COLUMN(E$9)-1)&amp;":"&amp;ADDRESS(1000,COLUMN(E$9)-1))),
SUMIF(INDIRECT(Equipo!$G$4&amp;"!B10:B1000"),$B97,INDIRECT(Equipo!$G$4&amp;"!"&amp;ADDRESS(10,COLUMN(E$9)-1)&amp;":"&amp;ADDRESS(1000,COLUMN(E$9)-1)))))</f>
        <v>-</v>
      </c>
      <c r="F97" s="19" t="str">
        <f t="array" ref="F97">IF(ISBLANK(Tareas!$B93),"-",SUM(
SUMIF(INDIRECT(Equipo!$C$4&amp;"!B10:B1000"),$B97,INDIRECT(Equipo!$C$4&amp;"!"&amp;ADDRESS(10,COLUMN(F$9)-1)&amp;":"&amp;ADDRESS(1000,COLUMN(F$9)-1))),
SUMIF(INDIRECT(Equipo!$D$4&amp;"!B10:B1000"),$B97,INDIRECT(Equipo!$D$4&amp;"!"&amp;ADDRESS(10,COLUMN(F$9)-1)&amp;":"&amp;ADDRESS(1000,COLUMN(F$9)-1))),
SUMIF(INDIRECT(Equipo!$E$4&amp;"!B10:B1000"),$B97,INDIRECT(Equipo!$E$4&amp;"!"&amp;ADDRESS(10,COLUMN(F$9)-1)&amp;":"&amp;ADDRESS(1000,COLUMN(F$9)-1))),
SUMIF(INDIRECT(Equipo!$F$4&amp;"!B10:B1000"),$B97,INDIRECT(Equipo!$F$4&amp;"!"&amp;ADDRESS(10,COLUMN(F$9)-1)&amp;":"&amp;ADDRESS(1000,COLUMN(F$9)-1))),
SUMIF(INDIRECT(Equipo!$G$4&amp;"!B10:B1000"),$B97,INDIRECT(Equipo!$G$4&amp;"!"&amp;ADDRESS(10,COLUMN(F$9)-1)&amp;":"&amp;ADDRESS(1000,COLUMN(F$9)-1)))))</f>
        <v>-</v>
      </c>
      <c r="G97" s="19" t="str">
        <f t="array" ref="G97">IF(ISBLANK(Tareas!$B93),"-",SUM(
SUMIF(INDIRECT(Equipo!$C$4&amp;"!B10:B1000"),$B97,INDIRECT(Equipo!$C$4&amp;"!"&amp;ADDRESS(10,COLUMN(G$9)-1)&amp;":"&amp;ADDRESS(1000,COLUMN(G$9)-1))),
SUMIF(INDIRECT(Equipo!$D$4&amp;"!B10:B1000"),$B97,INDIRECT(Equipo!$D$4&amp;"!"&amp;ADDRESS(10,COLUMN(G$9)-1)&amp;":"&amp;ADDRESS(1000,COLUMN(G$9)-1))),
SUMIF(INDIRECT(Equipo!$E$4&amp;"!B10:B1000"),$B97,INDIRECT(Equipo!$E$4&amp;"!"&amp;ADDRESS(10,COLUMN(G$9)-1)&amp;":"&amp;ADDRESS(1000,COLUMN(G$9)-1))),
SUMIF(INDIRECT(Equipo!$F$4&amp;"!B10:B1000"),$B97,INDIRECT(Equipo!$F$4&amp;"!"&amp;ADDRESS(10,COLUMN(G$9)-1)&amp;":"&amp;ADDRESS(1000,COLUMN(G$9)-1))),
SUMIF(INDIRECT(Equipo!$G$4&amp;"!B10:B1000"),$B97,INDIRECT(Equipo!$G$4&amp;"!"&amp;ADDRESS(10,COLUMN(G$9)-1)&amp;":"&amp;ADDRESS(1000,COLUMN(G$9)-1)))))</f>
        <v>-</v>
      </c>
      <c r="H97" s="19" t="str">
        <f t="array" ref="H97">IF(ISBLANK(Tareas!$B93),"-",SUM(
SUMIF(INDIRECT(Equipo!$C$4&amp;"!B10:B1000"),$B97,INDIRECT(Equipo!$C$4&amp;"!"&amp;ADDRESS(10,COLUMN(H$9)-1)&amp;":"&amp;ADDRESS(1000,COLUMN(H$9)-1))),
SUMIF(INDIRECT(Equipo!$D$4&amp;"!B10:B1000"),$B97,INDIRECT(Equipo!$D$4&amp;"!"&amp;ADDRESS(10,COLUMN(H$9)-1)&amp;":"&amp;ADDRESS(1000,COLUMN(H$9)-1))),
SUMIF(INDIRECT(Equipo!$E$4&amp;"!B10:B1000"),$B97,INDIRECT(Equipo!$E$4&amp;"!"&amp;ADDRESS(10,COLUMN(H$9)-1)&amp;":"&amp;ADDRESS(1000,COLUMN(H$9)-1))),
SUMIF(INDIRECT(Equipo!$F$4&amp;"!B10:B1000"),$B97,INDIRECT(Equipo!$F$4&amp;"!"&amp;ADDRESS(10,COLUMN(H$9)-1)&amp;":"&amp;ADDRESS(1000,COLUMN(H$9)-1))),
SUMIF(INDIRECT(Equipo!$G$4&amp;"!B10:B1000"),$B97,INDIRECT(Equipo!$G$4&amp;"!"&amp;ADDRESS(10,COLUMN(H$9)-1)&amp;":"&amp;ADDRESS(1000,COLUMN(H$9)-1)))))</f>
        <v>-</v>
      </c>
      <c r="I97" s="19" t="str">
        <f t="array" ref="I97">IF(ISBLANK(Tareas!$B93),"-",SUM(
SUMIF(INDIRECT(Equipo!$C$4&amp;"!B10:B1000"),$B97,INDIRECT(Equipo!$C$4&amp;"!"&amp;ADDRESS(10,COLUMN(I$9)-1)&amp;":"&amp;ADDRESS(1000,COLUMN(I$9)-1))),
SUMIF(INDIRECT(Equipo!$D$4&amp;"!B10:B1000"),$B97,INDIRECT(Equipo!$D$4&amp;"!"&amp;ADDRESS(10,COLUMN(I$9)-1)&amp;":"&amp;ADDRESS(1000,COLUMN(I$9)-1))),
SUMIF(INDIRECT(Equipo!$E$4&amp;"!B10:B1000"),$B97,INDIRECT(Equipo!$E$4&amp;"!"&amp;ADDRESS(10,COLUMN(I$9)-1)&amp;":"&amp;ADDRESS(1000,COLUMN(I$9)-1))),
SUMIF(INDIRECT(Equipo!$F$4&amp;"!B10:B1000"),$B97,INDIRECT(Equipo!$F$4&amp;"!"&amp;ADDRESS(10,COLUMN(I$9)-1)&amp;":"&amp;ADDRESS(1000,COLUMN(I$9)-1))),
SUMIF(INDIRECT(Equipo!$G$4&amp;"!B10:B1000"),$B97,INDIRECT(Equipo!$G$4&amp;"!"&amp;ADDRESS(10,COLUMN(I$9)-1)&amp;":"&amp;ADDRESS(1000,COLUMN(I$9)-1)))))</f>
        <v>-</v>
      </c>
      <c r="J97" s="19" t="str">
        <f t="array" ref="J97">IF(ISBLANK(Tareas!$B93),"-",SUM(
SUMIF(INDIRECT(Equipo!$C$4&amp;"!B10:B1000"),$B97,INDIRECT(Equipo!$C$4&amp;"!"&amp;ADDRESS(10,COLUMN(J$9)-1)&amp;":"&amp;ADDRESS(1000,COLUMN(J$9)-1))),
SUMIF(INDIRECT(Equipo!$D$4&amp;"!B10:B1000"),$B97,INDIRECT(Equipo!$D$4&amp;"!"&amp;ADDRESS(10,COLUMN(J$9)-1)&amp;":"&amp;ADDRESS(1000,COLUMN(J$9)-1))),
SUMIF(INDIRECT(Equipo!$E$4&amp;"!B10:B1000"),$B97,INDIRECT(Equipo!$E$4&amp;"!"&amp;ADDRESS(10,COLUMN(J$9)-1)&amp;":"&amp;ADDRESS(1000,COLUMN(J$9)-1))),
SUMIF(INDIRECT(Equipo!$F$4&amp;"!B10:B1000"),$B97,INDIRECT(Equipo!$F$4&amp;"!"&amp;ADDRESS(10,COLUMN(J$9)-1)&amp;":"&amp;ADDRESS(1000,COLUMN(J$9)-1))),
SUMIF(INDIRECT(Equipo!$G$4&amp;"!B10:B1000"),$B97,INDIRECT(Equipo!$G$4&amp;"!"&amp;ADDRESS(10,COLUMN(J$9)-1)&amp;":"&amp;ADDRESS(1000,COLUMN(J$9)-1)))))</f>
        <v>-</v>
      </c>
      <c r="K97" s="19" t="str">
        <f t="array" ref="K97">IF(ISBLANK(Tareas!$B93),"-",SUM(
SUMIF(INDIRECT(Equipo!$C$4&amp;"!B10:B1000"),$B97,INDIRECT(Equipo!$C$4&amp;"!"&amp;ADDRESS(10,COLUMN(K$9)-1)&amp;":"&amp;ADDRESS(1000,COLUMN(K$9)-1))),
SUMIF(INDIRECT(Equipo!$D$4&amp;"!B10:B1000"),$B97,INDIRECT(Equipo!$D$4&amp;"!"&amp;ADDRESS(10,COLUMN(K$9)-1)&amp;":"&amp;ADDRESS(1000,COLUMN(K$9)-1))),
SUMIF(INDIRECT(Equipo!$E$4&amp;"!B10:B1000"),$B97,INDIRECT(Equipo!$E$4&amp;"!"&amp;ADDRESS(10,COLUMN(K$9)-1)&amp;":"&amp;ADDRESS(1000,COLUMN(K$9)-1))),
SUMIF(INDIRECT(Equipo!$F$4&amp;"!B10:B1000"),$B97,INDIRECT(Equipo!$F$4&amp;"!"&amp;ADDRESS(10,COLUMN(K$9)-1)&amp;":"&amp;ADDRESS(1000,COLUMN(K$9)-1))),
SUMIF(INDIRECT(Equipo!$G$4&amp;"!B10:B1000"),$B97,INDIRECT(Equipo!$G$4&amp;"!"&amp;ADDRESS(10,COLUMN(K$9)-1)&amp;":"&amp;ADDRESS(1000,COLUMN(K$9)-1)))))</f>
        <v>-</v>
      </c>
    </row>
    <row r="98" ht="15.75" customHeight="1">
      <c r="B98" s="1" t="str">
        <f>IF(ISBLANK(Tareas!B94)," - ",Tareas!B94)</f>
        <v> - </v>
      </c>
      <c r="D98" s="19" t="str">
        <f t="array" ref="D98">IF(ISBLANK(Tareas!$B94),"-",SUM(
SUMIF(INDIRECT(Equipo!$C$4&amp;"!B10:B1000"),$B98,INDIRECT(Equipo!$C$4&amp;"!"&amp;ADDRESS(10,COLUMN(D$9)-1)&amp;":"&amp;ADDRESS(1000,COLUMN(D$9)-1))),
SUMIF(INDIRECT(Equipo!$D$4&amp;"!B10:B1000"),$B98,INDIRECT(Equipo!$D$4&amp;"!"&amp;ADDRESS(10,COLUMN(D$9)-1)&amp;":"&amp;ADDRESS(1000,COLUMN(D$9)-1))),
SUMIF(INDIRECT(Equipo!$E$4&amp;"!B10:B1000"),$B98,INDIRECT(Equipo!$E$4&amp;"!"&amp;ADDRESS(10,COLUMN(D$9)-1)&amp;":"&amp;ADDRESS(1000,COLUMN(D$9)-1))),
SUMIF(INDIRECT(Equipo!$F$4&amp;"!B10:B1000"),$B98,INDIRECT(Equipo!$F$4&amp;"!"&amp;ADDRESS(10,COLUMN(D$9)-1)&amp;":"&amp;ADDRESS(1000,COLUMN(D$9)-1))),
SUMIF(INDIRECT(Equipo!$G$4&amp;"!B10:B1000"),$B98,INDIRECT(Equipo!$G$4&amp;"!"&amp;ADDRESS(10,COLUMN(D$9)-1)&amp;":"&amp;ADDRESS(1000,COLUMN(D$9)-1)))))</f>
        <v>-</v>
      </c>
      <c r="E98" s="19" t="str">
        <f t="array" ref="E98">IF(ISBLANK(Tareas!$B94),"-",SUM(
SUMIF(INDIRECT(Equipo!$C$4&amp;"!B10:B1000"),$B98,INDIRECT(Equipo!$C$4&amp;"!"&amp;ADDRESS(10,COLUMN(E$9)-1)&amp;":"&amp;ADDRESS(1000,COLUMN(E$9)-1))),
SUMIF(INDIRECT(Equipo!$D$4&amp;"!B10:B1000"),$B98,INDIRECT(Equipo!$D$4&amp;"!"&amp;ADDRESS(10,COLUMN(E$9)-1)&amp;":"&amp;ADDRESS(1000,COLUMN(E$9)-1))),
SUMIF(INDIRECT(Equipo!$E$4&amp;"!B10:B1000"),$B98,INDIRECT(Equipo!$E$4&amp;"!"&amp;ADDRESS(10,COLUMN(E$9)-1)&amp;":"&amp;ADDRESS(1000,COLUMN(E$9)-1))),
SUMIF(INDIRECT(Equipo!$F$4&amp;"!B10:B1000"),$B98,INDIRECT(Equipo!$F$4&amp;"!"&amp;ADDRESS(10,COLUMN(E$9)-1)&amp;":"&amp;ADDRESS(1000,COLUMN(E$9)-1))),
SUMIF(INDIRECT(Equipo!$G$4&amp;"!B10:B1000"),$B98,INDIRECT(Equipo!$G$4&amp;"!"&amp;ADDRESS(10,COLUMN(E$9)-1)&amp;":"&amp;ADDRESS(1000,COLUMN(E$9)-1)))))</f>
        <v>-</v>
      </c>
      <c r="F98" s="19" t="str">
        <f t="array" ref="F98">IF(ISBLANK(Tareas!$B94),"-",SUM(
SUMIF(INDIRECT(Equipo!$C$4&amp;"!B10:B1000"),$B98,INDIRECT(Equipo!$C$4&amp;"!"&amp;ADDRESS(10,COLUMN(F$9)-1)&amp;":"&amp;ADDRESS(1000,COLUMN(F$9)-1))),
SUMIF(INDIRECT(Equipo!$D$4&amp;"!B10:B1000"),$B98,INDIRECT(Equipo!$D$4&amp;"!"&amp;ADDRESS(10,COLUMN(F$9)-1)&amp;":"&amp;ADDRESS(1000,COLUMN(F$9)-1))),
SUMIF(INDIRECT(Equipo!$E$4&amp;"!B10:B1000"),$B98,INDIRECT(Equipo!$E$4&amp;"!"&amp;ADDRESS(10,COLUMN(F$9)-1)&amp;":"&amp;ADDRESS(1000,COLUMN(F$9)-1))),
SUMIF(INDIRECT(Equipo!$F$4&amp;"!B10:B1000"),$B98,INDIRECT(Equipo!$F$4&amp;"!"&amp;ADDRESS(10,COLUMN(F$9)-1)&amp;":"&amp;ADDRESS(1000,COLUMN(F$9)-1))),
SUMIF(INDIRECT(Equipo!$G$4&amp;"!B10:B1000"),$B98,INDIRECT(Equipo!$G$4&amp;"!"&amp;ADDRESS(10,COLUMN(F$9)-1)&amp;":"&amp;ADDRESS(1000,COLUMN(F$9)-1)))))</f>
        <v>-</v>
      </c>
      <c r="G98" s="19" t="str">
        <f t="array" ref="G98">IF(ISBLANK(Tareas!$B94),"-",SUM(
SUMIF(INDIRECT(Equipo!$C$4&amp;"!B10:B1000"),$B98,INDIRECT(Equipo!$C$4&amp;"!"&amp;ADDRESS(10,COLUMN(G$9)-1)&amp;":"&amp;ADDRESS(1000,COLUMN(G$9)-1))),
SUMIF(INDIRECT(Equipo!$D$4&amp;"!B10:B1000"),$B98,INDIRECT(Equipo!$D$4&amp;"!"&amp;ADDRESS(10,COLUMN(G$9)-1)&amp;":"&amp;ADDRESS(1000,COLUMN(G$9)-1))),
SUMIF(INDIRECT(Equipo!$E$4&amp;"!B10:B1000"),$B98,INDIRECT(Equipo!$E$4&amp;"!"&amp;ADDRESS(10,COLUMN(G$9)-1)&amp;":"&amp;ADDRESS(1000,COLUMN(G$9)-1))),
SUMIF(INDIRECT(Equipo!$F$4&amp;"!B10:B1000"),$B98,INDIRECT(Equipo!$F$4&amp;"!"&amp;ADDRESS(10,COLUMN(G$9)-1)&amp;":"&amp;ADDRESS(1000,COLUMN(G$9)-1))),
SUMIF(INDIRECT(Equipo!$G$4&amp;"!B10:B1000"),$B98,INDIRECT(Equipo!$G$4&amp;"!"&amp;ADDRESS(10,COLUMN(G$9)-1)&amp;":"&amp;ADDRESS(1000,COLUMN(G$9)-1)))))</f>
        <v>-</v>
      </c>
      <c r="H98" s="19" t="str">
        <f t="array" ref="H98">IF(ISBLANK(Tareas!$B94),"-",SUM(
SUMIF(INDIRECT(Equipo!$C$4&amp;"!B10:B1000"),$B98,INDIRECT(Equipo!$C$4&amp;"!"&amp;ADDRESS(10,COLUMN(H$9)-1)&amp;":"&amp;ADDRESS(1000,COLUMN(H$9)-1))),
SUMIF(INDIRECT(Equipo!$D$4&amp;"!B10:B1000"),$B98,INDIRECT(Equipo!$D$4&amp;"!"&amp;ADDRESS(10,COLUMN(H$9)-1)&amp;":"&amp;ADDRESS(1000,COLUMN(H$9)-1))),
SUMIF(INDIRECT(Equipo!$E$4&amp;"!B10:B1000"),$B98,INDIRECT(Equipo!$E$4&amp;"!"&amp;ADDRESS(10,COLUMN(H$9)-1)&amp;":"&amp;ADDRESS(1000,COLUMN(H$9)-1))),
SUMIF(INDIRECT(Equipo!$F$4&amp;"!B10:B1000"),$B98,INDIRECT(Equipo!$F$4&amp;"!"&amp;ADDRESS(10,COLUMN(H$9)-1)&amp;":"&amp;ADDRESS(1000,COLUMN(H$9)-1))),
SUMIF(INDIRECT(Equipo!$G$4&amp;"!B10:B1000"),$B98,INDIRECT(Equipo!$G$4&amp;"!"&amp;ADDRESS(10,COLUMN(H$9)-1)&amp;":"&amp;ADDRESS(1000,COLUMN(H$9)-1)))))</f>
        <v>-</v>
      </c>
      <c r="I98" s="19" t="str">
        <f t="array" ref="I98">IF(ISBLANK(Tareas!$B94),"-",SUM(
SUMIF(INDIRECT(Equipo!$C$4&amp;"!B10:B1000"),$B98,INDIRECT(Equipo!$C$4&amp;"!"&amp;ADDRESS(10,COLUMN(I$9)-1)&amp;":"&amp;ADDRESS(1000,COLUMN(I$9)-1))),
SUMIF(INDIRECT(Equipo!$D$4&amp;"!B10:B1000"),$B98,INDIRECT(Equipo!$D$4&amp;"!"&amp;ADDRESS(10,COLUMN(I$9)-1)&amp;":"&amp;ADDRESS(1000,COLUMN(I$9)-1))),
SUMIF(INDIRECT(Equipo!$E$4&amp;"!B10:B1000"),$B98,INDIRECT(Equipo!$E$4&amp;"!"&amp;ADDRESS(10,COLUMN(I$9)-1)&amp;":"&amp;ADDRESS(1000,COLUMN(I$9)-1))),
SUMIF(INDIRECT(Equipo!$F$4&amp;"!B10:B1000"),$B98,INDIRECT(Equipo!$F$4&amp;"!"&amp;ADDRESS(10,COLUMN(I$9)-1)&amp;":"&amp;ADDRESS(1000,COLUMN(I$9)-1))),
SUMIF(INDIRECT(Equipo!$G$4&amp;"!B10:B1000"),$B98,INDIRECT(Equipo!$G$4&amp;"!"&amp;ADDRESS(10,COLUMN(I$9)-1)&amp;":"&amp;ADDRESS(1000,COLUMN(I$9)-1)))))</f>
        <v>-</v>
      </c>
      <c r="J98" s="19" t="str">
        <f t="array" ref="J98">IF(ISBLANK(Tareas!$B94),"-",SUM(
SUMIF(INDIRECT(Equipo!$C$4&amp;"!B10:B1000"),$B98,INDIRECT(Equipo!$C$4&amp;"!"&amp;ADDRESS(10,COLUMN(J$9)-1)&amp;":"&amp;ADDRESS(1000,COLUMN(J$9)-1))),
SUMIF(INDIRECT(Equipo!$D$4&amp;"!B10:B1000"),$B98,INDIRECT(Equipo!$D$4&amp;"!"&amp;ADDRESS(10,COLUMN(J$9)-1)&amp;":"&amp;ADDRESS(1000,COLUMN(J$9)-1))),
SUMIF(INDIRECT(Equipo!$E$4&amp;"!B10:B1000"),$B98,INDIRECT(Equipo!$E$4&amp;"!"&amp;ADDRESS(10,COLUMN(J$9)-1)&amp;":"&amp;ADDRESS(1000,COLUMN(J$9)-1))),
SUMIF(INDIRECT(Equipo!$F$4&amp;"!B10:B1000"),$B98,INDIRECT(Equipo!$F$4&amp;"!"&amp;ADDRESS(10,COLUMN(J$9)-1)&amp;":"&amp;ADDRESS(1000,COLUMN(J$9)-1))),
SUMIF(INDIRECT(Equipo!$G$4&amp;"!B10:B1000"),$B98,INDIRECT(Equipo!$G$4&amp;"!"&amp;ADDRESS(10,COLUMN(J$9)-1)&amp;":"&amp;ADDRESS(1000,COLUMN(J$9)-1)))))</f>
        <v>-</v>
      </c>
      <c r="K98" s="19" t="str">
        <f t="array" ref="K98">IF(ISBLANK(Tareas!$B94),"-",SUM(
SUMIF(INDIRECT(Equipo!$C$4&amp;"!B10:B1000"),$B98,INDIRECT(Equipo!$C$4&amp;"!"&amp;ADDRESS(10,COLUMN(K$9)-1)&amp;":"&amp;ADDRESS(1000,COLUMN(K$9)-1))),
SUMIF(INDIRECT(Equipo!$D$4&amp;"!B10:B1000"),$B98,INDIRECT(Equipo!$D$4&amp;"!"&amp;ADDRESS(10,COLUMN(K$9)-1)&amp;":"&amp;ADDRESS(1000,COLUMN(K$9)-1))),
SUMIF(INDIRECT(Equipo!$E$4&amp;"!B10:B1000"),$B98,INDIRECT(Equipo!$E$4&amp;"!"&amp;ADDRESS(10,COLUMN(K$9)-1)&amp;":"&amp;ADDRESS(1000,COLUMN(K$9)-1))),
SUMIF(INDIRECT(Equipo!$F$4&amp;"!B10:B1000"),$B98,INDIRECT(Equipo!$F$4&amp;"!"&amp;ADDRESS(10,COLUMN(K$9)-1)&amp;":"&amp;ADDRESS(1000,COLUMN(K$9)-1))),
SUMIF(INDIRECT(Equipo!$G$4&amp;"!B10:B1000"),$B98,INDIRECT(Equipo!$G$4&amp;"!"&amp;ADDRESS(10,COLUMN(K$9)-1)&amp;":"&amp;ADDRESS(1000,COLUMN(K$9)-1)))))</f>
        <v>-</v>
      </c>
    </row>
    <row r="99" ht="15.75" customHeight="1">
      <c r="B99" s="1" t="str">
        <f>IF(ISBLANK(Tareas!B95)," - ",Tareas!B95)</f>
        <v> - </v>
      </c>
      <c r="D99" s="19" t="str">
        <f t="array" ref="D99">IF(ISBLANK(Tareas!$B95),"-",SUM(
SUMIF(INDIRECT(Equipo!$C$4&amp;"!B10:B1000"),$B99,INDIRECT(Equipo!$C$4&amp;"!"&amp;ADDRESS(10,COLUMN(D$9)-1)&amp;":"&amp;ADDRESS(1000,COLUMN(D$9)-1))),
SUMIF(INDIRECT(Equipo!$D$4&amp;"!B10:B1000"),$B99,INDIRECT(Equipo!$D$4&amp;"!"&amp;ADDRESS(10,COLUMN(D$9)-1)&amp;":"&amp;ADDRESS(1000,COLUMN(D$9)-1))),
SUMIF(INDIRECT(Equipo!$E$4&amp;"!B10:B1000"),$B99,INDIRECT(Equipo!$E$4&amp;"!"&amp;ADDRESS(10,COLUMN(D$9)-1)&amp;":"&amp;ADDRESS(1000,COLUMN(D$9)-1))),
SUMIF(INDIRECT(Equipo!$F$4&amp;"!B10:B1000"),$B99,INDIRECT(Equipo!$F$4&amp;"!"&amp;ADDRESS(10,COLUMN(D$9)-1)&amp;":"&amp;ADDRESS(1000,COLUMN(D$9)-1))),
SUMIF(INDIRECT(Equipo!$G$4&amp;"!B10:B1000"),$B99,INDIRECT(Equipo!$G$4&amp;"!"&amp;ADDRESS(10,COLUMN(D$9)-1)&amp;":"&amp;ADDRESS(1000,COLUMN(D$9)-1)))))</f>
        <v>-</v>
      </c>
      <c r="E99" s="19" t="str">
        <f t="array" ref="E99">IF(ISBLANK(Tareas!$B95),"-",SUM(
SUMIF(INDIRECT(Equipo!$C$4&amp;"!B10:B1000"),$B99,INDIRECT(Equipo!$C$4&amp;"!"&amp;ADDRESS(10,COLUMN(E$9)-1)&amp;":"&amp;ADDRESS(1000,COLUMN(E$9)-1))),
SUMIF(INDIRECT(Equipo!$D$4&amp;"!B10:B1000"),$B99,INDIRECT(Equipo!$D$4&amp;"!"&amp;ADDRESS(10,COLUMN(E$9)-1)&amp;":"&amp;ADDRESS(1000,COLUMN(E$9)-1))),
SUMIF(INDIRECT(Equipo!$E$4&amp;"!B10:B1000"),$B99,INDIRECT(Equipo!$E$4&amp;"!"&amp;ADDRESS(10,COLUMN(E$9)-1)&amp;":"&amp;ADDRESS(1000,COLUMN(E$9)-1))),
SUMIF(INDIRECT(Equipo!$F$4&amp;"!B10:B1000"),$B99,INDIRECT(Equipo!$F$4&amp;"!"&amp;ADDRESS(10,COLUMN(E$9)-1)&amp;":"&amp;ADDRESS(1000,COLUMN(E$9)-1))),
SUMIF(INDIRECT(Equipo!$G$4&amp;"!B10:B1000"),$B99,INDIRECT(Equipo!$G$4&amp;"!"&amp;ADDRESS(10,COLUMN(E$9)-1)&amp;":"&amp;ADDRESS(1000,COLUMN(E$9)-1)))))</f>
        <v>-</v>
      </c>
      <c r="F99" s="19" t="str">
        <f t="array" ref="F99">IF(ISBLANK(Tareas!$B95),"-",SUM(
SUMIF(INDIRECT(Equipo!$C$4&amp;"!B10:B1000"),$B99,INDIRECT(Equipo!$C$4&amp;"!"&amp;ADDRESS(10,COLUMN(F$9)-1)&amp;":"&amp;ADDRESS(1000,COLUMN(F$9)-1))),
SUMIF(INDIRECT(Equipo!$D$4&amp;"!B10:B1000"),$B99,INDIRECT(Equipo!$D$4&amp;"!"&amp;ADDRESS(10,COLUMN(F$9)-1)&amp;":"&amp;ADDRESS(1000,COLUMN(F$9)-1))),
SUMIF(INDIRECT(Equipo!$E$4&amp;"!B10:B1000"),$B99,INDIRECT(Equipo!$E$4&amp;"!"&amp;ADDRESS(10,COLUMN(F$9)-1)&amp;":"&amp;ADDRESS(1000,COLUMN(F$9)-1))),
SUMIF(INDIRECT(Equipo!$F$4&amp;"!B10:B1000"),$B99,INDIRECT(Equipo!$F$4&amp;"!"&amp;ADDRESS(10,COLUMN(F$9)-1)&amp;":"&amp;ADDRESS(1000,COLUMN(F$9)-1))),
SUMIF(INDIRECT(Equipo!$G$4&amp;"!B10:B1000"),$B99,INDIRECT(Equipo!$G$4&amp;"!"&amp;ADDRESS(10,COLUMN(F$9)-1)&amp;":"&amp;ADDRESS(1000,COLUMN(F$9)-1)))))</f>
        <v>-</v>
      </c>
      <c r="G99" s="19" t="str">
        <f t="array" ref="G99">IF(ISBLANK(Tareas!$B95),"-",SUM(
SUMIF(INDIRECT(Equipo!$C$4&amp;"!B10:B1000"),$B99,INDIRECT(Equipo!$C$4&amp;"!"&amp;ADDRESS(10,COLUMN(G$9)-1)&amp;":"&amp;ADDRESS(1000,COLUMN(G$9)-1))),
SUMIF(INDIRECT(Equipo!$D$4&amp;"!B10:B1000"),$B99,INDIRECT(Equipo!$D$4&amp;"!"&amp;ADDRESS(10,COLUMN(G$9)-1)&amp;":"&amp;ADDRESS(1000,COLUMN(G$9)-1))),
SUMIF(INDIRECT(Equipo!$E$4&amp;"!B10:B1000"),$B99,INDIRECT(Equipo!$E$4&amp;"!"&amp;ADDRESS(10,COLUMN(G$9)-1)&amp;":"&amp;ADDRESS(1000,COLUMN(G$9)-1))),
SUMIF(INDIRECT(Equipo!$F$4&amp;"!B10:B1000"),$B99,INDIRECT(Equipo!$F$4&amp;"!"&amp;ADDRESS(10,COLUMN(G$9)-1)&amp;":"&amp;ADDRESS(1000,COLUMN(G$9)-1))),
SUMIF(INDIRECT(Equipo!$G$4&amp;"!B10:B1000"),$B99,INDIRECT(Equipo!$G$4&amp;"!"&amp;ADDRESS(10,COLUMN(G$9)-1)&amp;":"&amp;ADDRESS(1000,COLUMN(G$9)-1)))))</f>
        <v>-</v>
      </c>
      <c r="H99" s="19" t="str">
        <f t="array" ref="H99">IF(ISBLANK(Tareas!$B95),"-",SUM(
SUMIF(INDIRECT(Equipo!$C$4&amp;"!B10:B1000"),$B99,INDIRECT(Equipo!$C$4&amp;"!"&amp;ADDRESS(10,COLUMN(H$9)-1)&amp;":"&amp;ADDRESS(1000,COLUMN(H$9)-1))),
SUMIF(INDIRECT(Equipo!$D$4&amp;"!B10:B1000"),$B99,INDIRECT(Equipo!$D$4&amp;"!"&amp;ADDRESS(10,COLUMN(H$9)-1)&amp;":"&amp;ADDRESS(1000,COLUMN(H$9)-1))),
SUMIF(INDIRECT(Equipo!$E$4&amp;"!B10:B1000"),$B99,INDIRECT(Equipo!$E$4&amp;"!"&amp;ADDRESS(10,COLUMN(H$9)-1)&amp;":"&amp;ADDRESS(1000,COLUMN(H$9)-1))),
SUMIF(INDIRECT(Equipo!$F$4&amp;"!B10:B1000"),$B99,INDIRECT(Equipo!$F$4&amp;"!"&amp;ADDRESS(10,COLUMN(H$9)-1)&amp;":"&amp;ADDRESS(1000,COLUMN(H$9)-1))),
SUMIF(INDIRECT(Equipo!$G$4&amp;"!B10:B1000"),$B99,INDIRECT(Equipo!$G$4&amp;"!"&amp;ADDRESS(10,COLUMN(H$9)-1)&amp;":"&amp;ADDRESS(1000,COLUMN(H$9)-1)))))</f>
        <v>-</v>
      </c>
      <c r="I99" s="19" t="str">
        <f t="array" ref="I99">IF(ISBLANK(Tareas!$B95),"-",SUM(
SUMIF(INDIRECT(Equipo!$C$4&amp;"!B10:B1000"),$B99,INDIRECT(Equipo!$C$4&amp;"!"&amp;ADDRESS(10,COLUMN(I$9)-1)&amp;":"&amp;ADDRESS(1000,COLUMN(I$9)-1))),
SUMIF(INDIRECT(Equipo!$D$4&amp;"!B10:B1000"),$B99,INDIRECT(Equipo!$D$4&amp;"!"&amp;ADDRESS(10,COLUMN(I$9)-1)&amp;":"&amp;ADDRESS(1000,COLUMN(I$9)-1))),
SUMIF(INDIRECT(Equipo!$E$4&amp;"!B10:B1000"),$B99,INDIRECT(Equipo!$E$4&amp;"!"&amp;ADDRESS(10,COLUMN(I$9)-1)&amp;":"&amp;ADDRESS(1000,COLUMN(I$9)-1))),
SUMIF(INDIRECT(Equipo!$F$4&amp;"!B10:B1000"),$B99,INDIRECT(Equipo!$F$4&amp;"!"&amp;ADDRESS(10,COLUMN(I$9)-1)&amp;":"&amp;ADDRESS(1000,COLUMN(I$9)-1))),
SUMIF(INDIRECT(Equipo!$G$4&amp;"!B10:B1000"),$B99,INDIRECT(Equipo!$G$4&amp;"!"&amp;ADDRESS(10,COLUMN(I$9)-1)&amp;":"&amp;ADDRESS(1000,COLUMN(I$9)-1)))))</f>
        <v>-</v>
      </c>
      <c r="J99" s="19" t="str">
        <f t="array" ref="J99">IF(ISBLANK(Tareas!$B95),"-",SUM(
SUMIF(INDIRECT(Equipo!$C$4&amp;"!B10:B1000"),$B99,INDIRECT(Equipo!$C$4&amp;"!"&amp;ADDRESS(10,COLUMN(J$9)-1)&amp;":"&amp;ADDRESS(1000,COLUMN(J$9)-1))),
SUMIF(INDIRECT(Equipo!$D$4&amp;"!B10:B1000"),$B99,INDIRECT(Equipo!$D$4&amp;"!"&amp;ADDRESS(10,COLUMN(J$9)-1)&amp;":"&amp;ADDRESS(1000,COLUMN(J$9)-1))),
SUMIF(INDIRECT(Equipo!$E$4&amp;"!B10:B1000"),$B99,INDIRECT(Equipo!$E$4&amp;"!"&amp;ADDRESS(10,COLUMN(J$9)-1)&amp;":"&amp;ADDRESS(1000,COLUMN(J$9)-1))),
SUMIF(INDIRECT(Equipo!$F$4&amp;"!B10:B1000"),$B99,INDIRECT(Equipo!$F$4&amp;"!"&amp;ADDRESS(10,COLUMN(J$9)-1)&amp;":"&amp;ADDRESS(1000,COLUMN(J$9)-1))),
SUMIF(INDIRECT(Equipo!$G$4&amp;"!B10:B1000"),$B99,INDIRECT(Equipo!$G$4&amp;"!"&amp;ADDRESS(10,COLUMN(J$9)-1)&amp;":"&amp;ADDRESS(1000,COLUMN(J$9)-1)))))</f>
        <v>-</v>
      </c>
      <c r="K99" s="19" t="str">
        <f t="array" ref="K99">IF(ISBLANK(Tareas!$B95),"-",SUM(
SUMIF(INDIRECT(Equipo!$C$4&amp;"!B10:B1000"),$B99,INDIRECT(Equipo!$C$4&amp;"!"&amp;ADDRESS(10,COLUMN(K$9)-1)&amp;":"&amp;ADDRESS(1000,COLUMN(K$9)-1))),
SUMIF(INDIRECT(Equipo!$D$4&amp;"!B10:B1000"),$B99,INDIRECT(Equipo!$D$4&amp;"!"&amp;ADDRESS(10,COLUMN(K$9)-1)&amp;":"&amp;ADDRESS(1000,COLUMN(K$9)-1))),
SUMIF(INDIRECT(Equipo!$E$4&amp;"!B10:B1000"),$B99,INDIRECT(Equipo!$E$4&amp;"!"&amp;ADDRESS(10,COLUMN(K$9)-1)&amp;":"&amp;ADDRESS(1000,COLUMN(K$9)-1))),
SUMIF(INDIRECT(Equipo!$F$4&amp;"!B10:B1000"),$B99,INDIRECT(Equipo!$F$4&amp;"!"&amp;ADDRESS(10,COLUMN(K$9)-1)&amp;":"&amp;ADDRESS(1000,COLUMN(K$9)-1))),
SUMIF(INDIRECT(Equipo!$G$4&amp;"!B10:B1000"),$B99,INDIRECT(Equipo!$G$4&amp;"!"&amp;ADDRESS(10,COLUMN(K$9)-1)&amp;":"&amp;ADDRESS(1000,COLUMN(K$9)-1)))))</f>
        <v>-</v>
      </c>
    </row>
    <row r="100" ht="15.75" customHeight="1">
      <c r="B100" s="1" t="str">
        <f>IF(ISBLANK(Tareas!B96)," - ",Tareas!B96)</f>
        <v> - </v>
      </c>
      <c r="D100" s="19" t="str">
        <f t="array" ref="D100">IF(ISBLANK(Tareas!$B96),"-",SUM(
SUMIF(INDIRECT(Equipo!$C$4&amp;"!B10:B1000"),$B100,INDIRECT(Equipo!$C$4&amp;"!"&amp;ADDRESS(10,COLUMN(D$9)-1)&amp;":"&amp;ADDRESS(1000,COLUMN(D$9)-1))),
SUMIF(INDIRECT(Equipo!$D$4&amp;"!B10:B1000"),$B100,INDIRECT(Equipo!$D$4&amp;"!"&amp;ADDRESS(10,COLUMN(D$9)-1)&amp;":"&amp;ADDRESS(1000,COLUMN(D$9)-1))),
SUMIF(INDIRECT(Equipo!$E$4&amp;"!B10:B1000"),$B100,INDIRECT(Equipo!$E$4&amp;"!"&amp;ADDRESS(10,COLUMN(D$9)-1)&amp;":"&amp;ADDRESS(1000,COLUMN(D$9)-1))),
SUMIF(INDIRECT(Equipo!$F$4&amp;"!B10:B1000"),$B100,INDIRECT(Equipo!$F$4&amp;"!"&amp;ADDRESS(10,COLUMN(D$9)-1)&amp;":"&amp;ADDRESS(1000,COLUMN(D$9)-1))),
SUMIF(INDIRECT(Equipo!$G$4&amp;"!B10:B1000"),$B100,INDIRECT(Equipo!$G$4&amp;"!"&amp;ADDRESS(10,COLUMN(D$9)-1)&amp;":"&amp;ADDRESS(1000,COLUMN(D$9)-1)))))</f>
        <v>-</v>
      </c>
      <c r="E100" s="19" t="str">
        <f t="array" ref="E100">IF(ISBLANK(Tareas!$B96),"-",SUM(
SUMIF(INDIRECT(Equipo!$C$4&amp;"!B10:B1000"),$B100,INDIRECT(Equipo!$C$4&amp;"!"&amp;ADDRESS(10,COLUMN(E$9)-1)&amp;":"&amp;ADDRESS(1000,COLUMN(E$9)-1))),
SUMIF(INDIRECT(Equipo!$D$4&amp;"!B10:B1000"),$B100,INDIRECT(Equipo!$D$4&amp;"!"&amp;ADDRESS(10,COLUMN(E$9)-1)&amp;":"&amp;ADDRESS(1000,COLUMN(E$9)-1))),
SUMIF(INDIRECT(Equipo!$E$4&amp;"!B10:B1000"),$B100,INDIRECT(Equipo!$E$4&amp;"!"&amp;ADDRESS(10,COLUMN(E$9)-1)&amp;":"&amp;ADDRESS(1000,COLUMN(E$9)-1))),
SUMIF(INDIRECT(Equipo!$F$4&amp;"!B10:B1000"),$B100,INDIRECT(Equipo!$F$4&amp;"!"&amp;ADDRESS(10,COLUMN(E$9)-1)&amp;":"&amp;ADDRESS(1000,COLUMN(E$9)-1))),
SUMIF(INDIRECT(Equipo!$G$4&amp;"!B10:B1000"),$B100,INDIRECT(Equipo!$G$4&amp;"!"&amp;ADDRESS(10,COLUMN(E$9)-1)&amp;":"&amp;ADDRESS(1000,COLUMN(E$9)-1)))))</f>
        <v>-</v>
      </c>
      <c r="F100" s="19" t="str">
        <f t="array" ref="F100">IF(ISBLANK(Tareas!$B96),"-",SUM(
SUMIF(INDIRECT(Equipo!$C$4&amp;"!B10:B1000"),$B100,INDIRECT(Equipo!$C$4&amp;"!"&amp;ADDRESS(10,COLUMN(F$9)-1)&amp;":"&amp;ADDRESS(1000,COLUMN(F$9)-1))),
SUMIF(INDIRECT(Equipo!$D$4&amp;"!B10:B1000"),$B100,INDIRECT(Equipo!$D$4&amp;"!"&amp;ADDRESS(10,COLUMN(F$9)-1)&amp;":"&amp;ADDRESS(1000,COLUMN(F$9)-1))),
SUMIF(INDIRECT(Equipo!$E$4&amp;"!B10:B1000"),$B100,INDIRECT(Equipo!$E$4&amp;"!"&amp;ADDRESS(10,COLUMN(F$9)-1)&amp;":"&amp;ADDRESS(1000,COLUMN(F$9)-1))),
SUMIF(INDIRECT(Equipo!$F$4&amp;"!B10:B1000"),$B100,INDIRECT(Equipo!$F$4&amp;"!"&amp;ADDRESS(10,COLUMN(F$9)-1)&amp;":"&amp;ADDRESS(1000,COLUMN(F$9)-1))),
SUMIF(INDIRECT(Equipo!$G$4&amp;"!B10:B1000"),$B100,INDIRECT(Equipo!$G$4&amp;"!"&amp;ADDRESS(10,COLUMN(F$9)-1)&amp;":"&amp;ADDRESS(1000,COLUMN(F$9)-1)))))</f>
        <v>-</v>
      </c>
      <c r="G100" s="19" t="str">
        <f t="array" ref="G100">IF(ISBLANK(Tareas!$B96),"-",SUM(
SUMIF(INDIRECT(Equipo!$C$4&amp;"!B10:B1000"),$B100,INDIRECT(Equipo!$C$4&amp;"!"&amp;ADDRESS(10,COLUMN(G$9)-1)&amp;":"&amp;ADDRESS(1000,COLUMN(G$9)-1))),
SUMIF(INDIRECT(Equipo!$D$4&amp;"!B10:B1000"),$B100,INDIRECT(Equipo!$D$4&amp;"!"&amp;ADDRESS(10,COLUMN(G$9)-1)&amp;":"&amp;ADDRESS(1000,COLUMN(G$9)-1))),
SUMIF(INDIRECT(Equipo!$E$4&amp;"!B10:B1000"),$B100,INDIRECT(Equipo!$E$4&amp;"!"&amp;ADDRESS(10,COLUMN(G$9)-1)&amp;":"&amp;ADDRESS(1000,COLUMN(G$9)-1))),
SUMIF(INDIRECT(Equipo!$F$4&amp;"!B10:B1000"),$B100,INDIRECT(Equipo!$F$4&amp;"!"&amp;ADDRESS(10,COLUMN(G$9)-1)&amp;":"&amp;ADDRESS(1000,COLUMN(G$9)-1))),
SUMIF(INDIRECT(Equipo!$G$4&amp;"!B10:B1000"),$B100,INDIRECT(Equipo!$G$4&amp;"!"&amp;ADDRESS(10,COLUMN(G$9)-1)&amp;":"&amp;ADDRESS(1000,COLUMN(G$9)-1)))))</f>
        <v>-</v>
      </c>
      <c r="H100" s="19" t="str">
        <f t="array" ref="H100">IF(ISBLANK(Tareas!$B96),"-",SUM(
SUMIF(INDIRECT(Equipo!$C$4&amp;"!B10:B1000"),$B100,INDIRECT(Equipo!$C$4&amp;"!"&amp;ADDRESS(10,COLUMN(H$9)-1)&amp;":"&amp;ADDRESS(1000,COLUMN(H$9)-1))),
SUMIF(INDIRECT(Equipo!$D$4&amp;"!B10:B1000"),$B100,INDIRECT(Equipo!$D$4&amp;"!"&amp;ADDRESS(10,COLUMN(H$9)-1)&amp;":"&amp;ADDRESS(1000,COLUMN(H$9)-1))),
SUMIF(INDIRECT(Equipo!$E$4&amp;"!B10:B1000"),$B100,INDIRECT(Equipo!$E$4&amp;"!"&amp;ADDRESS(10,COLUMN(H$9)-1)&amp;":"&amp;ADDRESS(1000,COLUMN(H$9)-1))),
SUMIF(INDIRECT(Equipo!$F$4&amp;"!B10:B1000"),$B100,INDIRECT(Equipo!$F$4&amp;"!"&amp;ADDRESS(10,COLUMN(H$9)-1)&amp;":"&amp;ADDRESS(1000,COLUMN(H$9)-1))),
SUMIF(INDIRECT(Equipo!$G$4&amp;"!B10:B1000"),$B100,INDIRECT(Equipo!$G$4&amp;"!"&amp;ADDRESS(10,COLUMN(H$9)-1)&amp;":"&amp;ADDRESS(1000,COLUMN(H$9)-1)))))</f>
        <v>-</v>
      </c>
      <c r="I100" s="19" t="str">
        <f t="array" ref="I100">IF(ISBLANK(Tareas!$B96),"-",SUM(
SUMIF(INDIRECT(Equipo!$C$4&amp;"!B10:B1000"),$B100,INDIRECT(Equipo!$C$4&amp;"!"&amp;ADDRESS(10,COLUMN(I$9)-1)&amp;":"&amp;ADDRESS(1000,COLUMN(I$9)-1))),
SUMIF(INDIRECT(Equipo!$D$4&amp;"!B10:B1000"),$B100,INDIRECT(Equipo!$D$4&amp;"!"&amp;ADDRESS(10,COLUMN(I$9)-1)&amp;":"&amp;ADDRESS(1000,COLUMN(I$9)-1))),
SUMIF(INDIRECT(Equipo!$E$4&amp;"!B10:B1000"),$B100,INDIRECT(Equipo!$E$4&amp;"!"&amp;ADDRESS(10,COLUMN(I$9)-1)&amp;":"&amp;ADDRESS(1000,COLUMN(I$9)-1))),
SUMIF(INDIRECT(Equipo!$F$4&amp;"!B10:B1000"),$B100,INDIRECT(Equipo!$F$4&amp;"!"&amp;ADDRESS(10,COLUMN(I$9)-1)&amp;":"&amp;ADDRESS(1000,COLUMN(I$9)-1))),
SUMIF(INDIRECT(Equipo!$G$4&amp;"!B10:B1000"),$B100,INDIRECT(Equipo!$G$4&amp;"!"&amp;ADDRESS(10,COLUMN(I$9)-1)&amp;":"&amp;ADDRESS(1000,COLUMN(I$9)-1)))))</f>
        <v>-</v>
      </c>
      <c r="J100" s="19" t="str">
        <f t="array" ref="J100">IF(ISBLANK(Tareas!$B96),"-",SUM(
SUMIF(INDIRECT(Equipo!$C$4&amp;"!B10:B1000"),$B100,INDIRECT(Equipo!$C$4&amp;"!"&amp;ADDRESS(10,COLUMN(J$9)-1)&amp;":"&amp;ADDRESS(1000,COLUMN(J$9)-1))),
SUMIF(INDIRECT(Equipo!$D$4&amp;"!B10:B1000"),$B100,INDIRECT(Equipo!$D$4&amp;"!"&amp;ADDRESS(10,COLUMN(J$9)-1)&amp;":"&amp;ADDRESS(1000,COLUMN(J$9)-1))),
SUMIF(INDIRECT(Equipo!$E$4&amp;"!B10:B1000"),$B100,INDIRECT(Equipo!$E$4&amp;"!"&amp;ADDRESS(10,COLUMN(J$9)-1)&amp;":"&amp;ADDRESS(1000,COLUMN(J$9)-1))),
SUMIF(INDIRECT(Equipo!$F$4&amp;"!B10:B1000"),$B100,INDIRECT(Equipo!$F$4&amp;"!"&amp;ADDRESS(10,COLUMN(J$9)-1)&amp;":"&amp;ADDRESS(1000,COLUMN(J$9)-1))),
SUMIF(INDIRECT(Equipo!$G$4&amp;"!B10:B1000"),$B100,INDIRECT(Equipo!$G$4&amp;"!"&amp;ADDRESS(10,COLUMN(J$9)-1)&amp;":"&amp;ADDRESS(1000,COLUMN(J$9)-1)))))</f>
        <v>-</v>
      </c>
      <c r="K100" s="19" t="str">
        <f t="array" ref="K100">IF(ISBLANK(Tareas!$B96),"-",SUM(
SUMIF(INDIRECT(Equipo!$C$4&amp;"!B10:B1000"),$B100,INDIRECT(Equipo!$C$4&amp;"!"&amp;ADDRESS(10,COLUMN(K$9)-1)&amp;":"&amp;ADDRESS(1000,COLUMN(K$9)-1))),
SUMIF(INDIRECT(Equipo!$D$4&amp;"!B10:B1000"),$B100,INDIRECT(Equipo!$D$4&amp;"!"&amp;ADDRESS(10,COLUMN(K$9)-1)&amp;":"&amp;ADDRESS(1000,COLUMN(K$9)-1))),
SUMIF(INDIRECT(Equipo!$E$4&amp;"!B10:B1000"),$B100,INDIRECT(Equipo!$E$4&amp;"!"&amp;ADDRESS(10,COLUMN(K$9)-1)&amp;":"&amp;ADDRESS(1000,COLUMN(K$9)-1))),
SUMIF(INDIRECT(Equipo!$F$4&amp;"!B10:B1000"),$B100,INDIRECT(Equipo!$F$4&amp;"!"&amp;ADDRESS(10,COLUMN(K$9)-1)&amp;":"&amp;ADDRESS(1000,COLUMN(K$9)-1))),
SUMIF(INDIRECT(Equipo!$G$4&amp;"!B10:B1000"),$B100,INDIRECT(Equipo!$G$4&amp;"!"&amp;ADDRESS(10,COLUMN(K$9)-1)&amp;":"&amp;ADDRESS(1000,COLUMN(K$9)-1)))))</f>
        <v>-</v>
      </c>
    </row>
    <row r="101" ht="15.75" customHeight="1">
      <c r="B101" s="1" t="str">
        <f>IF(ISBLANK(Tareas!B97)," - ",Tareas!B97)</f>
        <v> - </v>
      </c>
      <c r="D101" s="19" t="str">
        <f t="array" ref="D101">IF(ISBLANK(Tareas!$B97),"-",SUM(
SUMIF(INDIRECT(Equipo!$C$4&amp;"!B10:B1000"),$B101,INDIRECT(Equipo!$C$4&amp;"!"&amp;ADDRESS(10,COLUMN(D$9)-1)&amp;":"&amp;ADDRESS(1000,COLUMN(D$9)-1))),
SUMIF(INDIRECT(Equipo!$D$4&amp;"!B10:B1000"),$B101,INDIRECT(Equipo!$D$4&amp;"!"&amp;ADDRESS(10,COLUMN(D$9)-1)&amp;":"&amp;ADDRESS(1000,COLUMN(D$9)-1))),
SUMIF(INDIRECT(Equipo!$E$4&amp;"!B10:B1000"),$B101,INDIRECT(Equipo!$E$4&amp;"!"&amp;ADDRESS(10,COLUMN(D$9)-1)&amp;":"&amp;ADDRESS(1000,COLUMN(D$9)-1))),
SUMIF(INDIRECT(Equipo!$F$4&amp;"!B10:B1000"),$B101,INDIRECT(Equipo!$F$4&amp;"!"&amp;ADDRESS(10,COLUMN(D$9)-1)&amp;":"&amp;ADDRESS(1000,COLUMN(D$9)-1))),
SUMIF(INDIRECT(Equipo!$G$4&amp;"!B10:B1000"),$B101,INDIRECT(Equipo!$G$4&amp;"!"&amp;ADDRESS(10,COLUMN(D$9)-1)&amp;":"&amp;ADDRESS(1000,COLUMN(D$9)-1)))))</f>
        <v>-</v>
      </c>
      <c r="E101" s="19" t="str">
        <f t="array" ref="E101">IF(ISBLANK(Tareas!$B97),"-",SUM(
SUMIF(INDIRECT(Equipo!$C$4&amp;"!B10:B1000"),$B101,INDIRECT(Equipo!$C$4&amp;"!"&amp;ADDRESS(10,COLUMN(E$9)-1)&amp;":"&amp;ADDRESS(1000,COLUMN(E$9)-1))),
SUMIF(INDIRECT(Equipo!$D$4&amp;"!B10:B1000"),$B101,INDIRECT(Equipo!$D$4&amp;"!"&amp;ADDRESS(10,COLUMN(E$9)-1)&amp;":"&amp;ADDRESS(1000,COLUMN(E$9)-1))),
SUMIF(INDIRECT(Equipo!$E$4&amp;"!B10:B1000"),$B101,INDIRECT(Equipo!$E$4&amp;"!"&amp;ADDRESS(10,COLUMN(E$9)-1)&amp;":"&amp;ADDRESS(1000,COLUMN(E$9)-1))),
SUMIF(INDIRECT(Equipo!$F$4&amp;"!B10:B1000"),$B101,INDIRECT(Equipo!$F$4&amp;"!"&amp;ADDRESS(10,COLUMN(E$9)-1)&amp;":"&amp;ADDRESS(1000,COLUMN(E$9)-1))),
SUMIF(INDIRECT(Equipo!$G$4&amp;"!B10:B1000"),$B101,INDIRECT(Equipo!$G$4&amp;"!"&amp;ADDRESS(10,COLUMN(E$9)-1)&amp;":"&amp;ADDRESS(1000,COLUMN(E$9)-1)))))</f>
        <v>-</v>
      </c>
      <c r="F101" s="19" t="str">
        <f t="array" ref="F101">IF(ISBLANK(Tareas!$B97),"-",SUM(
SUMIF(INDIRECT(Equipo!$C$4&amp;"!B10:B1000"),$B101,INDIRECT(Equipo!$C$4&amp;"!"&amp;ADDRESS(10,COLUMN(F$9)-1)&amp;":"&amp;ADDRESS(1000,COLUMN(F$9)-1))),
SUMIF(INDIRECT(Equipo!$D$4&amp;"!B10:B1000"),$B101,INDIRECT(Equipo!$D$4&amp;"!"&amp;ADDRESS(10,COLUMN(F$9)-1)&amp;":"&amp;ADDRESS(1000,COLUMN(F$9)-1))),
SUMIF(INDIRECT(Equipo!$E$4&amp;"!B10:B1000"),$B101,INDIRECT(Equipo!$E$4&amp;"!"&amp;ADDRESS(10,COLUMN(F$9)-1)&amp;":"&amp;ADDRESS(1000,COLUMN(F$9)-1))),
SUMIF(INDIRECT(Equipo!$F$4&amp;"!B10:B1000"),$B101,INDIRECT(Equipo!$F$4&amp;"!"&amp;ADDRESS(10,COLUMN(F$9)-1)&amp;":"&amp;ADDRESS(1000,COLUMN(F$9)-1))),
SUMIF(INDIRECT(Equipo!$G$4&amp;"!B10:B1000"),$B101,INDIRECT(Equipo!$G$4&amp;"!"&amp;ADDRESS(10,COLUMN(F$9)-1)&amp;":"&amp;ADDRESS(1000,COLUMN(F$9)-1)))))</f>
        <v>-</v>
      </c>
      <c r="G101" s="19" t="str">
        <f t="array" ref="G101">IF(ISBLANK(Tareas!$B97),"-",SUM(
SUMIF(INDIRECT(Equipo!$C$4&amp;"!B10:B1000"),$B101,INDIRECT(Equipo!$C$4&amp;"!"&amp;ADDRESS(10,COLUMN(G$9)-1)&amp;":"&amp;ADDRESS(1000,COLUMN(G$9)-1))),
SUMIF(INDIRECT(Equipo!$D$4&amp;"!B10:B1000"),$B101,INDIRECT(Equipo!$D$4&amp;"!"&amp;ADDRESS(10,COLUMN(G$9)-1)&amp;":"&amp;ADDRESS(1000,COLUMN(G$9)-1))),
SUMIF(INDIRECT(Equipo!$E$4&amp;"!B10:B1000"),$B101,INDIRECT(Equipo!$E$4&amp;"!"&amp;ADDRESS(10,COLUMN(G$9)-1)&amp;":"&amp;ADDRESS(1000,COLUMN(G$9)-1))),
SUMIF(INDIRECT(Equipo!$F$4&amp;"!B10:B1000"),$B101,INDIRECT(Equipo!$F$4&amp;"!"&amp;ADDRESS(10,COLUMN(G$9)-1)&amp;":"&amp;ADDRESS(1000,COLUMN(G$9)-1))),
SUMIF(INDIRECT(Equipo!$G$4&amp;"!B10:B1000"),$B101,INDIRECT(Equipo!$G$4&amp;"!"&amp;ADDRESS(10,COLUMN(G$9)-1)&amp;":"&amp;ADDRESS(1000,COLUMN(G$9)-1)))))</f>
        <v>-</v>
      </c>
      <c r="H101" s="19" t="str">
        <f t="array" ref="H101">IF(ISBLANK(Tareas!$B97),"-",SUM(
SUMIF(INDIRECT(Equipo!$C$4&amp;"!B10:B1000"),$B101,INDIRECT(Equipo!$C$4&amp;"!"&amp;ADDRESS(10,COLUMN(H$9)-1)&amp;":"&amp;ADDRESS(1000,COLUMN(H$9)-1))),
SUMIF(INDIRECT(Equipo!$D$4&amp;"!B10:B1000"),$B101,INDIRECT(Equipo!$D$4&amp;"!"&amp;ADDRESS(10,COLUMN(H$9)-1)&amp;":"&amp;ADDRESS(1000,COLUMN(H$9)-1))),
SUMIF(INDIRECT(Equipo!$E$4&amp;"!B10:B1000"),$B101,INDIRECT(Equipo!$E$4&amp;"!"&amp;ADDRESS(10,COLUMN(H$9)-1)&amp;":"&amp;ADDRESS(1000,COLUMN(H$9)-1))),
SUMIF(INDIRECT(Equipo!$F$4&amp;"!B10:B1000"),$B101,INDIRECT(Equipo!$F$4&amp;"!"&amp;ADDRESS(10,COLUMN(H$9)-1)&amp;":"&amp;ADDRESS(1000,COLUMN(H$9)-1))),
SUMIF(INDIRECT(Equipo!$G$4&amp;"!B10:B1000"),$B101,INDIRECT(Equipo!$G$4&amp;"!"&amp;ADDRESS(10,COLUMN(H$9)-1)&amp;":"&amp;ADDRESS(1000,COLUMN(H$9)-1)))))</f>
        <v>-</v>
      </c>
      <c r="I101" s="19" t="str">
        <f t="array" ref="I101">IF(ISBLANK(Tareas!$B97),"-",SUM(
SUMIF(INDIRECT(Equipo!$C$4&amp;"!B10:B1000"),$B101,INDIRECT(Equipo!$C$4&amp;"!"&amp;ADDRESS(10,COLUMN(I$9)-1)&amp;":"&amp;ADDRESS(1000,COLUMN(I$9)-1))),
SUMIF(INDIRECT(Equipo!$D$4&amp;"!B10:B1000"),$B101,INDIRECT(Equipo!$D$4&amp;"!"&amp;ADDRESS(10,COLUMN(I$9)-1)&amp;":"&amp;ADDRESS(1000,COLUMN(I$9)-1))),
SUMIF(INDIRECT(Equipo!$E$4&amp;"!B10:B1000"),$B101,INDIRECT(Equipo!$E$4&amp;"!"&amp;ADDRESS(10,COLUMN(I$9)-1)&amp;":"&amp;ADDRESS(1000,COLUMN(I$9)-1))),
SUMIF(INDIRECT(Equipo!$F$4&amp;"!B10:B1000"),$B101,INDIRECT(Equipo!$F$4&amp;"!"&amp;ADDRESS(10,COLUMN(I$9)-1)&amp;":"&amp;ADDRESS(1000,COLUMN(I$9)-1))),
SUMIF(INDIRECT(Equipo!$G$4&amp;"!B10:B1000"),$B101,INDIRECT(Equipo!$G$4&amp;"!"&amp;ADDRESS(10,COLUMN(I$9)-1)&amp;":"&amp;ADDRESS(1000,COLUMN(I$9)-1)))))</f>
        <v>-</v>
      </c>
      <c r="J101" s="19" t="str">
        <f t="array" ref="J101">IF(ISBLANK(Tareas!$B97),"-",SUM(
SUMIF(INDIRECT(Equipo!$C$4&amp;"!B10:B1000"),$B101,INDIRECT(Equipo!$C$4&amp;"!"&amp;ADDRESS(10,COLUMN(J$9)-1)&amp;":"&amp;ADDRESS(1000,COLUMN(J$9)-1))),
SUMIF(INDIRECT(Equipo!$D$4&amp;"!B10:B1000"),$B101,INDIRECT(Equipo!$D$4&amp;"!"&amp;ADDRESS(10,COLUMN(J$9)-1)&amp;":"&amp;ADDRESS(1000,COLUMN(J$9)-1))),
SUMIF(INDIRECT(Equipo!$E$4&amp;"!B10:B1000"),$B101,INDIRECT(Equipo!$E$4&amp;"!"&amp;ADDRESS(10,COLUMN(J$9)-1)&amp;":"&amp;ADDRESS(1000,COLUMN(J$9)-1))),
SUMIF(INDIRECT(Equipo!$F$4&amp;"!B10:B1000"),$B101,INDIRECT(Equipo!$F$4&amp;"!"&amp;ADDRESS(10,COLUMN(J$9)-1)&amp;":"&amp;ADDRESS(1000,COLUMN(J$9)-1))),
SUMIF(INDIRECT(Equipo!$G$4&amp;"!B10:B1000"),$B101,INDIRECT(Equipo!$G$4&amp;"!"&amp;ADDRESS(10,COLUMN(J$9)-1)&amp;":"&amp;ADDRESS(1000,COLUMN(J$9)-1)))))</f>
        <v>-</v>
      </c>
      <c r="K101" s="19" t="str">
        <f t="array" ref="K101">IF(ISBLANK(Tareas!$B97),"-",SUM(
SUMIF(INDIRECT(Equipo!$C$4&amp;"!B10:B1000"),$B101,INDIRECT(Equipo!$C$4&amp;"!"&amp;ADDRESS(10,COLUMN(K$9)-1)&amp;":"&amp;ADDRESS(1000,COLUMN(K$9)-1))),
SUMIF(INDIRECT(Equipo!$D$4&amp;"!B10:B1000"),$B101,INDIRECT(Equipo!$D$4&amp;"!"&amp;ADDRESS(10,COLUMN(K$9)-1)&amp;":"&amp;ADDRESS(1000,COLUMN(K$9)-1))),
SUMIF(INDIRECT(Equipo!$E$4&amp;"!B10:B1000"),$B101,INDIRECT(Equipo!$E$4&amp;"!"&amp;ADDRESS(10,COLUMN(K$9)-1)&amp;":"&amp;ADDRESS(1000,COLUMN(K$9)-1))),
SUMIF(INDIRECT(Equipo!$F$4&amp;"!B10:B1000"),$B101,INDIRECT(Equipo!$F$4&amp;"!"&amp;ADDRESS(10,COLUMN(K$9)-1)&amp;":"&amp;ADDRESS(1000,COLUMN(K$9)-1))),
SUMIF(INDIRECT(Equipo!$G$4&amp;"!B10:B1000"),$B101,INDIRECT(Equipo!$G$4&amp;"!"&amp;ADDRESS(10,COLUMN(K$9)-1)&amp;":"&amp;ADDRESS(1000,COLUMN(K$9)-1)))))</f>
        <v>-</v>
      </c>
    </row>
    <row r="102" ht="15.75" customHeight="1">
      <c r="B102" s="1" t="str">
        <f>IF(ISBLANK(Tareas!B98)," - ",Tareas!B98)</f>
        <v> - </v>
      </c>
      <c r="D102" s="19" t="str">
        <f t="array" ref="D102">IF(ISBLANK(Tareas!$B98),"-",SUM(
SUMIF(INDIRECT(Equipo!$C$4&amp;"!B10:B1000"),$B102,INDIRECT(Equipo!$C$4&amp;"!"&amp;ADDRESS(10,COLUMN(D$9)-1)&amp;":"&amp;ADDRESS(1000,COLUMN(D$9)-1))),
SUMIF(INDIRECT(Equipo!$D$4&amp;"!B10:B1000"),$B102,INDIRECT(Equipo!$D$4&amp;"!"&amp;ADDRESS(10,COLUMN(D$9)-1)&amp;":"&amp;ADDRESS(1000,COLUMN(D$9)-1))),
SUMIF(INDIRECT(Equipo!$E$4&amp;"!B10:B1000"),$B102,INDIRECT(Equipo!$E$4&amp;"!"&amp;ADDRESS(10,COLUMN(D$9)-1)&amp;":"&amp;ADDRESS(1000,COLUMN(D$9)-1))),
SUMIF(INDIRECT(Equipo!$F$4&amp;"!B10:B1000"),$B102,INDIRECT(Equipo!$F$4&amp;"!"&amp;ADDRESS(10,COLUMN(D$9)-1)&amp;":"&amp;ADDRESS(1000,COLUMN(D$9)-1))),
SUMIF(INDIRECT(Equipo!$G$4&amp;"!B10:B1000"),$B102,INDIRECT(Equipo!$G$4&amp;"!"&amp;ADDRESS(10,COLUMN(D$9)-1)&amp;":"&amp;ADDRESS(1000,COLUMN(D$9)-1)))))</f>
        <v>-</v>
      </c>
      <c r="E102" s="19" t="str">
        <f t="array" ref="E102">IF(ISBLANK(Tareas!$B98),"-",SUM(
SUMIF(INDIRECT(Equipo!$C$4&amp;"!B10:B1000"),$B102,INDIRECT(Equipo!$C$4&amp;"!"&amp;ADDRESS(10,COLUMN(E$9)-1)&amp;":"&amp;ADDRESS(1000,COLUMN(E$9)-1))),
SUMIF(INDIRECT(Equipo!$D$4&amp;"!B10:B1000"),$B102,INDIRECT(Equipo!$D$4&amp;"!"&amp;ADDRESS(10,COLUMN(E$9)-1)&amp;":"&amp;ADDRESS(1000,COLUMN(E$9)-1))),
SUMIF(INDIRECT(Equipo!$E$4&amp;"!B10:B1000"),$B102,INDIRECT(Equipo!$E$4&amp;"!"&amp;ADDRESS(10,COLUMN(E$9)-1)&amp;":"&amp;ADDRESS(1000,COLUMN(E$9)-1))),
SUMIF(INDIRECT(Equipo!$F$4&amp;"!B10:B1000"),$B102,INDIRECT(Equipo!$F$4&amp;"!"&amp;ADDRESS(10,COLUMN(E$9)-1)&amp;":"&amp;ADDRESS(1000,COLUMN(E$9)-1))),
SUMIF(INDIRECT(Equipo!$G$4&amp;"!B10:B1000"),$B102,INDIRECT(Equipo!$G$4&amp;"!"&amp;ADDRESS(10,COLUMN(E$9)-1)&amp;":"&amp;ADDRESS(1000,COLUMN(E$9)-1)))))</f>
        <v>-</v>
      </c>
      <c r="F102" s="19" t="str">
        <f t="array" ref="F102">IF(ISBLANK(Tareas!$B98),"-",SUM(
SUMIF(INDIRECT(Equipo!$C$4&amp;"!B10:B1000"),$B102,INDIRECT(Equipo!$C$4&amp;"!"&amp;ADDRESS(10,COLUMN(F$9)-1)&amp;":"&amp;ADDRESS(1000,COLUMN(F$9)-1))),
SUMIF(INDIRECT(Equipo!$D$4&amp;"!B10:B1000"),$B102,INDIRECT(Equipo!$D$4&amp;"!"&amp;ADDRESS(10,COLUMN(F$9)-1)&amp;":"&amp;ADDRESS(1000,COLUMN(F$9)-1))),
SUMIF(INDIRECT(Equipo!$E$4&amp;"!B10:B1000"),$B102,INDIRECT(Equipo!$E$4&amp;"!"&amp;ADDRESS(10,COLUMN(F$9)-1)&amp;":"&amp;ADDRESS(1000,COLUMN(F$9)-1))),
SUMIF(INDIRECT(Equipo!$F$4&amp;"!B10:B1000"),$B102,INDIRECT(Equipo!$F$4&amp;"!"&amp;ADDRESS(10,COLUMN(F$9)-1)&amp;":"&amp;ADDRESS(1000,COLUMN(F$9)-1))),
SUMIF(INDIRECT(Equipo!$G$4&amp;"!B10:B1000"),$B102,INDIRECT(Equipo!$G$4&amp;"!"&amp;ADDRESS(10,COLUMN(F$9)-1)&amp;":"&amp;ADDRESS(1000,COLUMN(F$9)-1)))))</f>
        <v>-</v>
      </c>
      <c r="G102" s="19" t="str">
        <f t="array" ref="G102">IF(ISBLANK(Tareas!$B98),"-",SUM(
SUMIF(INDIRECT(Equipo!$C$4&amp;"!B10:B1000"),$B102,INDIRECT(Equipo!$C$4&amp;"!"&amp;ADDRESS(10,COLUMN(G$9)-1)&amp;":"&amp;ADDRESS(1000,COLUMN(G$9)-1))),
SUMIF(INDIRECT(Equipo!$D$4&amp;"!B10:B1000"),$B102,INDIRECT(Equipo!$D$4&amp;"!"&amp;ADDRESS(10,COLUMN(G$9)-1)&amp;":"&amp;ADDRESS(1000,COLUMN(G$9)-1))),
SUMIF(INDIRECT(Equipo!$E$4&amp;"!B10:B1000"),$B102,INDIRECT(Equipo!$E$4&amp;"!"&amp;ADDRESS(10,COLUMN(G$9)-1)&amp;":"&amp;ADDRESS(1000,COLUMN(G$9)-1))),
SUMIF(INDIRECT(Equipo!$F$4&amp;"!B10:B1000"),$B102,INDIRECT(Equipo!$F$4&amp;"!"&amp;ADDRESS(10,COLUMN(G$9)-1)&amp;":"&amp;ADDRESS(1000,COLUMN(G$9)-1))),
SUMIF(INDIRECT(Equipo!$G$4&amp;"!B10:B1000"),$B102,INDIRECT(Equipo!$G$4&amp;"!"&amp;ADDRESS(10,COLUMN(G$9)-1)&amp;":"&amp;ADDRESS(1000,COLUMN(G$9)-1)))))</f>
        <v>-</v>
      </c>
      <c r="H102" s="19" t="str">
        <f t="array" ref="H102">IF(ISBLANK(Tareas!$B98),"-",SUM(
SUMIF(INDIRECT(Equipo!$C$4&amp;"!B10:B1000"),$B102,INDIRECT(Equipo!$C$4&amp;"!"&amp;ADDRESS(10,COLUMN(H$9)-1)&amp;":"&amp;ADDRESS(1000,COLUMN(H$9)-1))),
SUMIF(INDIRECT(Equipo!$D$4&amp;"!B10:B1000"),$B102,INDIRECT(Equipo!$D$4&amp;"!"&amp;ADDRESS(10,COLUMN(H$9)-1)&amp;":"&amp;ADDRESS(1000,COLUMN(H$9)-1))),
SUMIF(INDIRECT(Equipo!$E$4&amp;"!B10:B1000"),$B102,INDIRECT(Equipo!$E$4&amp;"!"&amp;ADDRESS(10,COLUMN(H$9)-1)&amp;":"&amp;ADDRESS(1000,COLUMN(H$9)-1))),
SUMIF(INDIRECT(Equipo!$F$4&amp;"!B10:B1000"),$B102,INDIRECT(Equipo!$F$4&amp;"!"&amp;ADDRESS(10,COLUMN(H$9)-1)&amp;":"&amp;ADDRESS(1000,COLUMN(H$9)-1))),
SUMIF(INDIRECT(Equipo!$G$4&amp;"!B10:B1000"),$B102,INDIRECT(Equipo!$G$4&amp;"!"&amp;ADDRESS(10,COLUMN(H$9)-1)&amp;":"&amp;ADDRESS(1000,COLUMN(H$9)-1)))))</f>
        <v>-</v>
      </c>
      <c r="I102" s="19" t="str">
        <f t="array" ref="I102">IF(ISBLANK(Tareas!$B98),"-",SUM(
SUMIF(INDIRECT(Equipo!$C$4&amp;"!B10:B1000"),$B102,INDIRECT(Equipo!$C$4&amp;"!"&amp;ADDRESS(10,COLUMN(I$9)-1)&amp;":"&amp;ADDRESS(1000,COLUMN(I$9)-1))),
SUMIF(INDIRECT(Equipo!$D$4&amp;"!B10:B1000"),$B102,INDIRECT(Equipo!$D$4&amp;"!"&amp;ADDRESS(10,COLUMN(I$9)-1)&amp;":"&amp;ADDRESS(1000,COLUMN(I$9)-1))),
SUMIF(INDIRECT(Equipo!$E$4&amp;"!B10:B1000"),$B102,INDIRECT(Equipo!$E$4&amp;"!"&amp;ADDRESS(10,COLUMN(I$9)-1)&amp;":"&amp;ADDRESS(1000,COLUMN(I$9)-1))),
SUMIF(INDIRECT(Equipo!$F$4&amp;"!B10:B1000"),$B102,INDIRECT(Equipo!$F$4&amp;"!"&amp;ADDRESS(10,COLUMN(I$9)-1)&amp;":"&amp;ADDRESS(1000,COLUMN(I$9)-1))),
SUMIF(INDIRECT(Equipo!$G$4&amp;"!B10:B1000"),$B102,INDIRECT(Equipo!$G$4&amp;"!"&amp;ADDRESS(10,COLUMN(I$9)-1)&amp;":"&amp;ADDRESS(1000,COLUMN(I$9)-1)))))</f>
        <v>-</v>
      </c>
      <c r="J102" s="19" t="str">
        <f t="array" ref="J102">IF(ISBLANK(Tareas!$B98),"-",SUM(
SUMIF(INDIRECT(Equipo!$C$4&amp;"!B10:B1000"),$B102,INDIRECT(Equipo!$C$4&amp;"!"&amp;ADDRESS(10,COLUMN(J$9)-1)&amp;":"&amp;ADDRESS(1000,COLUMN(J$9)-1))),
SUMIF(INDIRECT(Equipo!$D$4&amp;"!B10:B1000"),$B102,INDIRECT(Equipo!$D$4&amp;"!"&amp;ADDRESS(10,COLUMN(J$9)-1)&amp;":"&amp;ADDRESS(1000,COLUMN(J$9)-1))),
SUMIF(INDIRECT(Equipo!$E$4&amp;"!B10:B1000"),$B102,INDIRECT(Equipo!$E$4&amp;"!"&amp;ADDRESS(10,COLUMN(J$9)-1)&amp;":"&amp;ADDRESS(1000,COLUMN(J$9)-1))),
SUMIF(INDIRECT(Equipo!$F$4&amp;"!B10:B1000"),$B102,INDIRECT(Equipo!$F$4&amp;"!"&amp;ADDRESS(10,COLUMN(J$9)-1)&amp;":"&amp;ADDRESS(1000,COLUMN(J$9)-1))),
SUMIF(INDIRECT(Equipo!$G$4&amp;"!B10:B1000"),$B102,INDIRECT(Equipo!$G$4&amp;"!"&amp;ADDRESS(10,COLUMN(J$9)-1)&amp;":"&amp;ADDRESS(1000,COLUMN(J$9)-1)))))</f>
        <v>-</v>
      </c>
      <c r="K102" s="19" t="str">
        <f t="array" ref="K102">IF(ISBLANK(Tareas!$B98),"-",SUM(
SUMIF(INDIRECT(Equipo!$C$4&amp;"!B10:B1000"),$B102,INDIRECT(Equipo!$C$4&amp;"!"&amp;ADDRESS(10,COLUMN(K$9)-1)&amp;":"&amp;ADDRESS(1000,COLUMN(K$9)-1))),
SUMIF(INDIRECT(Equipo!$D$4&amp;"!B10:B1000"),$B102,INDIRECT(Equipo!$D$4&amp;"!"&amp;ADDRESS(10,COLUMN(K$9)-1)&amp;":"&amp;ADDRESS(1000,COLUMN(K$9)-1))),
SUMIF(INDIRECT(Equipo!$E$4&amp;"!B10:B1000"),$B102,INDIRECT(Equipo!$E$4&amp;"!"&amp;ADDRESS(10,COLUMN(K$9)-1)&amp;":"&amp;ADDRESS(1000,COLUMN(K$9)-1))),
SUMIF(INDIRECT(Equipo!$F$4&amp;"!B10:B1000"),$B102,INDIRECT(Equipo!$F$4&amp;"!"&amp;ADDRESS(10,COLUMN(K$9)-1)&amp;":"&amp;ADDRESS(1000,COLUMN(K$9)-1))),
SUMIF(INDIRECT(Equipo!$G$4&amp;"!B10:B1000"),$B102,INDIRECT(Equipo!$G$4&amp;"!"&amp;ADDRESS(10,COLUMN(K$9)-1)&amp;":"&amp;ADDRESS(1000,COLUMN(K$9)-1)))))</f>
        <v>-</v>
      </c>
    </row>
    <row r="103" ht="15.75" customHeight="1">
      <c r="B103" s="1" t="str">
        <f>IF(ISBLANK(Tareas!B99)," - ",Tareas!B99)</f>
        <v> - </v>
      </c>
      <c r="D103" s="19" t="str">
        <f t="array" ref="D103">IF(ISBLANK(Tareas!$B99),"-",SUM(
SUMIF(INDIRECT(Equipo!$C$4&amp;"!B10:B1000"),$B103,INDIRECT(Equipo!$C$4&amp;"!"&amp;ADDRESS(10,COLUMN(D$9)-1)&amp;":"&amp;ADDRESS(1000,COLUMN(D$9)-1))),
SUMIF(INDIRECT(Equipo!$D$4&amp;"!B10:B1000"),$B103,INDIRECT(Equipo!$D$4&amp;"!"&amp;ADDRESS(10,COLUMN(D$9)-1)&amp;":"&amp;ADDRESS(1000,COLUMN(D$9)-1))),
SUMIF(INDIRECT(Equipo!$E$4&amp;"!B10:B1000"),$B103,INDIRECT(Equipo!$E$4&amp;"!"&amp;ADDRESS(10,COLUMN(D$9)-1)&amp;":"&amp;ADDRESS(1000,COLUMN(D$9)-1))),
SUMIF(INDIRECT(Equipo!$F$4&amp;"!B10:B1000"),$B103,INDIRECT(Equipo!$F$4&amp;"!"&amp;ADDRESS(10,COLUMN(D$9)-1)&amp;":"&amp;ADDRESS(1000,COLUMN(D$9)-1))),
SUMIF(INDIRECT(Equipo!$G$4&amp;"!B10:B1000"),$B103,INDIRECT(Equipo!$G$4&amp;"!"&amp;ADDRESS(10,COLUMN(D$9)-1)&amp;":"&amp;ADDRESS(1000,COLUMN(D$9)-1)))))</f>
        <v>-</v>
      </c>
      <c r="E103" s="19" t="str">
        <f t="array" ref="E103">IF(ISBLANK(Tareas!$B99),"-",SUM(
SUMIF(INDIRECT(Equipo!$C$4&amp;"!B10:B1000"),$B103,INDIRECT(Equipo!$C$4&amp;"!"&amp;ADDRESS(10,COLUMN(E$9)-1)&amp;":"&amp;ADDRESS(1000,COLUMN(E$9)-1))),
SUMIF(INDIRECT(Equipo!$D$4&amp;"!B10:B1000"),$B103,INDIRECT(Equipo!$D$4&amp;"!"&amp;ADDRESS(10,COLUMN(E$9)-1)&amp;":"&amp;ADDRESS(1000,COLUMN(E$9)-1))),
SUMIF(INDIRECT(Equipo!$E$4&amp;"!B10:B1000"),$B103,INDIRECT(Equipo!$E$4&amp;"!"&amp;ADDRESS(10,COLUMN(E$9)-1)&amp;":"&amp;ADDRESS(1000,COLUMN(E$9)-1))),
SUMIF(INDIRECT(Equipo!$F$4&amp;"!B10:B1000"),$B103,INDIRECT(Equipo!$F$4&amp;"!"&amp;ADDRESS(10,COLUMN(E$9)-1)&amp;":"&amp;ADDRESS(1000,COLUMN(E$9)-1))),
SUMIF(INDIRECT(Equipo!$G$4&amp;"!B10:B1000"),$B103,INDIRECT(Equipo!$G$4&amp;"!"&amp;ADDRESS(10,COLUMN(E$9)-1)&amp;":"&amp;ADDRESS(1000,COLUMN(E$9)-1)))))</f>
        <v>-</v>
      </c>
      <c r="F103" s="19" t="str">
        <f t="array" ref="F103">IF(ISBLANK(Tareas!$B99),"-",SUM(
SUMIF(INDIRECT(Equipo!$C$4&amp;"!B10:B1000"),$B103,INDIRECT(Equipo!$C$4&amp;"!"&amp;ADDRESS(10,COLUMN(F$9)-1)&amp;":"&amp;ADDRESS(1000,COLUMN(F$9)-1))),
SUMIF(INDIRECT(Equipo!$D$4&amp;"!B10:B1000"),$B103,INDIRECT(Equipo!$D$4&amp;"!"&amp;ADDRESS(10,COLUMN(F$9)-1)&amp;":"&amp;ADDRESS(1000,COLUMN(F$9)-1))),
SUMIF(INDIRECT(Equipo!$E$4&amp;"!B10:B1000"),$B103,INDIRECT(Equipo!$E$4&amp;"!"&amp;ADDRESS(10,COLUMN(F$9)-1)&amp;":"&amp;ADDRESS(1000,COLUMN(F$9)-1))),
SUMIF(INDIRECT(Equipo!$F$4&amp;"!B10:B1000"),$B103,INDIRECT(Equipo!$F$4&amp;"!"&amp;ADDRESS(10,COLUMN(F$9)-1)&amp;":"&amp;ADDRESS(1000,COLUMN(F$9)-1))),
SUMIF(INDIRECT(Equipo!$G$4&amp;"!B10:B1000"),$B103,INDIRECT(Equipo!$G$4&amp;"!"&amp;ADDRESS(10,COLUMN(F$9)-1)&amp;":"&amp;ADDRESS(1000,COLUMN(F$9)-1)))))</f>
        <v>-</v>
      </c>
      <c r="G103" s="19" t="str">
        <f t="array" ref="G103">IF(ISBLANK(Tareas!$B99),"-",SUM(
SUMIF(INDIRECT(Equipo!$C$4&amp;"!B10:B1000"),$B103,INDIRECT(Equipo!$C$4&amp;"!"&amp;ADDRESS(10,COLUMN(G$9)-1)&amp;":"&amp;ADDRESS(1000,COLUMN(G$9)-1))),
SUMIF(INDIRECT(Equipo!$D$4&amp;"!B10:B1000"),$B103,INDIRECT(Equipo!$D$4&amp;"!"&amp;ADDRESS(10,COLUMN(G$9)-1)&amp;":"&amp;ADDRESS(1000,COLUMN(G$9)-1))),
SUMIF(INDIRECT(Equipo!$E$4&amp;"!B10:B1000"),$B103,INDIRECT(Equipo!$E$4&amp;"!"&amp;ADDRESS(10,COLUMN(G$9)-1)&amp;":"&amp;ADDRESS(1000,COLUMN(G$9)-1))),
SUMIF(INDIRECT(Equipo!$F$4&amp;"!B10:B1000"),$B103,INDIRECT(Equipo!$F$4&amp;"!"&amp;ADDRESS(10,COLUMN(G$9)-1)&amp;":"&amp;ADDRESS(1000,COLUMN(G$9)-1))),
SUMIF(INDIRECT(Equipo!$G$4&amp;"!B10:B1000"),$B103,INDIRECT(Equipo!$G$4&amp;"!"&amp;ADDRESS(10,COLUMN(G$9)-1)&amp;":"&amp;ADDRESS(1000,COLUMN(G$9)-1)))))</f>
        <v>-</v>
      </c>
      <c r="H103" s="19" t="str">
        <f t="array" ref="H103">IF(ISBLANK(Tareas!$B99),"-",SUM(
SUMIF(INDIRECT(Equipo!$C$4&amp;"!B10:B1000"),$B103,INDIRECT(Equipo!$C$4&amp;"!"&amp;ADDRESS(10,COLUMN(H$9)-1)&amp;":"&amp;ADDRESS(1000,COLUMN(H$9)-1))),
SUMIF(INDIRECT(Equipo!$D$4&amp;"!B10:B1000"),$B103,INDIRECT(Equipo!$D$4&amp;"!"&amp;ADDRESS(10,COLUMN(H$9)-1)&amp;":"&amp;ADDRESS(1000,COLUMN(H$9)-1))),
SUMIF(INDIRECT(Equipo!$E$4&amp;"!B10:B1000"),$B103,INDIRECT(Equipo!$E$4&amp;"!"&amp;ADDRESS(10,COLUMN(H$9)-1)&amp;":"&amp;ADDRESS(1000,COLUMN(H$9)-1))),
SUMIF(INDIRECT(Equipo!$F$4&amp;"!B10:B1000"),$B103,INDIRECT(Equipo!$F$4&amp;"!"&amp;ADDRESS(10,COLUMN(H$9)-1)&amp;":"&amp;ADDRESS(1000,COLUMN(H$9)-1))),
SUMIF(INDIRECT(Equipo!$G$4&amp;"!B10:B1000"),$B103,INDIRECT(Equipo!$G$4&amp;"!"&amp;ADDRESS(10,COLUMN(H$9)-1)&amp;":"&amp;ADDRESS(1000,COLUMN(H$9)-1)))))</f>
        <v>-</v>
      </c>
      <c r="I103" s="19" t="str">
        <f t="array" ref="I103">IF(ISBLANK(Tareas!$B99),"-",SUM(
SUMIF(INDIRECT(Equipo!$C$4&amp;"!B10:B1000"),$B103,INDIRECT(Equipo!$C$4&amp;"!"&amp;ADDRESS(10,COLUMN(I$9)-1)&amp;":"&amp;ADDRESS(1000,COLUMN(I$9)-1))),
SUMIF(INDIRECT(Equipo!$D$4&amp;"!B10:B1000"),$B103,INDIRECT(Equipo!$D$4&amp;"!"&amp;ADDRESS(10,COLUMN(I$9)-1)&amp;":"&amp;ADDRESS(1000,COLUMN(I$9)-1))),
SUMIF(INDIRECT(Equipo!$E$4&amp;"!B10:B1000"),$B103,INDIRECT(Equipo!$E$4&amp;"!"&amp;ADDRESS(10,COLUMN(I$9)-1)&amp;":"&amp;ADDRESS(1000,COLUMN(I$9)-1))),
SUMIF(INDIRECT(Equipo!$F$4&amp;"!B10:B1000"),$B103,INDIRECT(Equipo!$F$4&amp;"!"&amp;ADDRESS(10,COLUMN(I$9)-1)&amp;":"&amp;ADDRESS(1000,COLUMN(I$9)-1))),
SUMIF(INDIRECT(Equipo!$G$4&amp;"!B10:B1000"),$B103,INDIRECT(Equipo!$G$4&amp;"!"&amp;ADDRESS(10,COLUMN(I$9)-1)&amp;":"&amp;ADDRESS(1000,COLUMN(I$9)-1)))))</f>
        <v>-</v>
      </c>
      <c r="J103" s="19" t="str">
        <f t="array" ref="J103">IF(ISBLANK(Tareas!$B99),"-",SUM(
SUMIF(INDIRECT(Equipo!$C$4&amp;"!B10:B1000"),$B103,INDIRECT(Equipo!$C$4&amp;"!"&amp;ADDRESS(10,COLUMN(J$9)-1)&amp;":"&amp;ADDRESS(1000,COLUMN(J$9)-1))),
SUMIF(INDIRECT(Equipo!$D$4&amp;"!B10:B1000"),$B103,INDIRECT(Equipo!$D$4&amp;"!"&amp;ADDRESS(10,COLUMN(J$9)-1)&amp;":"&amp;ADDRESS(1000,COLUMN(J$9)-1))),
SUMIF(INDIRECT(Equipo!$E$4&amp;"!B10:B1000"),$B103,INDIRECT(Equipo!$E$4&amp;"!"&amp;ADDRESS(10,COLUMN(J$9)-1)&amp;":"&amp;ADDRESS(1000,COLUMN(J$9)-1))),
SUMIF(INDIRECT(Equipo!$F$4&amp;"!B10:B1000"),$B103,INDIRECT(Equipo!$F$4&amp;"!"&amp;ADDRESS(10,COLUMN(J$9)-1)&amp;":"&amp;ADDRESS(1000,COLUMN(J$9)-1))),
SUMIF(INDIRECT(Equipo!$G$4&amp;"!B10:B1000"),$B103,INDIRECT(Equipo!$G$4&amp;"!"&amp;ADDRESS(10,COLUMN(J$9)-1)&amp;":"&amp;ADDRESS(1000,COLUMN(J$9)-1)))))</f>
        <v>-</v>
      </c>
      <c r="K103" s="19" t="str">
        <f t="array" ref="K103">IF(ISBLANK(Tareas!$B99),"-",SUM(
SUMIF(INDIRECT(Equipo!$C$4&amp;"!B10:B1000"),$B103,INDIRECT(Equipo!$C$4&amp;"!"&amp;ADDRESS(10,COLUMN(K$9)-1)&amp;":"&amp;ADDRESS(1000,COLUMN(K$9)-1))),
SUMIF(INDIRECT(Equipo!$D$4&amp;"!B10:B1000"),$B103,INDIRECT(Equipo!$D$4&amp;"!"&amp;ADDRESS(10,COLUMN(K$9)-1)&amp;":"&amp;ADDRESS(1000,COLUMN(K$9)-1))),
SUMIF(INDIRECT(Equipo!$E$4&amp;"!B10:B1000"),$B103,INDIRECT(Equipo!$E$4&amp;"!"&amp;ADDRESS(10,COLUMN(K$9)-1)&amp;":"&amp;ADDRESS(1000,COLUMN(K$9)-1))),
SUMIF(INDIRECT(Equipo!$F$4&amp;"!B10:B1000"),$B103,INDIRECT(Equipo!$F$4&amp;"!"&amp;ADDRESS(10,COLUMN(K$9)-1)&amp;":"&amp;ADDRESS(1000,COLUMN(K$9)-1))),
SUMIF(INDIRECT(Equipo!$G$4&amp;"!B10:B1000"),$B103,INDIRECT(Equipo!$G$4&amp;"!"&amp;ADDRESS(10,COLUMN(K$9)-1)&amp;":"&amp;ADDRESS(1000,COLUMN(K$9)-1)))))</f>
        <v>-</v>
      </c>
    </row>
    <row r="104" ht="15.75" customHeight="1">
      <c r="B104" s="1" t="str">
        <f>IF(ISBLANK(Tareas!B100)," - ",Tareas!B100)</f>
        <v> - </v>
      </c>
      <c r="D104" s="19" t="str">
        <f t="array" ref="D104">IF(ISBLANK(Tareas!$B100),"-",SUM(
SUMIF(INDIRECT(Equipo!$C$4&amp;"!B10:B1000"),$B104,INDIRECT(Equipo!$C$4&amp;"!"&amp;ADDRESS(10,COLUMN(D$9)-1)&amp;":"&amp;ADDRESS(1000,COLUMN(D$9)-1))),
SUMIF(INDIRECT(Equipo!$D$4&amp;"!B10:B1000"),$B104,INDIRECT(Equipo!$D$4&amp;"!"&amp;ADDRESS(10,COLUMN(D$9)-1)&amp;":"&amp;ADDRESS(1000,COLUMN(D$9)-1))),
SUMIF(INDIRECT(Equipo!$E$4&amp;"!B10:B1000"),$B104,INDIRECT(Equipo!$E$4&amp;"!"&amp;ADDRESS(10,COLUMN(D$9)-1)&amp;":"&amp;ADDRESS(1000,COLUMN(D$9)-1))),
SUMIF(INDIRECT(Equipo!$F$4&amp;"!B10:B1000"),$B104,INDIRECT(Equipo!$F$4&amp;"!"&amp;ADDRESS(10,COLUMN(D$9)-1)&amp;":"&amp;ADDRESS(1000,COLUMN(D$9)-1))),
SUMIF(INDIRECT(Equipo!$G$4&amp;"!B10:B1000"),$B104,INDIRECT(Equipo!$G$4&amp;"!"&amp;ADDRESS(10,COLUMN(D$9)-1)&amp;":"&amp;ADDRESS(1000,COLUMN(D$9)-1)))))</f>
        <v>-</v>
      </c>
      <c r="E104" s="19" t="str">
        <f t="array" ref="E104">IF(ISBLANK(Tareas!$B100),"-",SUM(
SUMIF(INDIRECT(Equipo!$C$4&amp;"!B10:B1000"),$B104,INDIRECT(Equipo!$C$4&amp;"!"&amp;ADDRESS(10,COLUMN(E$9)-1)&amp;":"&amp;ADDRESS(1000,COLUMN(E$9)-1))),
SUMIF(INDIRECT(Equipo!$D$4&amp;"!B10:B1000"),$B104,INDIRECT(Equipo!$D$4&amp;"!"&amp;ADDRESS(10,COLUMN(E$9)-1)&amp;":"&amp;ADDRESS(1000,COLUMN(E$9)-1))),
SUMIF(INDIRECT(Equipo!$E$4&amp;"!B10:B1000"),$B104,INDIRECT(Equipo!$E$4&amp;"!"&amp;ADDRESS(10,COLUMN(E$9)-1)&amp;":"&amp;ADDRESS(1000,COLUMN(E$9)-1))),
SUMIF(INDIRECT(Equipo!$F$4&amp;"!B10:B1000"),$B104,INDIRECT(Equipo!$F$4&amp;"!"&amp;ADDRESS(10,COLUMN(E$9)-1)&amp;":"&amp;ADDRESS(1000,COLUMN(E$9)-1))),
SUMIF(INDIRECT(Equipo!$G$4&amp;"!B10:B1000"),$B104,INDIRECT(Equipo!$G$4&amp;"!"&amp;ADDRESS(10,COLUMN(E$9)-1)&amp;":"&amp;ADDRESS(1000,COLUMN(E$9)-1)))))</f>
        <v>-</v>
      </c>
      <c r="F104" s="19" t="str">
        <f t="array" ref="F104">IF(ISBLANK(Tareas!$B100),"-",SUM(
SUMIF(INDIRECT(Equipo!$C$4&amp;"!B10:B1000"),$B104,INDIRECT(Equipo!$C$4&amp;"!"&amp;ADDRESS(10,COLUMN(F$9)-1)&amp;":"&amp;ADDRESS(1000,COLUMN(F$9)-1))),
SUMIF(INDIRECT(Equipo!$D$4&amp;"!B10:B1000"),$B104,INDIRECT(Equipo!$D$4&amp;"!"&amp;ADDRESS(10,COLUMN(F$9)-1)&amp;":"&amp;ADDRESS(1000,COLUMN(F$9)-1))),
SUMIF(INDIRECT(Equipo!$E$4&amp;"!B10:B1000"),$B104,INDIRECT(Equipo!$E$4&amp;"!"&amp;ADDRESS(10,COLUMN(F$9)-1)&amp;":"&amp;ADDRESS(1000,COLUMN(F$9)-1))),
SUMIF(INDIRECT(Equipo!$F$4&amp;"!B10:B1000"),$B104,INDIRECT(Equipo!$F$4&amp;"!"&amp;ADDRESS(10,COLUMN(F$9)-1)&amp;":"&amp;ADDRESS(1000,COLUMN(F$9)-1))),
SUMIF(INDIRECT(Equipo!$G$4&amp;"!B10:B1000"),$B104,INDIRECT(Equipo!$G$4&amp;"!"&amp;ADDRESS(10,COLUMN(F$9)-1)&amp;":"&amp;ADDRESS(1000,COLUMN(F$9)-1)))))</f>
        <v>-</v>
      </c>
      <c r="G104" s="19" t="str">
        <f t="array" ref="G104">IF(ISBLANK(Tareas!$B100),"-",SUM(
SUMIF(INDIRECT(Equipo!$C$4&amp;"!B10:B1000"),$B104,INDIRECT(Equipo!$C$4&amp;"!"&amp;ADDRESS(10,COLUMN(G$9)-1)&amp;":"&amp;ADDRESS(1000,COLUMN(G$9)-1))),
SUMIF(INDIRECT(Equipo!$D$4&amp;"!B10:B1000"),$B104,INDIRECT(Equipo!$D$4&amp;"!"&amp;ADDRESS(10,COLUMN(G$9)-1)&amp;":"&amp;ADDRESS(1000,COLUMN(G$9)-1))),
SUMIF(INDIRECT(Equipo!$E$4&amp;"!B10:B1000"),$B104,INDIRECT(Equipo!$E$4&amp;"!"&amp;ADDRESS(10,COLUMN(G$9)-1)&amp;":"&amp;ADDRESS(1000,COLUMN(G$9)-1))),
SUMIF(INDIRECT(Equipo!$F$4&amp;"!B10:B1000"),$B104,INDIRECT(Equipo!$F$4&amp;"!"&amp;ADDRESS(10,COLUMN(G$9)-1)&amp;":"&amp;ADDRESS(1000,COLUMN(G$9)-1))),
SUMIF(INDIRECT(Equipo!$G$4&amp;"!B10:B1000"),$B104,INDIRECT(Equipo!$G$4&amp;"!"&amp;ADDRESS(10,COLUMN(G$9)-1)&amp;":"&amp;ADDRESS(1000,COLUMN(G$9)-1)))))</f>
        <v>-</v>
      </c>
      <c r="H104" s="19" t="str">
        <f t="array" ref="H104">IF(ISBLANK(Tareas!$B100),"-",SUM(
SUMIF(INDIRECT(Equipo!$C$4&amp;"!B10:B1000"),$B104,INDIRECT(Equipo!$C$4&amp;"!"&amp;ADDRESS(10,COLUMN(H$9)-1)&amp;":"&amp;ADDRESS(1000,COLUMN(H$9)-1))),
SUMIF(INDIRECT(Equipo!$D$4&amp;"!B10:B1000"),$B104,INDIRECT(Equipo!$D$4&amp;"!"&amp;ADDRESS(10,COLUMN(H$9)-1)&amp;":"&amp;ADDRESS(1000,COLUMN(H$9)-1))),
SUMIF(INDIRECT(Equipo!$E$4&amp;"!B10:B1000"),$B104,INDIRECT(Equipo!$E$4&amp;"!"&amp;ADDRESS(10,COLUMN(H$9)-1)&amp;":"&amp;ADDRESS(1000,COLUMN(H$9)-1))),
SUMIF(INDIRECT(Equipo!$F$4&amp;"!B10:B1000"),$B104,INDIRECT(Equipo!$F$4&amp;"!"&amp;ADDRESS(10,COLUMN(H$9)-1)&amp;":"&amp;ADDRESS(1000,COLUMN(H$9)-1))),
SUMIF(INDIRECT(Equipo!$G$4&amp;"!B10:B1000"),$B104,INDIRECT(Equipo!$G$4&amp;"!"&amp;ADDRESS(10,COLUMN(H$9)-1)&amp;":"&amp;ADDRESS(1000,COLUMN(H$9)-1)))))</f>
        <v>-</v>
      </c>
      <c r="I104" s="19" t="str">
        <f t="array" ref="I104">IF(ISBLANK(Tareas!$B100),"-",SUM(
SUMIF(INDIRECT(Equipo!$C$4&amp;"!B10:B1000"),$B104,INDIRECT(Equipo!$C$4&amp;"!"&amp;ADDRESS(10,COLUMN(I$9)-1)&amp;":"&amp;ADDRESS(1000,COLUMN(I$9)-1))),
SUMIF(INDIRECT(Equipo!$D$4&amp;"!B10:B1000"),$B104,INDIRECT(Equipo!$D$4&amp;"!"&amp;ADDRESS(10,COLUMN(I$9)-1)&amp;":"&amp;ADDRESS(1000,COLUMN(I$9)-1))),
SUMIF(INDIRECT(Equipo!$E$4&amp;"!B10:B1000"),$B104,INDIRECT(Equipo!$E$4&amp;"!"&amp;ADDRESS(10,COLUMN(I$9)-1)&amp;":"&amp;ADDRESS(1000,COLUMN(I$9)-1))),
SUMIF(INDIRECT(Equipo!$F$4&amp;"!B10:B1000"),$B104,INDIRECT(Equipo!$F$4&amp;"!"&amp;ADDRESS(10,COLUMN(I$9)-1)&amp;":"&amp;ADDRESS(1000,COLUMN(I$9)-1))),
SUMIF(INDIRECT(Equipo!$G$4&amp;"!B10:B1000"),$B104,INDIRECT(Equipo!$G$4&amp;"!"&amp;ADDRESS(10,COLUMN(I$9)-1)&amp;":"&amp;ADDRESS(1000,COLUMN(I$9)-1)))))</f>
        <v>-</v>
      </c>
      <c r="J104" s="19" t="str">
        <f t="array" ref="J104">IF(ISBLANK(Tareas!$B100),"-",SUM(
SUMIF(INDIRECT(Equipo!$C$4&amp;"!B10:B1000"),$B104,INDIRECT(Equipo!$C$4&amp;"!"&amp;ADDRESS(10,COLUMN(J$9)-1)&amp;":"&amp;ADDRESS(1000,COLUMN(J$9)-1))),
SUMIF(INDIRECT(Equipo!$D$4&amp;"!B10:B1000"),$B104,INDIRECT(Equipo!$D$4&amp;"!"&amp;ADDRESS(10,COLUMN(J$9)-1)&amp;":"&amp;ADDRESS(1000,COLUMN(J$9)-1))),
SUMIF(INDIRECT(Equipo!$E$4&amp;"!B10:B1000"),$B104,INDIRECT(Equipo!$E$4&amp;"!"&amp;ADDRESS(10,COLUMN(J$9)-1)&amp;":"&amp;ADDRESS(1000,COLUMN(J$9)-1))),
SUMIF(INDIRECT(Equipo!$F$4&amp;"!B10:B1000"),$B104,INDIRECT(Equipo!$F$4&amp;"!"&amp;ADDRESS(10,COLUMN(J$9)-1)&amp;":"&amp;ADDRESS(1000,COLUMN(J$9)-1))),
SUMIF(INDIRECT(Equipo!$G$4&amp;"!B10:B1000"),$B104,INDIRECT(Equipo!$G$4&amp;"!"&amp;ADDRESS(10,COLUMN(J$9)-1)&amp;":"&amp;ADDRESS(1000,COLUMN(J$9)-1)))))</f>
        <v>-</v>
      </c>
      <c r="K104" s="19" t="str">
        <f t="array" ref="K104">IF(ISBLANK(Tareas!$B100),"-",SUM(
SUMIF(INDIRECT(Equipo!$C$4&amp;"!B10:B1000"),$B104,INDIRECT(Equipo!$C$4&amp;"!"&amp;ADDRESS(10,COLUMN(K$9)-1)&amp;":"&amp;ADDRESS(1000,COLUMN(K$9)-1))),
SUMIF(INDIRECT(Equipo!$D$4&amp;"!B10:B1000"),$B104,INDIRECT(Equipo!$D$4&amp;"!"&amp;ADDRESS(10,COLUMN(K$9)-1)&amp;":"&amp;ADDRESS(1000,COLUMN(K$9)-1))),
SUMIF(INDIRECT(Equipo!$E$4&amp;"!B10:B1000"),$B104,INDIRECT(Equipo!$E$4&amp;"!"&amp;ADDRESS(10,COLUMN(K$9)-1)&amp;":"&amp;ADDRESS(1000,COLUMN(K$9)-1))),
SUMIF(INDIRECT(Equipo!$F$4&amp;"!B10:B1000"),$B104,INDIRECT(Equipo!$F$4&amp;"!"&amp;ADDRESS(10,COLUMN(K$9)-1)&amp;":"&amp;ADDRESS(1000,COLUMN(K$9)-1))),
SUMIF(INDIRECT(Equipo!$G$4&amp;"!B10:B1000"),$B104,INDIRECT(Equipo!$G$4&amp;"!"&amp;ADDRESS(10,COLUMN(K$9)-1)&amp;":"&amp;ADDRESS(1000,COLUMN(K$9)-1)))))</f>
        <v>-</v>
      </c>
    </row>
    <row r="105" ht="15.75" customHeight="1">
      <c r="B105" s="1" t="str">
        <f>IF(ISBLANK(Tareas!B101)," - ",Tareas!B101)</f>
        <v> - </v>
      </c>
      <c r="D105" s="19" t="str">
        <f t="array" ref="D105">IF(ISBLANK(Tareas!$B101),"-",SUM(
SUMIF(INDIRECT(Equipo!$C$4&amp;"!B10:B1000"),$B105,INDIRECT(Equipo!$C$4&amp;"!"&amp;ADDRESS(10,COLUMN(D$9)-1)&amp;":"&amp;ADDRESS(1000,COLUMN(D$9)-1))),
SUMIF(INDIRECT(Equipo!$D$4&amp;"!B10:B1000"),$B105,INDIRECT(Equipo!$D$4&amp;"!"&amp;ADDRESS(10,COLUMN(D$9)-1)&amp;":"&amp;ADDRESS(1000,COLUMN(D$9)-1))),
SUMIF(INDIRECT(Equipo!$E$4&amp;"!B10:B1000"),$B105,INDIRECT(Equipo!$E$4&amp;"!"&amp;ADDRESS(10,COLUMN(D$9)-1)&amp;":"&amp;ADDRESS(1000,COLUMN(D$9)-1))),
SUMIF(INDIRECT(Equipo!$F$4&amp;"!B10:B1000"),$B105,INDIRECT(Equipo!$F$4&amp;"!"&amp;ADDRESS(10,COLUMN(D$9)-1)&amp;":"&amp;ADDRESS(1000,COLUMN(D$9)-1))),
SUMIF(INDIRECT(Equipo!$G$4&amp;"!B10:B1000"),$B105,INDIRECT(Equipo!$G$4&amp;"!"&amp;ADDRESS(10,COLUMN(D$9)-1)&amp;":"&amp;ADDRESS(1000,COLUMN(D$9)-1)))))</f>
        <v>-</v>
      </c>
      <c r="E105" s="19" t="str">
        <f t="array" ref="E105">IF(ISBLANK(Tareas!$B101),"-",SUM(
SUMIF(INDIRECT(Equipo!$C$4&amp;"!B10:B1000"),$B105,INDIRECT(Equipo!$C$4&amp;"!"&amp;ADDRESS(10,COLUMN(E$9)-1)&amp;":"&amp;ADDRESS(1000,COLUMN(E$9)-1))),
SUMIF(INDIRECT(Equipo!$D$4&amp;"!B10:B1000"),$B105,INDIRECT(Equipo!$D$4&amp;"!"&amp;ADDRESS(10,COLUMN(E$9)-1)&amp;":"&amp;ADDRESS(1000,COLUMN(E$9)-1))),
SUMIF(INDIRECT(Equipo!$E$4&amp;"!B10:B1000"),$B105,INDIRECT(Equipo!$E$4&amp;"!"&amp;ADDRESS(10,COLUMN(E$9)-1)&amp;":"&amp;ADDRESS(1000,COLUMN(E$9)-1))),
SUMIF(INDIRECT(Equipo!$F$4&amp;"!B10:B1000"),$B105,INDIRECT(Equipo!$F$4&amp;"!"&amp;ADDRESS(10,COLUMN(E$9)-1)&amp;":"&amp;ADDRESS(1000,COLUMN(E$9)-1))),
SUMIF(INDIRECT(Equipo!$G$4&amp;"!B10:B1000"),$B105,INDIRECT(Equipo!$G$4&amp;"!"&amp;ADDRESS(10,COLUMN(E$9)-1)&amp;":"&amp;ADDRESS(1000,COLUMN(E$9)-1)))))</f>
        <v>-</v>
      </c>
      <c r="F105" s="19" t="str">
        <f t="array" ref="F105">IF(ISBLANK(Tareas!$B101),"-",SUM(
SUMIF(INDIRECT(Equipo!$C$4&amp;"!B10:B1000"),$B105,INDIRECT(Equipo!$C$4&amp;"!"&amp;ADDRESS(10,COLUMN(F$9)-1)&amp;":"&amp;ADDRESS(1000,COLUMN(F$9)-1))),
SUMIF(INDIRECT(Equipo!$D$4&amp;"!B10:B1000"),$B105,INDIRECT(Equipo!$D$4&amp;"!"&amp;ADDRESS(10,COLUMN(F$9)-1)&amp;":"&amp;ADDRESS(1000,COLUMN(F$9)-1))),
SUMIF(INDIRECT(Equipo!$E$4&amp;"!B10:B1000"),$B105,INDIRECT(Equipo!$E$4&amp;"!"&amp;ADDRESS(10,COLUMN(F$9)-1)&amp;":"&amp;ADDRESS(1000,COLUMN(F$9)-1))),
SUMIF(INDIRECT(Equipo!$F$4&amp;"!B10:B1000"),$B105,INDIRECT(Equipo!$F$4&amp;"!"&amp;ADDRESS(10,COLUMN(F$9)-1)&amp;":"&amp;ADDRESS(1000,COLUMN(F$9)-1))),
SUMIF(INDIRECT(Equipo!$G$4&amp;"!B10:B1000"),$B105,INDIRECT(Equipo!$G$4&amp;"!"&amp;ADDRESS(10,COLUMN(F$9)-1)&amp;":"&amp;ADDRESS(1000,COLUMN(F$9)-1)))))</f>
        <v>-</v>
      </c>
      <c r="G105" s="19" t="str">
        <f t="array" ref="G105">IF(ISBLANK(Tareas!$B101),"-",SUM(
SUMIF(INDIRECT(Equipo!$C$4&amp;"!B10:B1000"),$B105,INDIRECT(Equipo!$C$4&amp;"!"&amp;ADDRESS(10,COLUMN(G$9)-1)&amp;":"&amp;ADDRESS(1000,COLUMN(G$9)-1))),
SUMIF(INDIRECT(Equipo!$D$4&amp;"!B10:B1000"),$B105,INDIRECT(Equipo!$D$4&amp;"!"&amp;ADDRESS(10,COLUMN(G$9)-1)&amp;":"&amp;ADDRESS(1000,COLUMN(G$9)-1))),
SUMIF(INDIRECT(Equipo!$E$4&amp;"!B10:B1000"),$B105,INDIRECT(Equipo!$E$4&amp;"!"&amp;ADDRESS(10,COLUMN(G$9)-1)&amp;":"&amp;ADDRESS(1000,COLUMN(G$9)-1))),
SUMIF(INDIRECT(Equipo!$F$4&amp;"!B10:B1000"),$B105,INDIRECT(Equipo!$F$4&amp;"!"&amp;ADDRESS(10,COLUMN(G$9)-1)&amp;":"&amp;ADDRESS(1000,COLUMN(G$9)-1))),
SUMIF(INDIRECT(Equipo!$G$4&amp;"!B10:B1000"),$B105,INDIRECT(Equipo!$G$4&amp;"!"&amp;ADDRESS(10,COLUMN(G$9)-1)&amp;":"&amp;ADDRESS(1000,COLUMN(G$9)-1)))))</f>
        <v>-</v>
      </c>
      <c r="H105" s="19" t="str">
        <f t="array" ref="H105">IF(ISBLANK(Tareas!$B101),"-",SUM(
SUMIF(INDIRECT(Equipo!$C$4&amp;"!B10:B1000"),$B105,INDIRECT(Equipo!$C$4&amp;"!"&amp;ADDRESS(10,COLUMN(H$9)-1)&amp;":"&amp;ADDRESS(1000,COLUMN(H$9)-1))),
SUMIF(INDIRECT(Equipo!$D$4&amp;"!B10:B1000"),$B105,INDIRECT(Equipo!$D$4&amp;"!"&amp;ADDRESS(10,COLUMN(H$9)-1)&amp;":"&amp;ADDRESS(1000,COLUMN(H$9)-1))),
SUMIF(INDIRECT(Equipo!$E$4&amp;"!B10:B1000"),$B105,INDIRECT(Equipo!$E$4&amp;"!"&amp;ADDRESS(10,COLUMN(H$9)-1)&amp;":"&amp;ADDRESS(1000,COLUMN(H$9)-1))),
SUMIF(INDIRECT(Equipo!$F$4&amp;"!B10:B1000"),$B105,INDIRECT(Equipo!$F$4&amp;"!"&amp;ADDRESS(10,COLUMN(H$9)-1)&amp;":"&amp;ADDRESS(1000,COLUMN(H$9)-1))),
SUMIF(INDIRECT(Equipo!$G$4&amp;"!B10:B1000"),$B105,INDIRECT(Equipo!$G$4&amp;"!"&amp;ADDRESS(10,COLUMN(H$9)-1)&amp;":"&amp;ADDRESS(1000,COLUMN(H$9)-1)))))</f>
        <v>-</v>
      </c>
      <c r="I105" s="19" t="str">
        <f t="array" ref="I105">IF(ISBLANK(Tareas!$B101),"-",SUM(
SUMIF(INDIRECT(Equipo!$C$4&amp;"!B10:B1000"),$B105,INDIRECT(Equipo!$C$4&amp;"!"&amp;ADDRESS(10,COLUMN(I$9)-1)&amp;":"&amp;ADDRESS(1000,COLUMN(I$9)-1))),
SUMIF(INDIRECT(Equipo!$D$4&amp;"!B10:B1000"),$B105,INDIRECT(Equipo!$D$4&amp;"!"&amp;ADDRESS(10,COLUMN(I$9)-1)&amp;":"&amp;ADDRESS(1000,COLUMN(I$9)-1))),
SUMIF(INDIRECT(Equipo!$E$4&amp;"!B10:B1000"),$B105,INDIRECT(Equipo!$E$4&amp;"!"&amp;ADDRESS(10,COLUMN(I$9)-1)&amp;":"&amp;ADDRESS(1000,COLUMN(I$9)-1))),
SUMIF(INDIRECT(Equipo!$F$4&amp;"!B10:B1000"),$B105,INDIRECT(Equipo!$F$4&amp;"!"&amp;ADDRESS(10,COLUMN(I$9)-1)&amp;":"&amp;ADDRESS(1000,COLUMN(I$9)-1))),
SUMIF(INDIRECT(Equipo!$G$4&amp;"!B10:B1000"),$B105,INDIRECT(Equipo!$G$4&amp;"!"&amp;ADDRESS(10,COLUMN(I$9)-1)&amp;":"&amp;ADDRESS(1000,COLUMN(I$9)-1)))))</f>
        <v>-</v>
      </c>
      <c r="J105" s="19" t="str">
        <f t="array" ref="J105">IF(ISBLANK(Tareas!$B101),"-",SUM(
SUMIF(INDIRECT(Equipo!$C$4&amp;"!B10:B1000"),$B105,INDIRECT(Equipo!$C$4&amp;"!"&amp;ADDRESS(10,COLUMN(J$9)-1)&amp;":"&amp;ADDRESS(1000,COLUMN(J$9)-1))),
SUMIF(INDIRECT(Equipo!$D$4&amp;"!B10:B1000"),$B105,INDIRECT(Equipo!$D$4&amp;"!"&amp;ADDRESS(10,COLUMN(J$9)-1)&amp;":"&amp;ADDRESS(1000,COLUMN(J$9)-1))),
SUMIF(INDIRECT(Equipo!$E$4&amp;"!B10:B1000"),$B105,INDIRECT(Equipo!$E$4&amp;"!"&amp;ADDRESS(10,COLUMN(J$9)-1)&amp;":"&amp;ADDRESS(1000,COLUMN(J$9)-1))),
SUMIF(INDIRECT(Equipo!$F$4&amp;"!B10:B1000"),$B105,INDIRECT(Equipo!$F$4&amp;"!"&amp;ADDRESS(10,COLUMN(J$9)-1)&amp;":"&amp;ADDRESS(1000,COLUMN(J$9)-1))),
SUMIF(INDIRECT(Equipo!$G$4&amp;"!B10:B1000"),$B105,INDIRECT(Equipo!$G$4&amp;"!"&amp;ADDRESS(10,COLUMN(J$9)-1)&amp;":"&amp;ADDRESS(1000,COLUMN(J$9)-1)))))</f>
        <v>-</v>
      </c>
      <c r="K105" s="19" t="str">
        <f t="array" ref="K105">IF(ISBLANK(Tareas!$B101),"-",SUM(
SUMIF(INDIRECT(Equipo!$C$4&amp;"!B10:B1000"),$B105,INDIRECT(Equipo!$C$4&amp;"!"&amp;ADDRESS(10,COLUMN(K$9)-1)&amp;":"&amp;ADDRESS(1000,COLUMN(K$9)-1))),
SUMIF(INDIRECT(Equipo!$D$4&amp;"!B10:B1000"),$B105,INDIRECT(Equipo!$D$4&amp;"!"&amp;ADDRESS(10,COLUMN(K$9)-1)&amp;":"&amp;ADDRESS(1000,COLUMN(K$9)-1))),
SUMIF(INDIRECT(Equipo!$E$4&amp;"!B10:B1000"),$B105,INDIRECT(Equipo!$E$4&amp;"!"&amp;ADDRESS(10,COLUMN(K$9)-1)&amp;":"&amp;ADDRESS(1000,COLUMN(K$9)-1))),
SUMIF(INDIRECT(Equipo!$F$4&amp;"!B10:B1000"),$B105,INDIRECT(Equipo!$F$4&amp;"!"&amp;ADDRESS(10,COLUMN(K$9)-1)&amp;":"&amp;ADDRESS(1000,COLUMN(K$9)-1))),
SUMIF(INDIRECT(Equipo!$G$4&amp;"!B10:B1000"),$B105,INDIRECT(Equipo!$G$4&amp;"!"&amp;ADDRESS(10,COLUMN(K$9)-1)&amp;":"&amp;ADDRESS(1000,COLUMN(K$9)-1)))))</f>
        <v>-</v>
      </c>
    </row>
    <row r="106" ht="15.75" customHeight="1">
      <c r="B106" s="1" t="str">
        <f>IF(ISBLANK(Tareas!B102)," - ",Tareas!B102)</f>
        <v> - </v>
      </c>
      <c r="D106" s="19" t="str">
        <f t="array" ref="D106">IF(ISBLANK(Tareas!$B102),"-",SUM(
SUMIF(INDIRECT(Equipo!$C$4&amp;"!B10:B1000"),$B106,INDIRECT(Equipo!$C$4&amp;"!"&amp;ADDRESS(10,COLUMN(D$9)-1)&amp;":"&amp;ADDRESS(1000,COLUMN(D$9)-1))),
SUMIF(INDIRECT(Equipo!$D$4&amp;"!B10:B1000"),$B106,INDIRECT(Equipo!$D$4&amp;"!"&amp;ADDRESS(10,COLUMN(D$9)-1)&amp;":"&amp;ADDRESS(1000,COLUMN(D$9)-1))),
SUMIF(INDIRECT(Equipo!$E$4&amp;"!B10:B1000"),$B106,INDIRECT(Equipo!$E$4&amp;"!"&amp;ADDRESS(10,COLUMN(D$9)-1)&amp;":"&amp;ADDRESS(1000,COLUMN(D$9)-1))),
SUMIF(INDIRECT(Equipo!$F$4&amp;"!B10:B1000"),$B106,INDIRECT(Equipo!$F$4&amp;"!"&amp;ADDRESS(10,COLUMN(D$9)-1)&amp;":"&amp;ADDRESS(1000,COLUMN(D$9)-1))),
SUMIF(INDIRECT(Equipo!$G$4&amp;"!B10:B1000"),$B106,INDIRECT(Equipo!$G$4&amp;"!"&amp;ADDRESS(10,COLUMN(D$9)-1)&amp;":"&amp;ADDRESS(1000,COLUMN(D$9)-1)))))</f>
        <v>-</v>
      </c>
      <c r="E106" s="19" t="str">
        <f t="array" ref="E106">IF(ISBLANK(Tareas!$B102),"-",SUM(
SUMIF(INDIRECT(Equipo!$C$4&amp;"!B10:B1000"),$B106,INDIRECT(Equipo!$C$4&amp;"!"&amp;ADDRESS(10,COLUMN(E$9)-1)&amp;":"&amp;ADDRESS(1000,COLUMN(E$9)-1))),
SUMIF(INDIRECT(Equipo!$D$4&amp;"!B10:B1000"),$B106,INDIRECT(Equipo!$D$4&amp;"!"&amp;ADDRESS(10,COLUMN(E$9)-1)&amp;":"&amp;ADDRESS(1000,COLUMN(E$9)-1))),
SUMIF(INDIRECT(Equipo!$E$4&amp;"!B10:B1000"),$B106,INDIRECT(Equipo!$E$4&amp;"!"&amp;ADDRESS(10,COLUMN(E$9)-1)&amp;":"&amp;ADDRESS(1000,COLUMN(E$9)-1))),
SUMIF(INDIRECT(Equipo!$F$4&amp;"!B10:B1000"),$B106,INDIRECT(Equipo!$F$4&amp;"!"&amp;ADDRESS(10,COLUMN(E$9)-1)&amp;":"&amp;ADDRESS(1000,COLUMN(E$9)-1))),
SUMIF(INDIRECT(Equipo!$G$4&amp;"!B10:B1000"),$B106,INDIRECT(Equipo!$G$4&amp;"!"&amp;ADDRESS(10,COLUMN(E$9)-1)&amp;":"&amp;ADDRESS(1000,COLUMN(E$9)-1)))))</f>
        <v>-</v>
      </c>
      <c r="F106" s="19" t="str">
        <f t="array" ref="F106">IF(ISBLANK(Tareas!$B102),"-",SUM(
SUMIF(INDIRECT(Equipo!$C$4&amp;"!B10:B1000"),$B106,INDIRECT(Equipo!$C$4&amp;"!"&amp;ADDRESS(10,COLUMN(F$9)-1)&amp;":"&amp;ADDRESS(1000,COLUMN(F$9)-1))),
SUMIF(INDIRECT(Equipo!$D$4&amp;"!B10:B1000"),$B106,INDIRECT(Equipo!$D$4&amp;"!"&amp;ADDRESS(10,COLUMN(F$9)-1)&amp;":"&amp;ADDRESS(1000,COLUMN(F$9)-1))),
SUMIF(INDIRECT(Equipo!$E$4&amp;"!B10:B1000"),$B106,INDIRECT(Equipo!$E$4&amp;"!"&amp;ADDRESS(10,COLUMN(F$9)-1)&amp;":"&amp;ADDRESS(1000,COLUMN(F$9)-1))),
SUMIF(INDIRECT(Equipo!$F$4&amp;"!B10:B1000"),$B106,INDIRECT(Equipo!$F$4&amp;"!"&amp;ADDRESS(10,COLUMN(F$9)-1)&amp;":"&amp;ADDRESS(1000,COLUMN(F$9)-1))),
SUMIF(INDIRECT(Equipo!$G$4&amp;"!B10:B1000"),$B106,INDIRECT(Equipo!$G$4&amp;"!"&amp;ADDRESS(10,COLUMN(F$9)-1)&amp;":"&amp;ADDRESS(1000,COLUMN(F$9)-1)))))</f>
        <v>-</v>
      </c>
      <c r="G106" s="19" t="str">
        <f t="array" ref="G106">IF(ISBLANK(Tareas!$B102),"-",SUM(
SUMIF(INDIRECT(Equipo!$C$4&amp;"!B10:B1000"),$B106,INDIRECT(Equipo!$C$4&amp;"!"&amp;ADDRESS(10,COLUMN(G$9)-1)&amp;":"&amp;ADDRESS(1000,COLUMN(G$9)-1))),
SUMIF(INDIRECT(Equipo!$D$4&amp;"!B10:B1000"),$B106,INDIRECT(Equipo!$D$4&amp;"!"&amp;ADDRESS(10,COLUMN(G$9)-1)&amp;":"&amp;ADDRESS(1000,COLUMN(G$9)-1))),
SUMIF(INDIRECT(Equipo!$E$4&amp;"!B10:B1000"),$B106,INDIRECT(Equipo!$E$4&amp;"!"&amp;ADDRESS(10,COLUMN(G$9)-1)&amp;":"&amp;ADDRESS(1000,COLUMN(G$9)-1))),
SUMIF(INDIRECT(Equipo!$F$4&amp;"!B10:B1000"),$B106,INDIRECT(Equipo!$F$4&amp;"!"&amp;ADDRESS(10,COLUMN(G$9)-1)&amp;":"&amp;ADDRESS(1000,COLUMN(G$9)-1))),
SUMIF(INDIRECT(Equipo!$G$4&amp;"!B10:B1000"),$B106,INDIRECT(Equipo!$G$4&amp;"!"&amp;ADDRESS(10,COLUMN(G$9)-1)&amp;":"&amp;ADDRESS(1000,COLUMN(G$9)-1)))))</f>
        <v>-</v>
      </c>
      <c r="H106" s="19" t="str">
        <f t="array" ref="H106">IF(ISBLANK(Tareas!$B102),"-",SUM(
SUMIF(INDIRECT(Equipo!$C$4&amp;"!B10:B1000"),$B106,INDIRECT(Equipo!$C$4&amp;"!"&amp;ADDRESS(10,COLUMN(H$9)-1)&amp;":"&amp;ADDRESS(1000,COLUMN(H$9)-1))),
SUMIF(INDIRECT(Equipo!$D$4&amp;"!B10:B1000"),$B106,INDIRECT(Equipo!$D$4&amp;"!"&amp;ADDRESS(10,COLUMN(H$9)-1)&amp;":"&amp;ADDRESS(1000,COLUMN(H$9)-1))),
SUMIF(INDIRECT(Equipo!$E$4&amp;"!B10:B1000"),$B106,INDIRECT(Equipo!$E$4&amp;"!"&amp;ADDRESS(10,COLUMN(H$9)-1)&amp;":"&amp;ADDRESS(1000,COLUMN(H$9)-1))),
SUMIF(INDIRECT(Equipo!$F$4&amp;"!B10:B1000"),$B106,INDIRECT(Equipo!$F$4&amp;"!"&amp;ADDRESS(10,COLUMN(H$9)-1)&amp;":"&amp;ADDRESS(1000,COLUMN(H$9)-1))),
SUMIF(INDIRECT(Equipo!$G$4&amp;"!B10:B1000"),$B106,INDIRECT(Equipo!$G$4&amp;"!"&amp;ADDRESS(10,COLUMN(H$9)-1)&amp;":"&amp;ADDRESS(1000,COLUMN(H$9)-1)))))</f>
        <v>-</v>
      </c>
      <c r="I106" s="19" t="str">
        <f t="array" ref="I106">IF(ISBLANK(Tareas!$B102),"-",SUM(
SUMIF(INDIRECT(Equipo!$C$4&amp;"!B10:B1000"),$B106,INDIRECT(Equipo!$C$4&amp;"!"&amp;ADDRESS(10,COLUMN(I$9)-1)&amp;":"&amp;ADDRESS(1000,COLUMN(I$9)-1))),
SUMIF(INDIRECT(Equipo!$D$4&amp;"!B10:B1000"),$B106,INDIRECT(Equipo!$D$4&amp;"!"&amp;ADDRESS(10,COLUMN(I$9)-1)&amp;":"&amp;ADDRESS(1000,COLUMN(I$9)-1))),
SUMIF(INDIRECT(Equipo!$E$4&amp;"!B10:B1000"),$B106,INDIRECT(Equipo!$E$4&amp;"!"&amp;ADDRESS(10,COLUMN(I$9)-1)&amp;":"&amp;ADDRESS(1000,COLUMN(I$9)-1))),
SUMIF(INDIRECT(Equipo!$F$4&amp;"!B10:B1000"),$B106,INDIRECT(Equipo!$F$4&amp;"!"&amp;ADDRESS(10,COLUMN(I$9)-1)&amp;":"&amp;ADDRESS(1000,COLUMN(I$9)-1))),
SUMIF(INDIRECT(Equipo!$G$4&amp;"!B10:B1000"),$B106,INDIRECT(Equipo!$G$4&amp;"!"&amp;ADDRESS(10,COLUMN(I$9)-1)&amp;":"&amp;ADDRESS(1000,COLUMN(I$9)-1)))))</f>
        <v>-</v>
      </c>
      <c r="J106" s="19" t="str">
        <f t="array" ref="J106">IF(ISBLANK(Tareas!$B102),"-",SUM(
SUMIF(INDIRECT(Equipo!$C$4&amp;"!B10:B1000"),$B106,INDIRECT(Equipo!$C$4&amp;"!"&amp;ADDRESS(10,COLUMN(J$9)-1)&amp;":"&amp;ADDRESS(1000,COLUMN(J$9)-1))),
SUMIF(INDIRECT(Equipo!$D$4&amp;"!B10:B1000"),$B106,INDIRECT(Equipo!$D$4&amp;"!"&amp;ADDRESS(10,COLUMN(J$9)-1)&amp;":"&amp;ADDRESS(1000,COLUMN(J$9)-1))),
SUMIF(INDIRECT(Equipo!$E$4&amp;"!B10:B1000"),$B106,INDIRECT(Equipo!$E$4&amp;"!"&amp;ADDRESS(10,COLUMN(J$9)-1)&amp;":"&amp;ADDRESS(1000,COLUMN(J$9)-1))),
SUMIF(INDIRECT(Equipo!$F$4&amp;"!B10:B1000"),$B106,INDIRECT(Equipo!$F$4&amp;"!"&amp;ADDRESS(10,COLUMN(J$9)-1)&amp;":"&amp;ADDRESS(1000,COLUMN(J$9)-1))),
SUMIF(INDIRECT(Equipo!$G$4&amp;"!B10:B1000"),$B106,INDIRECT(Equipo!$G$4&amp;"!"&amp;ADDRESS(10,COLUMN(J$9)-1)&amp;":"&amp;ADDRESS(1000,COLUMN(J$9)-1)))))</f>
        <v>-</v>
      </c>
      <c r="K106" s="19" t="str">
        <f t="array" ref="K106">IF(ISBLANK(Tareas!$B102),"-",SUM(
SUMIF(INDIRECT(Equipo!$C$4&amp;"!B10:B1000"),$B106,INDIRECT(Equipo!$C$4&amp;"!"&amp;ADDRESS(10,COLUMN(K$9)-1)&amp;":"&amp;ADDRESS(1000,COLUMN(K$9)-1))),
SUMIF(INDIRECT(Equipo!$D$4&amp;"!B10:B1000"),$B106,INDIRECT(Equipo!$D$4&amp;"!"&amp;ADDRESS(10,COLUMN(K$9)-1)&amp;":"&amp;ADDRESS(1000,COLUMN(K$9)-1))),
SUMIF(INDIRECT(Equipo!$E$4&amp;"!B10:B1000"),$B106,INDIRECT(Equipo!$E$4&amp;"!"&amp;ADDRESS(10,COLUMN(K$9)-1)&amp;":"&amp;ADDRESS(1000,COLUMN(K$9)-1))),
SUMIF(INDIRECT(Equipo!$F$4&amp;"!B10:B1000"),$B106,INDIRECT(Equipo!$F$4&amp;"!"&amp;ADDRESS(10,COLUMN(K$9)-1)&amp;":"&amp;ADDRESS(1000,COLUMN(K$9)-1))),
SUMIF(INDIRECT(Equipo!$G$4&amp;"!B10:B1000"),$B106,INDIRECT(Equipo!$G$4&amp;"!"&amp;ADDRESS(10,COLUMN(K$9)-1)&amp;":"&amp;ADDRESS(1000,COLUMN(K$9)-1)))))</f>
        <v>-</v>
      </c>
    </row>
    <row r="107" ht="15.75" customHeight="1">
      <c r="B107" s="1" t="str">
        <f>IF(ISBLANK(Tareas!B103)," - ",Tareas!B103)</f>
        <v> - </v>
      </c>
      <c r="D107" s="19" t="str">
        <f t="array" ref="D107">IF(ISBLANK(Tareas!$B103),"-",SUM(
SUMIF(INDIRECT(Equipo!$C$4&amp;"!B10:B1000"),$B107,INDIRECT(Equipo!$C$4&amp;"!"&amp;ADDRESS(10,COLUMN(D$9)-1)&amp;":"&amp;ADDRESS(1000,COLUMN(D$9)-1))),
SUMIF(INDIRECT(Equipo!$D$4&amp;"!B10:B1000"),$B107,INDIRECT(Equipo!$D$4&amp;"!"&amp;ADDRESS(10,COLUMN(D$9)-1)&amp;":"&amp;ADDRESS(1000,COLUMN(D$9)-1))),
SUMIF(INDIRECT(Equipo!$E$4&amp;"!B10:B1000"),$B107,INDIRECT(Equipo!$E$4&amp;"!"&amp;ADDRESS(10,COLUMN(D$9)-1)&amp;":"&amp;ADDRESS(1000,COLUMN(D$9)-1))),
SUMIF(INDIRECT(Equipo!$F$4&amp;"!B10:B1000"),$B107,INDIRECT(Equipo!$F$4&amp;"!"&amp;ADDRESS(10,COLUMN(D$9)-1)&amp;":"&amp;ADDRESS(1000,COLUMN(D$9)-1))),
SUMIF(INDIRECT(Equipo!$G$4&amp;"!B10:B1000"),$B107,INDIRECT(Equipo!$G$4&amp;"!"&amp;ADDRESS(10,COLUMN(D$9)-1)&amp;":"&amp;ADDRESS(1000,COLUMN(D$9)-1)))))</f>
        <v>-</v>
      </c>
      <c r="E107" s="19" t="str">
        <f t="array" ref="E107">IF(ISBLANK(Tareas!$B103),"-",SUM(
SUMIF(INDIRECT(Equipo!$C$4&amp;"!B10:B1000"),$B107,INDIRECT(Equipo!$C$4&amp;"!"&amp;ADDRESS(10,COLUMN(E$9)-1)&amp;":"&amp;ADDRESS(1000,COLUMN(E$9)-1))),
SUMIF(INDIRECT(Equipo!$D$4&amp;"!B10:B1000"),$B107,INDIRECT(Equipo!$D$4&amp;"!"&amp;ADDRESS(10,COLUMN(E$9)-1)&amp;":"&amp;ADDRESS(1000,COLUMN(E$9)-1))),
SUMIF(INDIRECT(Equipo!$E$4&amp;"!B10:B1000"),$B107,INDIRECT(Equipo!$E$4&amp;"!"&amp;ADDRESS(10,COLUMN(E$9)-1)&amp;":"&amp;ADDRESS(1000,COLUMN(E$9)-1))),
SUMIF(INDIRECT(Equipo!$F$4&amp;"!B10:B1000"),$B107,INDIRECT(Equipo!$F$4&amp;"!"&amp;ADDRESS(10,COLUMN(E$9)-1)&amp;":"&amp;ADDRESS(1000,COLUMN(E$9)-1))),
SUMIF(INDIRECT(Equipo!$G$4&amp;"!B10:B1000"),$B107,INDIRECT(Equipo!$G$4&amp;"!"&amp;ADDRESS(10,COLUMN(E$9)-1)&amp;":"&amp;ADDRESS(1000,COLUMN(E$9)-1)))))</f>
        <v>-</v>
      </c>
      <c r="F107" s="19" t="str">
        <f t="array" ref="F107">IF(ISBLANK(Tareas!$B103),"-",SUM(
SUMIF(INDIRECT(Equipo!$C$4&amp;"!B10:B1000"),$B107,INDIRECT(Equipo!$C$4&amp;"!"&amp;ADDRESS(10,COLUMN(F$9)-1)&amp;":"&amp;ADDRESS(1000,COLUMN(F$9)-1))),
SUMIF(INDIRECT(Equipo!$D$4&amp;"!B10:B1000"),$B107,INDIRECT(Equipo!$D$4&amp;"!"&amp;ADDRESS(10,COLUMN(F$9)-1)&amp;":"&amp;ADDRESS(1000,COLUMN(F$9)-1))),
SUMIF(INDIRECT(Equipo!$E$4&amp;"!B10:B1000"),$B107,INDIRECT(Equipo!$E$4&amp;"!"&amp;ADDRESS(10,COLUMN(F$9)-1)&amp;":"&amp;ADDRESS(1000,COLUMN(F$9)-1))),
SUMIF(INDIRECT(Equipo!$F$4&amp;"!B10:B1000"),$B107,INDIRECT(Equipo!$F$4&amp;"!"&amp;ADDRESS(10,COLUMN(F$9)-1)&amp;":"&amp;ADDRESS(1000,COLUMN(F$9)-1))),
SUMIF(INDIRECT(Equipo!$G$4&amp;"!B10:B1000"),$B107,INDIRECT(Equipo!$G$4&amp;"!"&amp;ADDRESS(10,COLUMN(F$9)-1)&amp;":"&amp;ADDRESS(1000,COLUMN(F$9)-1)))))</f>
        <v>-</v>
      </c>
      <c r="G107" s="19" t="str">
        <f t="array" ref="G107">IF(ISBLANK(Tareas!$B103),"-",SUM(
SUMIF(INDIRECT(Equipo!$C$4&amp;"!B10:B1000"),$B107,INDIRECT(Equipo!$C$4&amp;"!"&amp;ADDRESS(10,COLUMN(G$9)-1)&amp;":"&amp;ADDRESS(1000,COLUMN(G$9)-1))),
SUMIF(INDIRECT(Equipo!$D$4&amp;"!B10:B1000"),$B107,INDIRECT(Equipo!$D$4&amp;"!"&amp;ADDRESS(10,COLUMN(G$9)-1)&amp;":"&amp;ADDRESS(1000,COLUMN(G$9)-1))),
SUMIF(INDIRECT(Equipo!$E$4&amp;"!B10:B1000"),$B107,INDIRECT(Equipo!$E$4&amp;"!"&amp;ADDRESS(10,COLUMN(G$9)-1)&amp;":"&amp;ADDRESS(1000,COLUMN(G$9)-1))),
SUMIF(INDIRECT(Equipo!$F$4&amp;"!B10:B1000"),$B107,INDIRECT(Equipo!$F$4&amp;"!"&amp;ADDRESS(10,COLUMN(G$9)-1)&amp;":"&amp;ADDRESS(1000,COLUMN(G$9)-1))),
SUMIF(INDIRECT(Equipo!$G$4&amp;"!B10:B1000"),$B107,INDIRECT(Equipo!$G$4&amp;"!"&amp;ADDRESS(10,COLUMN(G$9)-1)&amp;":"&amp;ADDRESS(1000,COLUMN(G$9)-1)))))</f>
        <v>-</v>
      </c>
      <c r="H107" s="19" t="str">
        <f t="array" ref="H107">IF(ISBLANK(Tareas!$B103),"-",SUM(
SUMIF(INDIRECT(Equipo!$C$4&amp;"!B10:B1000"),$B107,INDIRECT(Equipo!$C$4&amp;"!"&amp;ADDRESS(10,COLUMN(H$9)-1)&amp;":"&amp;ADDRESS(1000,COLUMN(H$9)-1))),
SUMIF(INDIRECT(Equipo!$D$4&amp;"!B10:B1000"),$B107,INDIRECT(Equipo!$D$4&amp;"!"&amp;ADDRESS(10,COLUMN(H$9)-1)&amp;":"&amp;ADDRESS(1000,COLUMN(H$9)-1))),
SUMIF(INDIRECT(Equipo!$E$4&amp;"!B10:B1000"),$B107,INDIRECT(Equipo!$E$4&amp;"!"&amp;ADDRESS(10,COLUMN(H$9)-1)&amp;":"&amp;ADDRESS(1000,COLUMN(H$9)-1))),
SUMIF(INDIRECT(Equipo!$F$4&amp;"!B10:B1000"),$B107,INDIRECT(Equipo!$F$4&amp;"!"&amp;ADDRESS(10,COLUMN(H$9)-1)&amp;":"&amp;ADDRESS(1000,COLUMN(H$9)-1))),
SUMIF(INDIRECT(Equipo!$G$4&amp;"!B10:B1000"),$B107,INDIRECT(Equipo!$G$4&amp;"!"&amp;ADDRESS(10,COLUMN(H$9)-1)&amp;":"&amp;ADDRESS(1000,COLUMN(H$9)-1)))))</f>
        <v>-</v>
      </c>
      <c r="I107" s="19" t="str">
        <f t="array" ref="I107">IF(ISBLANK(Tareas!$B103),"-",SUM(
SUMIF(INDIRECT(Equipo!$C$4&amp;"!B10:B1000"),$B107,INDIRECT(Equipo!$C$4&amp;"!"&amp;ADDRESS(10,COLUMN(I$9)-1)&amp;":"&amp;ADDRESS(1000,COLUMN(I$9)-1))),
SUMIF(INDIRECT(Equipo!$D$4&amp;"!B10:B1000"),$B107,INDIRECT(Equipo!$D$4&amp;"!"&amp;ADDRESS(10,COLUMN(I$9)-1)&amp;":"&amp;ADDRESS(1000,COLUMN(I$9)-1))),
SUMIF(INDIRECT(Equipo!$E$4&amp;"!B10:B1000"),$B107,INDIRECT(Equipo!$E$4&amp;"!"&amp;ADDRESS(10,COLUMN(I$9)-1)&amp;":"&amp;ADDRESS(1000,COLUMN(I$9)-1))),
SUMIF(INDIRECT(Equipo!$F$4&amp;"!B10:B1000"),$B107,INDIRECT(Equipo!$F$4&amp;"!"&amp;ADDRESS(10,COLUMN(I$9)-1)&amp;":"&amp;ADDRESS(1000,COLUMN(I$9)-1))),
SUMIF(INDIRECT(Equipo!$G$4&amp;"!B10:B1000"),$B107,INDIRECT(Equipo!$G$4&amp;"!"&amp;ADDRESS(10,COLUMN(I$9)-1)&amp;":"&amp;ADDRESS(1000,COLUMN(I$9)-1)))))</f>
        <v>-</v>
      </c>
      <c r="J107" s="19" t="str">
        <f t="array" ref="J107">IF(ISBLANK(Tareas!$B103),"-",SUM(
SUMIF(INDIRECT(Equipo!$C$4&amp;"!B10:B1000"),$B107,INDIRECT(Equipo!$C$4&amp;"!"&amp;ADDRESS(10,COLUMN(J$9)-1)&amp;":"&amp;ADDRESS(1000,COLUMN(J$9)-1))),
SUMIF(INDIRECT(Equipo!$D$4&amp;"!B10:B1000"),$B107,INDIRECT(Equipo!$D$4&amp;"!"&amp;ADDRESS(10,COLUMN(J$9)-1)&amp;":"&amp;ADDRESS(1000,COLUMN(J$9)-1))),
SUMIF(INDIRECT(Equipo!$E$4&amp;"!B10:B1000"),$B107,INDIRECT(Equipo!$E$4&amp;"!"&amp;ADDRESS(10,COLUMN(J$9)-1)&amp;":"&amp;ADDRESS(1000,COLUMN(J$9)-1))),
SUMIF(INDIRECT(Equipo!$F$4&amp;"!B10:B1000"),$B107,INDIRECT(Equipo!$F$4&amp;"!"&amp;ADDRESS(10,COLUMN(J$9)-1)&amp;":"&amp;ADDRESS(1000,COLUMN(J$9)-1))),
SUMIF(INDIRECT(Equipo!$G$4&amp;"!B10:B1000"),$B107,INDIRECT(Equipo!$G$4&amp;"!"&amp;ADDRESS(10,COLUMN(J$9)-1)&amp;":"&amp;ADDRESS(1000,COLUMN(J$9)-1)))))</f>
        <v>-</v>
      </c>
      <c r="K107" s="19" t="str">
        <f t="array" ref="K107">IF(ISBLANK(Tareas!$B103),"-",SUM(
SUMIF(INDIRECT(Equipo!$C$4&amp;"!B10:B1000"),$B107,INDIRECT(Equipo!$C$4&amp;"!"&amp;ADDRESS(10,COLUMN(K$9)-1)&amp;":"&amp;ADDRESS(1000,COLUMN(K$9)-1))),
SUMIF(INDIRECT(Equipo!$D$4&amp;"!B10:B1000"),$B107,INDIRECT(Equipo!$D$4&amp;"!"&amp;ADDRESS(10,COLUMN(K$9)-1)&amp;":"&amp;ADDRESS(1000,COLUMN(K$9)-1))),
SUMIF(INDIRECT(Equipo!$E$4&amp;"!B10:B1000"),$B107,INDIRECT(Equipo!$E$4&amp;"!"&amp;ADDRESS(10,COLUMN(K$9)-1)&amp;":"&amp;ADDRESS(1000,COLUMN(K$9)-1))),
SUMIF(INDIRECT(Equipo!$F$4&amp;"!B10:B1000"),$B107,INDIRECT(Equipo!$F$4&amp;"!"&amp;ADDRESS(10,COLUMN(K$9)-1)&amp;":"&amp;ADDRESS(1000,COLUMN(K$9)-1))),
SUMIF(INDIRECT(Equipo!$G$4&amp;"!B10:B1000"),$B107,INDIRECT(Equipo!$G$4&amp;"!"&amp;ADDRESS(10,COLUMN(K$9)-1)&amp;":"&amp;ADDRESS(1000,COLUMN(K$9)-1)))))</f>
        <v>-</v>
      </c>
    </row>
    <row r="108" ht="15.75" customHeight="1">
      <c r="B108" s="1" t="str">
        <f>IF(ISBLANK(Tareas!B104)," - ",Tareas!B104)</f>
        <v> - </v>
      </c>
      <c r="D108" s="19" t="str">
        <f t="array" ref="D108">IF(ISBLANK(Tareas!$B104),"-",SUM(
SUMIF(INDIRECT(Equipo!$C$4&amp;"!B10:B1000"),$B108,INDIRECT(Equipo!$C$4&amp;"!"&amp;ADDRESS(10,COLUMN(D$9)-1)&amp;":"&amp;ADDRESS(1000,COLUMN(D$9)-1))),
SUMIF(INDIRECT(Equipo!$D$4&amp;"!B10:B1000"),$B108,INDIRECT(Equipo!$D$4&amp;"!"&amp;ADDRESS(10,COLUMN(D$9)-1)&amp;":"&amp;ADDRESS(1000,COLUMN(D$9)-1))),
SUMIF(INDIRECT(Equipo!$E$4&amp;"!B10:B1000"),$B108,INDIRECT(Equipo!$E$4&amp;"!"&amp;ADDRESS(10,COLUMN(D$9)-1)&amp;":"&amp;ADDRESS(1000,COLUMN(D$9)-1))),
SUMIF(INDIRECT(Equipo!$F$4&amp;"!B10:B1000"),$B108,INDIRECT(Equipo!$F$4&amp;"!"&amp;ADDRESS(10,COLUMN(D$9)-1)&amp;":"&amp;ADDRESS(1000,COLUMN(D$9)-1))),
SUMIF(INDIRECT(Equipo!$G$4&amp;"!B10:B1000"),$B108,INDIRECT(Equipo!$G$4&amp;"!"&amp;ADDRESS(10,COLUMN(D$9)-1)&amp;":"&amp;ADDRESS(1000,COLUMN(D$9)-1)))))</f>
        <v>-</v>
      </c>
      <c r="E108" s="19" t="str">
        <f t="array" ref="E108">IF(ISBLANK(Tareas!$B104),"-",SUM(
SUMIF(INDIRECT(Equipo!$C$4&amp;"!B10:B1000"),$B108,INDIRECT(Equipo!$C$4&amp;"!"&amp;ADDRESS(10,COLUMN(E$9)-1)&amp;":"&amp;ADDRESS(1000,COLUMN(E$9)-1))),
SUMIF(INDIRECT(Equipo!$D$4&amp;"!B10:B1000"),$B108,INDIRECT(Equipo!$D$4&amp;"!"&amp;ADDRESS(10,COLUMN(E$9)-1)&amp;":"&amp;ADDRESS(1000,COLUMN(E$9)-1))),
SUMIF(INDIRECT(Equipo!$E$4&amp;"!B10:B1000"),$B108,INDIRECT(Equipo!$E$4&amp;"!"&amp;ADDRESS(10,COLUMN(E$9)-1)&amp;":"&amp;ADDRESS(1000,COLUMN(E$9)-1))),
SUMIF(INDIRECT(Equipo!$F$4&amp;"!B10:B1000"),$B108,INDIRECT(Equipo!$F$4&amp;"!"&amp;ADDRESS(10,COLUMN(E$9)-1)&amp;":"&amp;ADDRESS(1000,COLUMN(E$9)-1))),
SUMIF(INDIRECT(Equipo!$G$4&amp;"!B10:B1000"),$B108,INDIRECT(Equipo!$G$4&amp;"!"&amp;ADDRESS(10,COLUMN(E$9)-1)&amp;":"&amp;ADDRESS(1000,COLUMN(E$9)-1)))))</f>
        <v>-</v>
      </c>
      <c r="F108" s="19" t="str">
        <f t="array" ref="F108">IF(ISBLANK(Tareas!$B104),"-",SUM(
SUMIF(INDIRECT(Equipo!$C$4&amp;"!B10:B1000"),$B108,INDIRECT(Equipo!$C$4&amp;"!"&amp;ADDRESS(10,COLUMN(F$9)-1)&amp;":"&amp;ADDRESS(1000,COLUMN(F$9)-1))),
SUMIF(INDIRECT(Equipo!$D$4&amp;"!B10:B1000"),$B108,INDIRECT(Equipo!$D$4&amp;"!"&amp;ADDRESS(10,COLUMN(F$9)-1)&amp;":"&amp;ADDRESS(1000,COLUMN(F$9)-1))),
SUMIF(INDIRECT(Equipo!$E$4&amp;"!B10:B1000"),$B108,INDIRECT(Equipo!$E$4&amp;"!"&amp;ADDRESS(10,COLUMN(F$9)-1)&amp;":"&amp;ADDRESS(1000,COLUMN(F$9)-1))),
SUMIF(INDIRECT(Equipo!$F$4&amp;"!B10:B1000"),$B108,INDIRECT(Equipo!$F$4&amp;"!"&amp;ADDRESS(10,COLUMN(F$9)-1)&amp;":"&amp;ADDRESS(1000,COLUMN(F$9)-1))),
SUMIF(INDIRECT(Equipo!$G$4&amp;"!B10:B1000"),$B108,INDIRECT(Equipo!$G$4&amp;"!"&amp;ADDRESS(10,COLUMN(F$9)-1)&amp;":"&amp;ADDRESS(1000,COLUMN(F$9)-1)))))</f>
        <v>-</v>
      </c>
      <c r="G108" s="19" t="str">
        <f t="array" ref="G108">IF(ISBLANK(Tareas!$B104),"-",SUM(
SUMIF(INDIRECT(Equipo!$C$4&amp;"!B10:B1000"),$B108,INDIRECT(Equipo!$C$4&amp;"!"&amp;ADDRESS(10,COLUMN(G$9)-1)&amp;":"&amp;ADDRESS(1000,COLUMN(G$9)-1))),
SUMIF(INDIRECT(Equipo!$D$4&amp;"!B10:B1000"),$B108,INDIRECT(Equipo!$D$4&amp;"!"&amp;ADDRESS(10,COLUMN(G$9)-1)&amp;":"&amp;ADDRESS(1000,COLUMN(G$9)-1))),
SUMIF(INDIRECT(Equipo!$E$4&amp;"!B10:B1000"),$B108,INDIRECT(Equipo!$E$4&amp;"!"&amp;ADDRESS(10,COLUMN(G$9)-1)&amp;":"&amp;ADDRESS(1000,COLUMN(G$9)-1))),
SUMIF(INDIRECT(Equipo!$F$4&amp;"!B10:B1000"),$B108,INDIRECT(Equipo!$F$4&amp;"!"&amp;ADDRESS(10,COLUMN(G$9)-1)&amp;":"&amp;ADDRESS(1000,COLUMN(G$9)-1))),
SUMIF(INDIRECT(Equipo!$G$4&amp;"!B10:B1000"),$B108,INDIRECT(Equipo!$G$4&amp;"!"&amp;ADDRESS(10,COLUMN(G$9)-1)&amp;":"&amp;ADDRESS(1000,COLUMN(G$9)-1)))))</f>
        <v>-</v>
      </c>
      <c r="H108" s="19" t="str">
        <f t="array" ref="H108">IF(ISBLANK(Tareas!$B104),"-",SUM(
SUMIF(INDIRECT(Equipo!$C$4&amp;"!B10:B1000"),$B108,INDIRECT(Equipo!$C$4&amp;"!"&amp;ADDRESS(10,COLUMN(H$9)-1)&amp;":"&amp;ADDRESS(1000,COLUMN(H$9)-1))),
SUMIF(INDIRECT(Equipo!$D$4&amp;"!B10:B1000"),$B108,INDIRECT(Equipo!$D$4&amp;"!"&amp;ADDRESS(10,COLUMN(H$9)-1)&amp;":"&amp;ADDRESS(1000,COLUMN(H$9)-1))),
SUMIF(INDIRECT(Equipo!$E$4&amp;"!B10:B1000"),$B108,INDIRECT(Equipo!$E$4&amp;"!"&amp;ADDRESS(10,COLUMN(H$9)-1)&amp;":"&amp;ADDRESS(1000,COLUMN(H$9)-1))),
SUMIF(INDIRECT(Equipo!$F$4&amp;"!B10:B1000"),$B108,INDIRECT(Equipo!$F$4&amp;"!"&amp;ADDRESS(10,COLUMN(H$9)-1)&amp;":"&amp;ADDRESS(1000,COLUMN(H$9)-1))),
SUMIF(INDIRECT(Equipo!$G$4&amp;"!B10:B1000"),$B108,INDIRECT(Equipo!$G$4&amp;"!"&amp;ADDRESS(10,COLUMN(H$9)-1)&amp;":"&amp;ADDRESS(1000,COLUMN(H$9)-1)))))</f>
        <v>-</v>
      </c>
      <c r="I108" s="19" t="str">
        <f t="array" ref="I108">IF(ISBLANK(Tareas!$B104),"-",SUM(
SUMIF(INDIRECT(Equipo!$C$4&amp;"!B10:B1000"),$B108,INDIRECT(Equipo!$C$4&amp;"!"&amp;ADDRESS(10,COLUMN(I$9)-1)&amp;":"&amp;ADDRESS(1000,COLUMN(I$9)-1))),
SUMIF(INDIRECT(Equipo!$D$4&amp;"!B10:B1000"),$B108,INDIRECT(Equipo!$D$4&amp;"!"&amp;ADDRESS(10,COLUMN(I$9)-1)&amp;":"&amp;ADDRESS(1000,COLUMN(I$9)-1))),
SUMIF(INDIRECT(Equipo!$E$4&amp;"!B10:B1000"),$B108,INDIRECT(Equipo!$E$4&amp;"!"&amp;ADDRESS(10,COLUMN(I$9)-1)&amp;":"&amp;ADDRESS(1000,COLUMN(I$9)-1))),
SUMIF(INDIRECT(Equipo!$F$4&amp;"!B10:B1000"),$B108,INDIRECT(Equipo!$F$4&amp;"!"&amp;ADDRESS(10,COLUMN(I$9)-1)&amp;":"&amp;ADDRESS(1000,COLUMN(I$9)-1))),
SUMIF(INDIRECT(Equipo!$G$4&amp;"!B10:B1000"),$B108,INDIRECT(Equipo!$G$4&amp;"!"&amp;ADDRESS(10,COLUMN(I$9)-1)&amp;":"&amp;ADDRESS(1000,COLUMN(I$9)-1)))))</f>
        <v>-</v>
      </c>
      <c r="J108" s="19" t="str">
        <f t="array" ref="J108">IF(ISBLANK(Tareas!$B104),"-",SUM(
SUMIF(INDIRECT(Equipo!$C$4&amp;"!B10:B1000"),$B108,INDIRECT(Equipo!$C$4&amp;"!"&amp;ADDRESS(10,COLUMN(J$9)-1)&amp;":"&amp;ADDRESS(1000,COLUMN(J$9)-1))),
SUMIF(INDIRECT(Equipo!$D$4&amp;"!B10:B1000"),$B108,INDIRECT(Equipo!$D$4&amp;"!"&amp;ADDRESS(10,COLUMN(J$9)-1)&amp;":"&amp;ADDRESS(1000,COLUMN(J$9)-1))),
SUMIF(INDIRECT(Equipo!$E$4&amp;"!B10:B1000"),$B108,INDIRECT(Equipo!$E$4&amp;"!"&amp;ADDRESS(10,COLUMN(J$9)-1)&amp;":"&amp;ADDRESS(1000,COLUMN(J$9)-1))),
SUMIF(INDIRECT(Equipo!$F$4&amp;"!B10:B1000"),$B108,INDIRECT(Equipo!$F$4&amp;"!"&amp;ADDRESS(10,COLUMN(J$9)-1)&amp;":"&amp;ADDRESS(1000,COLUMN(J$9)-1))),
SUMIF(INDIRECT(Equipo!$G$4&amp;"!B10:B1000"),$B108,INDIRECT(Equipo!$G$4&amp;"!"&amp;ADDRESS(10,COLUMN(J$9)-1)&amp;":"&amp;ADDRESS(1000,COLUMN(J$9)-1)))))</f>
        <v>-</v>
      </c>
      <c r="K108" s="19" t="str">
        <f t="array" ref="K108">IF(ISBLANK(Tareas!$B104),"-",SUM(
SUMIF(INDIRECT(Equipo!$C$4&amp;"!B10:B1000"),$B108,INDIRECT(Equipo!$C$4&amp;"!"&amp;ADDRESS(10,COLUMN(K$9)-1)&amp;":"&amp;ADDRESS(1000,COLUMN(K$9)-1))),
SUMIF(INDIRECT(Equipo!$D$4&amp;"!B10:B1000"),$B108,INDIRECT(Equipo!$D$4&amp;"!"&amp;ADDRESS(10,COLUMN(K$9)-1)&amp;":"&amp;ADDRESS(1000,COLUMN(K$9)-1))),
SUMIF(INDIRECT(Equipo!$E$4&amp;"!B10:B1000"),$B108,INDIRECT(Equipo!$E$4&amp;"!"&amp;ADDRESS(10,COLUMN(K$9)-1)&amp;":"&amp;ADDRESS(1000,COLUMN(K$9)-1))),
SUMIF(INDIRECT(Equipo!$F$4&amp;"!B10:B1000"),$B108,INDIRECT(Equipo!$F$4&amp;"!"&amp;ADDRESS(10,COLUMN(K$9)-1)&amp;":"&amp;ADDRESS(1000,COLUMN(K$9)-1))),
SUMIF(INDIRECT(Equipo!$G$4&amp;"!B10:B1000"),$B108,INDIRECT(Equipo!$G$4&amp;"!"&amp;ADDRESS(10,COLUMN(K$9)-1)&amp;":"&amp;ADDRESS(1000,COLUMN(K$9)-1)))))</f>
        <v>-</v>
      </c>
    </row>
    <row r="109" ht="15.75" customHeight="1">
      <c r="B109" s="1" t="str">
        <f>IF(ISBLANK(Tareas!B105)," - ",Tareas!B105)</f>
        <v> - </v>
      </c>
      <c r="D109" s="19" t="str">
        <f t="array" ref="D109">IF(ISBLANK(Tareas!$B105),"-",SUM(
SUMIF(INDIRECT(Equipo!$C$4&amp;"!B10:B1000"),$B109,INDIRECT(Equipo!$C$4&amp;"!"&amp;ADDRESS(10,COLUMN(D$9)-1)&amp;":"&amp;ADDRESS(1000,COLUMN(D$9)-1))),
SUMIF(INDIRECT(Equipo!$D$4&amp;"!B10:B1000"),$B109,INDIRECT(Equipo!$D$4&amp;"!"&amp;ADDRESS(10,COLUMN(D$9)-1)&amp;":"&amp;ADDRESS(1000,COLUMN(D$9)-1))),
SUMIF(INDIRECT(Equipo!$E$4&amp;"!B10:B1000"),$B109,INDIRECT(Equipo!$E$4&amp;"!"&amp;ADDRESS(10,COLUMN(D$9)-1)&amp;":"&amp;ADDRESS(1000,COLUMN(D$9)-1))),
SUMIF(INDIRECT(Equipo!$F$4&amp;"!B10:B1000"),$B109,INDIRECT(Equipo!$F$4&amp;"!"&amp;ADDRESS(10,COLUMN(D$9)-1)&amp;":"&amp;ADDRESS(1000,COLUMN(D$9)-1))),
SUMIF(INDIRECT(Equipo!$G$4&amp;"!B10:B1000"),$B109,INDIRECT(Equipo!$G$4&amp;"!"&amp;ADDRESS(10,COLUMN(D$9)-1)&amp;":"&amp;ADDRESS(1000,COLUMN(D$9)-1)))))</f>
        <v>-</v>
      </c>
      <c r="E109" s="19" t="str">
        <f t="array" ref="E109">IF(ISBLANK(Tareas!$B105),"-",SUM(
SUMIF(INDIRECT(Equipo!$C$4&amp;"!B10:B1000"),$B109,INDIRECT(Equipo!$C$4&amp;"!"&amp;ADDRESS(10,COLUMN(E$9)-1)&amp;":"&amp;ADDRESS(1000,COLUMN(E$9)-1))),
SUMIF(INDIRECT(Equipo!$D$4&amp;"!B10:B1000"),$B109,INDIRECT(Equipo!$D$4&amp;"!"&amp;ADDRESS(10,COLUMN(E$9)-1)&amp;":"&amp;ADDRESS(1000,COLUMN(E$9)-1))),
SUMIF(INDIRECT(Equipo!$E$4&amp;"!B10:B1000"),$B109,INDIRECT(Equipo!$E$4&amp;"!"&amp;ADDRESS(10,COLUMN(E$9)-1)&amp;":"&amp;ADDRESS(1000,COLUMN(E$9)-1))),
SUMIF(INDIRECT(Equipo!$F$4&amp;"!B10:B1000"),$B109,INDIRECT(Equipo!$F$4&amp;"!"&amp;ADDRESS(10,COLUMN(E$9)-1)&amp;":"&amp;ADDRESS(1000,COLUMN(E$9)-1))),
SUMIF(INDIRECT(Equipo!$G$4&amp;"!B10:B1000"),$B109,INDIRECT(Equipo!$G$4&amp;"!"&amp;ADDRESS(10,COLUMN(E$9)-1)&amp;":"&amp;ADDRESS(1000,COLUMN(E$9)-1)))))</f>
        <v>-</v>
      </c>
      <c r="F109" s="19" t="str">
        <f t="array" ref="F109">IF(ISBLANK(Tareas!$B105),"-",SUM(
SUMIF(INDIRECT(Equipo!$C$4&amp;"!B10:B1000"),$B109,INDIRECT(Equipo!$C$4&amp;"!"&amp;ADDRESS(10,COLUMN(F$9)-1)&amp;":"&amp;ADDRESS(1000,COLUMN(F$9)-1))),
SUMIF(INDIRECT(Equipo!$D$4&amp;"!B10:B1000"),$B109,INDIRECT(Equipo!$D$4&amp;"!"&amp;ADDRESS(10,COLUMN(F$9)-1)&amp;":"&amp;ADDRESS(1000,COLUMN(F$9)-1))),
SUMIF(INDIRECT(Equipo!$E$4&amp;"!B10:B1000"),$B109,INDIRECT(Equipo!$E$4&amp;"!"&amp;ADDRESS(10,COLUMN(F$9)-1)&amp;":"&amp;ADDRESS(1000,COLUMN(F$9)-1))),
SUMIF(INDIRECT(Equipo!$F$4&amp;"!B10:B1000"),$B109,INDIRECT(Equipo!$F$4&amp;"!"&amp;ADDRESS(10,COLUMN(F$9)-1)&amp;":"&amp;ADDRESS(1000,COLUMN(F$9)-1))),
SUMIF(INDIRECT(Equipo!$G$4&amp;"!B10:B1000"),$B109,INDIRECT(Equipo!$G$4&amp;"!"&amp;ADDRESS(10,COLUMN(F$9)-1)&amp;":"&amp;ADDRESS(1000,COLUMN(F$9)-1)))))</f>
        <v>-</v>
      </c>
      <c r="G109" s="19" t="str">
        <f t="array" ref="G109">IF(ISBLANK(Tareas!$B105),"-",SUM(
SUMIF(INDIRECT(Equipo!$C$4&amp;"!B10:B1000"),$B109,INDIRECT(Equipo!$C$4&amp;"!"&amp;ADDRESS(10,COLUMN(G$9)-1)&amp;":"&amp;ADDRESS(1000,COLUMN(G$9)-1))),
SUMIF(INDIRECT(Equipo!$D$4&amp;"!B10:B1000"),$B109,INDIRECT(Equipo!$D$4&amp;"!"&amp;ADDRESS(10,COLUMN(G$9)-1)&amp;":"&amp;ADDRESS(1000,COLUMN(G$9)-1))),
SUMIF(INDIRECT(Equipo!$E$4&amp;"!B10:B1000"),$B109,INDIRECT(Equipo!$E$4&amp;"!"&amp;ADDRESS(10,COLUMN(G$9)-1)&amp;":"&amp;ADDRESS(1000,COLUMN(G$9)-1))),
SUMIF(INDIRECT(Equipo!$F$4&amp;"!B10:B1000"),$B109,INDIRECT(Equipo!$F$4&amp;"!"&amp;ADDRESS(10,COLUMN(G$9)-1)&amp;":"&amp;ADDRESS(1000,COLUMN(G$9)-1))),
SUMIF(INDIRECT(Equipo!$G$4&amp;"!B10:B1000"),$B109,INDIRECT(Equipo!$G$4&amp;"!"&amp;ADDRESS(10,COLUMN(G$9)-1)&amp;":"&amp;ADDRESS(1000,COLUMN(G$9)-1)))))</f>
        <v>-</v>
      </c>
      <c r="H109" s="19" t="str">
        <f t="array" ref="H109">IF(ISBLANK(Tareas!$B105),"-",SUM(
SUMIF(INDIRECT(Equipo!$C$4&amp;"!B10:B1000"),$B109,INDIRECT(Equipo!$C$4&amp;"!"&amp;ADDRESS(10,COLUMN(H$9)-1)&amp;":"&amp;ADDRESS(1000,COLUMN(H$9)-1))),
SUMIF(INDIRECT(Equipo!$D$4&amp;"!B10:B1000"),$B109,INDIRECT(Equipo!$D$4&amp;"!"&amp;ADDRESS(10,COLUMN(H$9)-1)&amp;":"&amp;ADDRESS(1000,COLUMN(H$9)-1))),
SUMIF(INDIRECT(Equipo!$E$4&amp;"!B10:B1000"),$B109,INDIRECT(Equipo!$E$4&amp;"!"&amp;ADDRESS(10,COLUMN(H$9)-1)&amp;":"&amp;ADDRESS(1000,COLUMN(H$9)-1))),
SUMIF(INDIRECT(Equipo!$F$4&amp;"!B10:B1000"),$B109,INDIRECT(Equipo!$F$4&amp;"!"&amp;ADDRESS(10,COLUMN(H$9)-1)&amp;":"&amp;ADDRESS(1000,COLUMN(H$9)-1))),
SUMIF(INDIRECT(Equipo!$G$4&amp;"!B10:B1000"),$B109,INDIRECT(Equipo!$G$4&amp;"!"&amp;ADDRESS(10,COLUMN(H$9)-1)&amp;":"&amp;ADDRESS(1000,COLUMN(H$9)-1)))))</f>
        <v>-</v>
      </c>
      <c r="I109" s="19" t="str">
        <f t="array" ref="I109">IF(ISBLANK(Tareas!$B105),"-",SUM(
SUMIF(INDIRECT(Equipo!$C$4&amp;"!B10:B1000"),$B109,INDIRECT(Equipo!$C$4&amp;"!"&amp;ADDRESS(10,COLUMN(I$9)-1)&amp;":"&amp;ADDRESS(1000,COLUMN(I$9)-1))),
SUMIF(INDIRECT(Equipo!$D$4&amp;"!B10:B1000"),$B109,INDIRECT(Equipo!$D$4&amp;"!"&amp;ADDRESS(10,COLUMN(I$9)-1)&amp;":"&amp;ADDRESS(1000,COLUMN(I$9)-1))),
SUMIF(INDIRECT(Equipo!$E$4&amp;"!B10:B1000"),$B109,INDIRECT(Equipo!$E$4&amp;"!"&amp;ADDRESS(10,COLUMN(I$9)-1)&amp;":"&amp;ADDRESS(1000,COLUMN(I$9)-1))),
SUMIF(INDIRECT(Equipo!$F$4&amp;"!B10:B1000"),$B109,INDIRECT(Equipo!$F$4&amp;"!"&amp;ADDRESS(10,COLUMN(I$9)-1)&amp;":"&amp;ADDRESS(1000,COLUMN(I$9)-1))),
SUMIF(INDIRECT(Equipo!$G$4&amp;"!B10:B1000"),$B109,INDIRECT(Equipo!$G$4&amp;"!"&amp;ADDRESS(10,COLUMN(I$9)-1)&amp;":"&amp;ADDRESS(1000,COLUMN(I$9)-1)))))</f>
        <v>-</v>
      </c>
      <c r="J109" s="19" t="str">
        <f t="array" ref="J109">IF(ISBLANK(Tareas!$B105),"-",SUM(
SUMIF(INDIRECT(Equipo!$C$4&amp;"!B10:B1000"),$B109,INDIRECT(Equipo!$C$4&amp;"!"&amp;ADDRESS(10,COLUMN(J$9)-1)&amp;":"&amp;ADDRESS(1000,COLUMN(J$9)-1))),
SUMIF(INDIRECT(Equipo!$D$4&amp;"!B10:B1000"),$B109,INDIRECT(Equipo!$D$4&amp;"!"&amp;ADDRESS(10,COLUMN(J$9)-1)&amp;":"&amp;ADDRESS(1000,COLUMN(J$9)-1))),
SUMIF(INDIRECT(Equipo!$E$4&amp;"!B10:B1000"),$B109,INDIRECT(Equipo!$E$4&amp;"!"&amp;ADDRESS(10,COLUMN(J$9)-1)&amp;":"&amp;ADDRESS(1000,COLUMN(J$9)-1))),
SUMIF(INDIRECT(Equipo!$F$4&amp;"!B10:B1000"),$B109,INDIRECT(Equipo!$F$4&amp;"!"&amp;ADDRESS(10,COLUMN(J$9)-1)&amp;":"&amp;ADDRESS(1000,COLUMN(J$9)-1))),
SUMIF(INDIRECT(Equipo!$G$4&amp;"!B10:B1000"),$B109,INDIRECT(Equipo!$G$4&amp;"!"&amp;ADDRESS(10,COLUMN(J$9)-1)&amp;":"&amp;ADDRESS(1000,COLUMN(J$9)-1)))))</f>
        <v>-</v>
      </c>
      <c r="K109" s="19" t="str">
        <f t="array" ref="K109">IF(ISBLANK(Tareas!$B105),"-",SUM(
SUMIF(INDIRECT(Equipo!$C$4&amp;"!B10:B1000"),$B109,INDIRECT(Equipo!$C$4&amp;"!"&amp;ADDRESS(10,COLUMN(K$9)-1)&amp;":"&amp;ADDRESS(1000,COLUMN(K$9)-1))),
SUMIF(INDIRECT(Equipo!$D$4&amp;"!B10:B1000"),$B109,INDIRECT(Equipo!$D$4&amp;"!"&amp;ADDRESS(10,COLUMN(K$9)-1)&amp;":"&amp;ADDRESS(1000,COLUMN(K$9)-1))),
SUMIF(INDIRECT(Equipo!$E$4&amp;"!B10:B1000"),$B109,INDIRECT(Equipo!$E$4&amp;"!"&amp;ADDRESS(10,COLUMN(K$9)-1)&amp;":"&amp;ADDRESS(1000,COLUMN(K$9)-1))),
SUMIF(INDIRECT(Equipo!$F$4&amp;"!B10:B1000"),$B109,INDIRECT(Equipo!$F$4&amp;"!"&amp;ADDRESS(10,COLUMN(K$9)-1)&amp;":"&amp;ADDRESS(1000,COLUMN(K$9)-1))),
SUMIF(INDIRECT(Equipo!$G$4&amp;"!B10:B1000"),$B109,INDIRECT(Equipo!$G$4&amp;"!"&amp;ADDRESS(10,COLUMN(K$9)-1)&amp;":"&amp;ADDRESS(1000,COLUMN(K$9)-1)))))</f>
        <v>-</v>
      </c>
    </row>
    <row r="110" ht="15.75" customHeight="1">
      <c r="B110" s="1" t="str">
        <f>IF(ISBLANK(Tareas!B106)," - ",Tareas!B106)</f>
        <v> - </v>
      </c>
      <c r="D110" s="19" t="str">
        <f t="array" ref="D110">IF(ISBLANK(Tareas!$B106),"-",SUM(
SUMIF(INDIRECT(Equipo!$C$4&amp;"!B10:B1000"),$B110,INDIRECT(Equipo!$C$4&amp;"!"&amp;ADDRESS(10,COLUMN(D$9)-1)&amp;":"&amp;ADDRESS(1000,COLUMN(D$9)-1))),
SUMIF(INDIRECT(Equipo!$D$4&amp;"!B10:B1000"),$B110,INDIRECT(Equipo!$D$4&amp;"!"&amp;ADDRESS(10,COLUMN(D$9)-1)&amp;":"&amp;ADDRESS(1000,COLUMN(D$9)-1))),
SUMIF(INDIRECT(Equipo!$E$4&amp;"!B10:B1000"),$B110,INDIRECT(Equipo!$E$4&amp;"!"&amp;ADDRESS(10,COLUMN(D$9)-1)&amp;":"&amp;ADDRESS(1000,COLUMN(D$9)-1))),
SUMIF(INDIRECT(Equipo!$F$4&amp;"!B10:B1000"),$B110,INDIRECT(Equipo!$F$4&amp;"!"&amp;ADDRESS(10,COLUMN(D$9)-1)&amp;":"&amp;ADDRESS(1000,COLUMN(D$9)-1))),
SUMIF(INDIRECT(Equipo!$G$4&amp;"!B10:B1000"),$B110,INDIRECT(Equipo!$G$4&amp;"!"&amp;ADDRESS(10,COLUMN(D$9)-1)&amp;":"&amp;ADDRESS(1000,COLUMN(D$9)-1)))))</f>
        <v>-</v>
      </c>
      <c r="E110" s="19" t="str">
        <f t="array" ref="E110">IF(ISBLANK(Tareas!$B106),"-",SUM(
SUMIF(INDIRECT(Equipo!$C$4&amp;"!B10:B1000"),$B110,INDIRECT(Equipo!$C$4&amp;"!"&amp;ADDRESS(10,COLUMN(E$9)-1)&amp;":"&amp;ADDRESS(1000,COLUMN(E$9)-1))),
SUMIF(INDIRECT(Equipo!$D$4&amp;"!B10:B1000"),$B110,INDIRECT(Equipo!$D$4&amp;"!"&amp;ADDRESS(10,COLUMN(E$9)-1)&amp;":"&amp;ADDRESS(1000,COLUMN(E$9)-1))),
SUMIF(INDIRECT(Equipo!$E$4&amp;"!B10:B1000"),$B110,INDIRECT(Equipo!$E$4&amp;"!"&amp;ADDRESS(10,COLUMN(E$9)-1)&amp;":"&amp;ADDRESS(1000,COLUMN(E$9)-1))),
SUMIF(INDIRECT(Equipo!$F$4&amp;"!B10:B1000"),$B110,INDIRECT(Equipo!$F$4&amp;"!"&amp;ADDRESS(10,COLUMN(E$9)-1)&amp;":"&amp;ADDRESS(1000,COLUMN(E$9)-1))),
SUMIF(INDIRECT(Equipo!$G$4&amp;"!B10:B1000"),$B110,INDIRECT(Equipo!$G$4&amp;"!"&amp;ADDRESS(10,COLUMN(E$9)-1)&amp;":"&amp;ADDRESS(1000,COLUMN(E$9)-1)))))</f>
        <v>-</v>
      </c>
      <c r="F110" s="19" t="str">
        <f t="array" ref="F110">IF(ISBLANK(Tareas!$B106),"-",SUM(
SUMIF(INDIRECT(Equipo!$C$4&amp;"!B10:B1000"),$B110,INDIRECT(Equipo!$C$4&amp;"!"&amp;ADDRESS(10,COLUMN(F$9)-1)&amp;":"&amp;ADDRESS(1000,COLUMN(F$9)-1))),
SUMIF(INDIRECT(Equipo!$D$4&amp;"!B10:B1000"),$B110,INDIRECT(Equipo!$D$4&amp;"!"&amp;ADDRESS(10,COLUMN(F$9)-1)&amp;":"&amp;ADDRESS(1000,COLUMN(F$9)-1))),
SUMIF(INDIRECT(Equipo!$E$4&amp;"!B10:B1000"),$B110,INDIRECT(Equipo!$E$4&amp;"!"&amp;ADDRESS(10,COLUMN(F$9)-1)&amp;":"&amp;ADDRESS(1000,COLUMN(F$9)-1))),
SUMIF(INDIRECT(Equipo!$F$4&amp;"!B10:B1000"),$B110,INDIRECT(Equipo!$F$4&amp;"!"&amp;ADDRESS(10,COLUMN(F$9)-1)&amp;":"&amp;ADDRESS(1000,COLUMN(F$9)-1))),
SUMIF(INDIRECT(Equipo!$G$4&amp;"!B10:B1000"),$B110,INDIRECT(Equipo!$G$4&amp;"!"&amp;ADDRESS(10,COLUMN(F$9)-1)&amp;":"&amp;ADDRESS(1000,COLUMN(F$9)-1)))))</f>
        <v>-</v>
      </c>
      <c r="G110" s="19" t="str">
        <f t="array" ref="G110">IF(ISBLANK(Tareas!$B106),"-",SUM(
SUMIF(INDIRECT(Equipo!$C$4&amp;"!B10:B1000"),$B110,INDIRECT(Equipo!$C$4&amp;"!"&amp;ADDRESS(10,COLUMN(G$9)-1)&amp;":"&amp;ADDRESS(1000,COLUMN(G$9)-1))),
SUMIF(INDIRECT(Equipo!$D$4&amp;"!B10:B1000"),$B110,INDIRECT(Equipo!$D$4&amp;"!"&amp;ADDRESS(10,COLUMN(G$9)-1)&amp;":"&amp;ADDRESS(1000,COLUMN(G$9)-1))),
SUMIF(INDIRECT(Equipo!$E$4&amp;"!B10:B1000"),$B110,INDIRECT(Equipo!$E$4&amp;"!"&amp;ADDRESS(10,COLUMN(G$9)-1)&amp;":"&amp;ADDRESS(1000,COLUMN(G$9)-1))),
SUMIF(INDIRECT(Equipo!$F$4&amp;"!B10:B1000"),$B110,INDIRECT(Equipo!$F$4&amp;"!"&amp;ADDRESS(10,COLUMN(G$9)-1)&amp;":"&amp;ADDRESS(1000,COLUMN(G$9)-1))),
SUMIF(INDIRECT(Equipo!$G$4&amp;"!B10:B1000"),$B110,INDIRECT(Equipo!$G$4&amp;"!"&amp;ADDRESS(10,COLUMN(G$9)-1)&amp;":"&amp;ADDRESS(1000,COLUMN(G$9)-1)))))</f>
        <v>-</v>
      </c>
      <c r="H110" s="19" t="str">
        <f t="array" ref="H110">IF(ISBLANK(Tareas!$B106),"-",SUM(
SUMIF(INDIRECT(Equipo!$C$4&amp;"!B10:B1000"),$B110,INDIRECT(Equipo!$C$4&amp;"!"&amp;ADDRESS(10,COLUMN(H$9)-1)&amp;":"&amp;ADDRESS(1000,COLUMN(H$9)-1))),
SUMIF(INDIRECT(Equipo!$D$4&amp;"!B10:B1000"),$B110,INDIRECT(Equipo!$D$4&amp;"!"&amp;ADDRESS(10,COLUMN(H$9)-1)&amp;":"&amp;ADDRESS(1000,COLUMN(H$9)-1))),
SUMIF(INDIRECT(Equipo!$E$4&amp;"!B10:B1000"),$B110,INDIRECT(Equipo!$E$4&amp;"!"&amp;ADDRESS(10,COLUMN(H$9)-1)&amp;":"&amp;ADDRESS(1000,COLUMN(H$9)-1))),
SUMIF(INDIRECT(Equipo!$F$4&amp;"!B10:B1000"),$B110,INDIRECT(Equipo!$F$4&amp;"!"&amp;ADDRESS(10,COLUMN(H$9)-1)&amp;":"&amp;ADDRESS(1000,COLUMN(H$9)-1))),
SUMIF(INDIRECT(Equipo!$G$4&amp;"!B10:B1000"),$B110,INDIRECT(Equipo!$G$4&amp;"!"&amp;ADDRESS(10,COLUMN(H$9)-1)&amp;":"&amp;ADDRESS(1000,COLUMN(H$9)-1)))))</f>
        <v>-</v>
      </c>
      <c r="I110" s="19" t="str">
        <f t="array" ref="I110">IF(ISBLANK(Tareas!$B106),"-",SUM(
SUMIF(INDIRECT(Equipo!$C$4&amp;"!B10:B1000"),$B110,INDIRECT(Equipo!$C$4&amp;"!"&amp;ADDRESS(10,COLUMN(I$9)-1)&amp;":"&amp;ADDRESS(1000,COLUMN(I$9)-1))),
SUMIF(INDIRECT(Equipo!$D$4&amp;"!B10:B1000"),$B110,INDIRECT(Equipo!$D$4&amp;"!"&amp;ADDRESS(10,COLUMN(I$9)-1)&amp;":"&amp;ADDRESS(1000,COLUMN(I$9)-1))),
SUMIF(INDIRECT(Equipo!$E$4&amp;"!B10:B1000"),$B110,INDIRECT(Equipo!$E$4&amp;"!"&amp;ADDRESS(10,COLUMN(I$9)-1)&amp;":"&amp;ADDRESS(1000,COLUMN(I$9)-1))),
SUMIF(INDIRECT(Equipo!$F$4&amp;"!B10:B1000"),$B110,INDIRECT(Equipo!$F$4&amp;"!"&amp;ADDRESS(10,COLUMN(I$9)-1)&amp;":"&amp;ADDRESS(1000,COLUMN(I$9)-1))),
SUMIF(INDIRECT(Equipo!$G$4&amp;"!B10:B1000"),$B110,INDIRECT(Equipo!$G$4&amp;"!"&amp;ADDRESS(10,COLUMN(I$9)-1)&amp;":"&amp;ADDRESS(1000,COLUMN(I$9)-1)))))</f>
        <v>-</v>
      </c>
      <c r="J110" s="19" t="str">
        <f t="array" ref="J110">IF(ISBLANK(Tareas!$B106),"-",SUM(
SUMIF(INDIRECT(Equipo!$C$4&amp;"!B10:B1000"),$B110,INDIRECT(Equipo!$C$4&amp;"!"&amp;ADDRESS(10,COLUMN(J$9)-1)&amp;":"&amp;ADDRESS(1000,COLUMN(J$9)-1))),
SUMIF(INDIRECT(Equipo!$D$4&amp;"!B10:B1000"),$B110,INDIRECT(Equipo!$D$4&amp;"!"&amp;ADDRESS(10,COLUMN(J$9)-1)&amp;":"&amp;ADDRESS(1000,COLUMN(J$9)-1))),
SUMIF(INDIRECT(Equipo!$E$4&amp;"!B10:B1000"),$B110,INDIRECT(Equipo!$E$4&amp;"!"&amp;ADDRESS(10,COLUMN(J$9)-1)&amp;":"&amp;ADDRESS(1000,COLUMN(J$9)-1))),
SUMIF(INDIRECT(Equipo!$F$4&amp;"!B10:B1000"),$B110,INDIRECT(Equipo!$F$4&amp;"!"&amp;ADDRESS(10,COLUMN(J$9)-1)&amp;":"&amp;ADDRESS(1000,COLUMN(J$9)-1))),
SUMIF(INDIRECT(Equipo!$G$4&amp;"!B10:B1000"),$B110,INDIRECT(Equipo!$G$4&amp;"!"&amp;ADDRESS(10,COLUMN(J$9)-1)&amp;":"&amp;ADDRESS(1000,COLUMN(J$9)-1)))))</f>
        <v>-</v>
      </c>
      <c r="K110" s="19" t="str">
        <f t="array" ref="K110">IF(ISBLANK(Tareas!$B106),"-",SUM(
SUMIF(INDIRECT(Equipo!$C$4&amp;"!B10:B1000"),$B110,INDIRECT(Equipo!$C$4&amp;"!"&amp;ADDRESS(10,COLUMN(K$9)-1)&amp;":"&amp;ADDRESS(1000,COLUMN(K$9)-1))),
SUMIF(INDIRECT(Equipo!$D$4&amp;"!B10:B1000"),$B110,INDIRECT(Equipo!$D$4&amp;"!"&amp;ADDRESS(10,COLUMN(K$9)-1)&amp;":"&amp;ADDRESS(1000,COLUMN(K$9)-1))),
SUMIF(INDIRECT(Equipo!$E$4&amp;"!B10:B1000"),$B110,INDIRECT(Equipo!$E$4&amp;"!"&amp;ADDRESS(10,COLUMN(K$9)-1)&amp;":"&amp;ADDRESS(1000,COLUMN(K$9)-1))),
SUMIF(INDIRECT(Equipo!$F$4&amp;"!B10:B1000"),$B110,INDIRECT(Equipo!$F$4&amp;"!"&amp;ADDRESS(10,COLUMN(K$9)-1)&amp;":"&amp;ADDRESS(1000,COLUMN(K$9)-1))),
SUMIF(INDIRECT(Equipo!$G$4&amp;"!B10:B1000"),$B110,INDIRECT(Equipo!$G$4&amp;"!"&amp;ADDRESS(10,COLUMN(K$9)-1)&amp;":"&amp;ADDRESS(1000,COLUMN(K$9)-1)))))</f>
        <v>-</v>
      </c>
    </row>
    <row r="111" ht="15.75" customHeight="1">
      <c r="B111" s="1" t="str">
        <f>IF(ISBLANK(Tareas!B107)," - ",Tareas!B107)</f>
        <v> - </v>
      </c>
      <c r="D111" s="19" t="str">
        <f t="array" ref="D111">IF(ISBLANK(Tareas!$B107),"-",SUM(
SUMIF(INDIRECT(Equipo!$C$4&amp;"!B10:B1000"),$B111,INDIRECT(Equipo!$C$4&amp;"!"&amp;ADDRESS(10,COLUMN(D$9)-1)&amp;":"&amp;ADDRESS(1000,COLUMN(D$9)-1))),
SUMIF(INDIRECT(Equipo!$D$4&amp;"!B10:B1000"),$B111,INDIRECT(Equipo!$D$4&amp;"!"&amp;ADDRESS(10,COLUMN(D$9)-1)&amp;":"&amp;ADDRESS(1000,COLUMN(D$9)-1))),
SUMIF(INDIRECT(Equipo!$E$4&amp;"!B10:B1000"),$B111,INDIRECT(Equipo!$E$4&amp;"!"&amp;ADDRESS(10,COLUMN(D$9)-1)&amp;":"&amp;ADDRESS(1000,COLUMN(D$9)-1))),
SUMIF(INDIRECT(Equipo!$F$4&amp;"!B10:B1000"),$B111,INDIRECT(Equipo!$F$4&amp;"!"&amp;ADDRESS(10,COLUMN(D$9)-1)&amp;":"&amp;ADDRESS(1000,COLUMN(D$9)-1))),
SUMIF(INDIRECT(Equipo!$G$4&amp;"!B10:B1000"),$B111,INDIRECT(Equipo!$G$4&amp;"!"&amp;ADDRESS(10,COLUMN(D$9)-1)&amp;":"&amp;ADDRESS(1000,COLUMN(D$9)-1)))))</f>
        <v>-</v>
      </c>
      <c r="E111" s="19" t="str">
        <f t="array" ref="E111">IF(ISBLANK(Tareas!$B107),"-",SUM(
SUMIF(INDIRECT(Equipo!$C$4&amp;"!B10:B1000"),$B111,INDIRECT(Equipo!$C$4&amp;"!"&amp;ADDRESS(10,COLUMN(E$9)-1)&amp;":"&amp;ADDRESS(1000,COLUMN(E$9)-1))),
SUMIF(INDIRECT(Equipo!$D$4&amp;"!B10:B1000"),$B111,INDIRECT(Equipo!$D$4&amp;"!"&amp;ADDRESS(10,COLUMN(E$9)-1)&amp;":"&amp;ADDRESS(1000,COLUMN(E$9)-1))),
SUMIF(INDIRECT(Equipo!$E$4&amp;"!B10:B1000"),$B111,INDIRECT(Equipo!$E$4&amp;"!"&amp;ADDRESS(10,COLUMN(E$9)-1)&amp;":"&amp;ADDRESS(1000,COLUMN(E$9)-1))),
SUMIF(INDIRECT(Equipo!$F$4&amp;"!B10:B1000"),$B111,INDIRECT(Equipo!$F$4&amp;"!"&amp;ADDRESS(10,COLUMN(E$9)-1)&amp;":"&amp;ADDRESS(1000,COLUMN(E$9)-1))),
SUMIF(INDIRECT(Equipo!$G$4&amp;"!B10:B1000"),$B111,INDIRECT(Equipo!$G$4&amp;"!"&amp;ADDRESS(10,COLUMN(E$9)-1)&amp;":"&amp;ADDRESS(1000,COLUMN(E$9)-1)))))</f>
        <v>-</v>
      </c>
      <c r="F111" s="19" t="str">
        <f t="array" ref="F111">IF(ISBLANK(Tareas!$B107),"-",SUM(
SUMIF(INDIRECT(Equipo!$C$4&amp;"!B10:B1000"),$B111,INDIRECT(Equipo!$C$4&amp;"!"&amp;ADDRESS(10,COLUMN(F$9)-1)&amp;":"&amp;ADDRESS(1000,COLUMN(F$9)-1))),
SUMIF(INDIRECT(Equipo!$D$4&amp;"!B10:B1000"),$B111,INDIRECT(Equipo!$D$4&amp;"!"&amp;ADDRESS(10,COLUMN(F$9)-1)&amp;":"&amp;ADDRESS(1000,COLUMN(F$9)-1))),
SUMIF(INDIRECT(Equipo!$E$4&amp;"!B10:B1000"),$B111,INDIRECT(Equipo!$E$4&amp;"!"&amp;ADDRESS(10,COLUMN(F$9)-1)&amp;":"&amp;ADDRESS(1000,COLUMN(F$9)-1))),
SUMIF(INDIRECT(Equipo!$F$4&amp;"!B10:B1000"),$B111,INDIRECT(Equipo!$F$4&amp;"!"&amp;ADDRESS(10,COLUMN(F$9)-1)&amp;":"&amp;ADDRESS(1000,COLUMN(F$9)-1))),
SUMIF(INDIRECT(Equipo!$G$4&amp;"!B10:B1000"),$B111,INDIRECT(Equipo!$G$4&amp;"!"&amp;ADDRESS(10,COLUMN(F$9)-1)&amp;":"&amp;ADDRESS(1000,COLUMN(F$9)-1)))))</f>
        <v>-</v>
      </c>
      <c r="G111" s="19" t="str">
        <f t="array" ref="G111">IF(ISBLANK(Tareas!$B107),"-",SUM(
SUMIF(INDIRECT(Equipo!$C$4&amp;"!B10:B1000"),$B111,INDIRECT(Equipo!$C$4&amp;"!"&amp;ADDRESS(10,COLUMN(G$9)-1)&amp;":"&amp;ADDRESS(1000,COLUMN(G$9)-1))),
SUMIF(INDIRECT(Equipo!$D$4&amp;"!B10:B1000"),$B111,INDIRECT(Equipo!$D$4&amp;"!"&amp;ADDRESS(10,COLUMN(G$9)-1)&amp;":"&amp;ADDRESS(1000,COLUMN(G$9)-1))),
SUMIF(INDIRECT(Equipo!$E$4&amp;"!B10:B1000"),$B111,INDIRECT(Equipo!$E$4&amp;"!"&amp;ADDRESS(10,COLUMN(G$9)-1)&amp;":"&amp;ADDRESS(1000,COLUMN(G$9)-1))),
SUMIF(INDIRECT(Equipo!$F$4&amp;"!B10:B1000"),$B111,INDIRECT(Equipo!$F$4&amp;"!"&amp;ADDRESS(10,COLUMN(G$9)-1)&amp;":"&amp;ADDRESS(1000,COLUMN(G$9)-1))),
SUMIF(INDIRECT(Equipo!$G$4&amp;"!B10:B1000"),$B111,INDIRECT(Equipo!$G$4&amp;"!"&amp;ADDRESS(10,COLUMN(G$9)-1)&amp;":"&amp;ADDRESS(1000,COLUMN(G$9)-1)))))</f>
        <v>-</v>
      </c>
      <c r="H111" s="19" t="str">
        <f t="array" ref="H111">IF(ISBLANK(Tareas!$B107),"-",SUM(
SUMIF(INDIRECT(Equipo!$C$4&amp;"!B10:B1000"),$B111,INDIRECT(Equipo!$C$4&amp;"!"&amp;ADDRESS(10,COLUMN(H$9)-1)&amp;":"&amp;ADDRESS(1000,COLUMN(H$9)-1))),
SUMIF(INDIRECT(Equipo!$D$4&amp;"!B10:B1000"),$B111,INDIRECT(Equipo!$D$4&amp;"!"&amp;ADDRESS(10,COLUMN(H$9)-1)&amp;":"&amp;ADDRESS(1000,COLUMN(H$9)-1))),
SUMIF(INDIRECT(Equipo!$E$4&amp;"!B10:B1000"),$B111,INDIRECT(Equipo!$E$4&amp;"!"&amp;ADDRESS(10,COLUMN(H$9)-1)&amp;":"&amp;ADDRESS(1000,COLUMN(H$9)-1))),
SUMIF(INDIRECT(Equipo!$F$4&amp;"!B10:B1000"),$B111,INDIRECT(Equipo!$F$4&amp;"!"&amp;ADDRESS(10,COLUMN(H$9)-1)&amp;":"&amp;ADDRESS(1000,COLUMN(H$9)-1))),
SUMIF(INDIRECT(Equipo!$G$4&amp;"!B10:B1000"),$B111,INDIRECT(Equipo!$G$4&amp;"!"&amp;ADDRESS(10,COLUMN(H$9)-1)&amp;":"&amp;ADDRESS(1000,COLUMN(H$9)-1)))))</f>
        <v>-</v>
      </c>
      <c r="I111" s="19" t="str">
        <f t="array" ref="I111">IF(ISBLANK(Tareas!$B107),"-",SUM(
SUMIF(INDIRECT(Equipo!$C$4&amp;"!B10:B1000"),$B111,INDIRECT(Equipo!$C$4&amp;"!"&amp;ADDRESS(10,COLUMN(I$9)-1)&amp;":"&amp;ADDRESS(1000,COLUMN(I$9)-1))),
SUMIF(INDIRECT(Equipo!$D$4&amp;"!B10:B1000"),$B111,INDIRECT(Equipo!$D$4&amp;"!"&amp;ADDRESS(10,COLUMN(I$9)-1)&amp;":"&amp;ADDRESS(1000,COLUMN(I$9)-1))),
SUMIF(INDIRECT(Equipo!$E$4&amp;"!B10:B1000"),$B111,INDIRECT(Equipo!$E$4&amp;"!"&amp;ADDRESS(10,COLUMN(I$9)-1)&amp;":"&amp;ADDRESS(1000,COLUMN(I$9)-1))),
SUMIF(INDIRECT(Equipo!$F$4&amp;"!B10:B1000"),$B111,INDIRECT(Equipo!$F$4&amp;"!"&amp;ADDRESS(10,COLUMN(I$9)-1)&amp;":"&amp;ADDRESS(1000,COLUMN(I$9)-1))),
SUMIF(INDIRECT(Equipo!$G$4&amp;"!B10:B1000"),$B111,INDIRECT(Equipo!$G$4&amp;"!"&amp;ADDRESS(10,COLUMN(I$9)-1)&amp;":"&amp;ADDRESS(1000,COLUMN(I$9)-1)))))</f>
        <v>-</v>
      </c>
      <c r="J111" s="19" t="str">
        <f t="array" ref="J111">IF(ISBLANK(Tareas!$B107),"-",SUM(
SUMIF(INDIRECT(Equipo!$C$4&amp;"!B10:B1000"),$B111,INDIRECT(Equipo!$C$4&amp;"!"&amp;ADDRESS(10,COLUMN(J$9)-1)&amp;":"&amp;ADDRESS(1000,COLUMN(J$9)-1))),
SUMIF(INDIRECT(Equipo!$D$4&amp;"!B10:B1000"),$B111,INDIRECT(Equipo!$D$4&amp;"!"&amp;ADDRESS(10,COLUMN(J$9)-1)&amp;":"&amp;ADDRESS(1000,COLUMN(J$9)-1))),
SUMIF(INDIRECT(Equipo!$E$4&amp;"!B10:B1000"),$B111,INDIRECT(Equipo!$E$4&amp;"!"&amp;ADDRESS(10,COLUMN(J$9)-1)&amp;":"&amp;ADDRESS(1000,COLUMN(J$9)-1))),
SUMIF(INDIRECT(Equipo!$F$4&amp;"!B10:B1000"),$B111,INDIRECT(Equipo!$F$4&amp;"!"&amp;ADDRESS(10,COLUMN(J$9)-1)&amp;":"&amp;ADDRESS(1000,COLUMN(J$9)-1))),
SUMIF(INDIRECT(Equipo!$G$4&amp;"!B10:B1000"),$B111,INDIRECT(Equipo!$G$4&amp;"!"&amp;ADDRESS(10,COLUMN(J$9)-1)&amp;":"&amp;ADDRESS(1000,COLUMN(J$9)-1)))))</f>
        <v>-</v>
      </c>
      <c r="K111" s="19" t="str">
        <f t="array" ref="K111">IF(ISBLANK(Tareas!$B107),"-",SUM(
SUMIF(INDIRECT(Equipo!$C$4&amp;"!B10:B1000"),$B111,INDIRECT(Equipo!$C$4&amp;"!"&amp;ADDRESS(10,COLUMN(K$9)-1)&amp;":"&amp;ADDRESS(1000,COLUMN(K$9)-1))),
SUMIF(INDIRECT(Equipo!$D$4&amp;"!B10:B1000"),$B111,INDIRECT(Equipo!$D$4&amp;"!"&amp;ADDRESS(10,COLUMN(K$9)-1)&amp;":"&amp;ADDRESS(1000,COLUMN(K$9)-1))),
SUMIF(INDIRECT(Equipo!$E$4&amp;"!B10:B1000"),$B111,INDIRECT(Equipo!$E$4&amp;"!"&amp;ADDRESS(10,COLUMN(K$9)-1)&amp;":"&amp;ADDRESS(1000,COLUMN(K$9)-1))),
SUMIF(INDIRECT(Equipo!$F$4&amp;"!B10:B1000"),$B111,INDIRECT(Equipo!$F$4&amp;"!"&amp;ADDRESS(10,COLUMN(K$9)-1)&amp;":"&amp;ADDRESS(1000,COLUMN(K$9)-1))),
SUMIF(INDIRECT(Equipo!$G$4&amp;"!B10:B1000"),$B111,INDIRECT(Equipo!$G$4&amp;"!"&amp;ADDRESS(10,COLUMN(K$9)-1)&amp;":"&amp;ADDRESS(1000,COLUMN(K$9)-1)))))</f>
        <v>-</v>
      </c>
    </row>
    <row r="112" ht="15.75" customHeight="1">
      <c r="B112" s="1" t="str">
        <f>IF(ISBLANK(Tareas!B108)," - ",Tareas!B108)</f>
        <v> - </v>
      </c>
      <c r="D112" s="19" t="str">
        <f t="array" ref="D112">IF(ISBLANK(Tareas!$B108),"-",SUM(
SUMIF(INDIRECT(Equipo!$C$4&amp;"!B10:B1000"),$B112,INDIRECT(Equipo!$C$4&amp;"!"&amp;ADDRESS(10,COLUMN(D$9)-1)&amp;":"&amp;ADDRESS(1000,COLUMN(D$9)-1))),
SUMIF(INDIRECT(Equipo!$D$4&amp;"!B10:B1000"),$B112,INDIRECT(Equipo!$D$4&amp;"!"&amp;ADDRESS(10,COLUMN(D$9)-1)&amp;":"&amp;ADDRESS(1000,COLUMN(D$9)-1))),
SUMIF(INDIRECT(Equipo!$E$4&amp;"!B10:B1000"),$B112,INDIRECT(Equipo!$E$4&amp;"!"&amp;ADDRESS(10,COLUMN(D$9)-1)&amp;":"&amp;ADDRESS(1000,COLUMN(D$9)-1))),
SUMIF(INDIRECT(Equipo!$F$4&amp;"!B10:B1000"),$B112,INDIRECT(Equipo!$F$4&amp;"!"&amp;ADDRESS(10,COLUMN(D$9)-1)&amp;":"&amp;ADDRESS(1000,COLUMN(D$9)-1))),
SUMIF(INDIRECT(Equipo!$G$4&amp;"!B10:B1000"),$B112,INDIRECT(Equipo!$G$4&amp;"!"&amp;ADDRESS(10,COLUMN(D$9)-1)&amp;":"&amp;ADDRESS(1000,COLUMN(D$9)-1)))))</f>
        <v>-</v>
      </c>
      <c r="E112" s="19" t="str">
        <f t="array" ref="E112">IF(ISBLANK(Tareas!$B108),"-",SUM(
SUMIF(INDIRECT(Equipo!$C$4&amp;"!B10:B1000"),$B112,INDIRECT(Equipo!$C$4&amp;"!"&amp;ADDRESS(10,COLUMN(E$9)-1)&amp;":"&amp;ADDRESS(1000,COLUMN(E$9)-1))),
SUMIF(INDIRECT(Equipo!$D$4&amp;"!B10:B1000"),$B112,INDIRECT(Equipo!$D$4&amp;"!"&amp;ADDRESS(10,COLUMN(E$9)-1)&amp;":"&amp;ADDRESS(1000,COLUMN(E$9)-1))),
SUMIF(INDIRECT(Equipo!$E$4&amp;"!B10:B1000"),$B112,INDIRECT(Equipo!$E$4&amp;"!"&amp;ADDRESS(10,COLUMN(E$9)-1)&amp;":"&amp;ADDRESS(1000,COLUMN(E$9)-1))),
SUMIF(INDIRECT(Equipo!$F$4&amp;"!B10:B1000"),$B112,INDIRECT(Equipo!$F$4&amp;"!"&amp;ADDRESS(10,COLUMN(E$9)-1)&amp;":"&amp;ADDRESS(1000,COLUMN(E$9)-1))),
SUMIF(INDIRECT(Equipo!$G$4&amp;"!B10:B1000"),$B112,INDIRECT(Equipo!$G$4&amp;"!"&amp;ADDRESS(10,COLUMN(E$9)-1)&amp;":"&amp;ADDRESS(1000,COLUMN(E$9)-1)))))</f>
        <v>-</v>
      </c>
      <c r="F112" s="19" t="str">
        <f t="array" ref="F112">IF(ISBLANK(Tareas!$B108),"-",SUM(
SUMIF(INDIRECT(Equipo!$C$4&amp;"!B10:B1000"),$B112,INDIRECT(Equipo!$C$4&amp;"!"&amp;ADDRESS(10,COLUMN(F$9)-1)&amp;":"&amp;ADDRESS(1000,COLUMN(F$9)-1))),
SUMIF(INDIRECT(Equipo!$D$4&amp;"!B10:B1000"),$B112,INDIRECT(Equipo!$D$4&amp;"!"&amp;ADDRESS(10,COLUMN(F$9)-1)&amp;":"&amp;ADDRESS(1000,COLUMN(F$9)-1))),
SUMIF(INDIRECT(Equipo!$E$4&amp;"!B10:B1000"),$B112,INDIRECT(Equipo!$E$4&amp;"!"&amp;ADDRESS(10,COLUMN(F$9)-1)&amp;":"&amp;ADDRESS(1000,COLUMN(F$9)-1))),
SUMIF(INDIRECT(Equipo!$F$4&amp;"!B10:B1000"),$B112,INDIRECT(Equipo!$F$4&amp;"!"&amp;ADDRESS(10,COLUMN(F$9)-1)&amp;":"&amp;ADDRESS(1000,COLUMN(F$9)-1))),
SUMIF(INDIRECT(Equipo!$G$4&amp;"!B10:B1000"),$B112,INDIRECT(Equipo!$G$4&amp;"!"&amp;ADDRESS(10,COLUMN(F$9)-1)&amp;":"&amp;ADDRESS(1000,COLUMN(F$9)-1)))))</f>
        <v>-</v>
      </c>
      <c r="G112" s="19" t="str">
        <f t="array" ref="G112">IF(ISBLANK(Tareas!$B108),"-",SUM(
SUMIF(INDIRECT(Equipo!$C$4&amp;"!B10:B1000"),$B112,INDIRECT(Equipo!$C$4&amp;"!"&amp;ADDRESS(10,COLUMN(G$9)-1)&amp;":"&amp;ADDRESS(1000,COLUMN(G$9)-1))),
SUMIF(INDIRECT(Equipo!$D$4&amp;"!B10:B1000"),$B112,INDIRECT(Equipo!$D$4&amp;"!"&amp;ADDRESS(10,COLUMN(G$9)-1)&amp;":"&amp;ADDRESS(1000,COLUMN(G$9)-1))),
SUMIF(INDIRECT(Equipo!$E$4&amp;"!B10:B1000"),$B112,INDIRECT(Equipo!$E$4&amp;"!"&amp;ADDRESS(10,COLUMN(G$9)-1)&amp;":"&amp;ADDRESS(1000,COLUMN(G$9)-1))),
SUMIF(INDIRECT(Equipo!$F$4&amp;"!B10:B1000"),$B112,INDIRECT(Equipo!$F$4&amp;"!"&amp;ADDRESS(10,COLUMN(G$9)-1)&amp;":"&amp;ADDRESS(1000,COLUMN(G$9)-1))),
SUMIF(INDIRECT(Equipo!$G$4&amp;"!B10:B1000"),$B112,INDIRECT(Equipo!$G$4&amp;"!"&amp;ADDRESS(10,COLUMN(G$9)-1)&amp;":"&amp;ADDRESS(1000,COLUMN(G$9)-1)))))</f>
        <v>-</v>
      </c>
      <c r="H112" s="19" t="str">
        <f t="array" ref="H112">IF(ISBLANK(Tareas!$B108),"-",SUM(
SUMIF(INDIRECT(Equipo!$C$4&amp;"!B10:B1000"),$B112,INDIRECT(Equipo!$C$4&amp;"!"&amp;ADDRESS(10,COLUMN(H$9)-1)&amp;":"&amp;ADDRESS(1000,COLUMN(H$9)-1))),
SUMIF(INDIRECT(Equipo!$D$4&amp;"!B10:B1000"),$B112,INDIRECT(Equipo!$D$4&amp;"!"&amp;ADDRESS(10,COLUMN(H$9)-1)&amp;":"&amp;ADDRESS(1000,COLUMN(H$9)-1))),
SUMIF(INDIRECT(Equipo!$E$4&amp;"!B10:B1000"),$B112,INDIRECT(Equipo!$E$4&amp;"!"&amp;ADDRESS(10,COLUMN(H$9)-1)&amp;":"&amp;ADDRESS(1000,COLUMN(H$9)-1))),
SUMIF(INDIRECT(Equipo!$F$4&amp;"!B10:B1000"),$B112,INDIRECT(Equipo!$F$4&amp;"!"&amp;ADDRESS(10,COLUMN(H$9)-1)&amp;":"&amp;ADDRESS(1000,COLUMN(H$9)-1))),
SUMIF(INDIRECT(Equipo!$G$4&amp;"!B10:B1000"),$B112,INDIRECT(Equipo!$G$4&amp;"!"&amp;ADDRESS(10,COLUMN(H$9)-1)&amp;":"&amp;ADDRESS(1000,COLUMN(H$9)-1)))))</f>
        <v>-</v>
      </c>
      <c r="I112" s="19" t="str">
        <f t="array" ref="I112">IF(ISBLANK(Tareas!$B108),"-",SUM(
SUMIF(INDIRECT(Equipo!$C$4&amp;"!B10:B1000"),$B112,INDIRECT(Equipo!$C$4&amp;"!"&amp;ADDRESS(10,COLUMN(I$9)-1)&amp;":"&amp;ADDRESS(1000,COLUMN(I$9)-1))),
SUMIF(INDIRECT(Equipo!$D$4&amp;"!B10:B1000"),$B112,INDIRECT(Equipo!$D$4&amp;"!"&amp;ADDRESS(10,COLUMN(I$9)-1)&amp;":"&amp;ADDRESS(1000,COLUMN(I$9)-1))),
SUMIF(INDIRECT(Equipo!$E$4&amp;"!B10:B1000"),$B112,INDIRECT(Equipo!$E$4&amp;"!"&amp;ADDRESS(10,COLUMN(I$9)-1)&amp;":"&amp;ADDRESS(1000,COLUMN(I$9)-1))),
SUMIF(INDIRECT(Equipo!$F$4&amp;"!B10:B1000"),$B112,INDIRECT(Equipo!$F$4&amp;"!"&amp;ADDRESS(10,COLUMN(I$9)-1)&amp;":"&amp;ADDRESS(1000,COLUMN(I$9)-1))),
SUMIF(INDIRECT(Equipo!$G$4&amp;"!B10:B1000"),$B112,INDIRECT(Equipo!$G$4&amp;"!"&amp;ADDRESS(10,COLUMN(I$9)-1)&amp;":"&amp;ADDRESS(1000,COLUMN(I$9)-1)))))</f>
        <v>-</v>
      </c>
      <c r="J112" s="19" t="str">
        <f t="array" ref="J112">IF(ISBLANK(Tareas!$B108),"-",SUM(
SUMIF(INDIRECT(Equipo!$C$4&amp;"!B10:B1000"),$B112,INDIRECT(Equipo!$C$4&amp;"!"&amp;ADDRESS(10,COLUMN(J$9)-1)&amp;":"&amp;ADDRESS(1000,COLUMN(J$9)-1))),
SUMIF(INDIRECT(Equipo!$D$4&amp;"!B10:B1000"),$B112,INDIRECT(Equipo!$D$4&amp;"!"&amp;ADDRESS(10,COLUMN(J$9)-1)&amp;":"&amp;ADDRESS(1000,COLUMN(J$9)-1))),
SUMIF(INDIRECT(Equipo!$E$4&amp;"!B10:B1000"),$B112,INDIRECT(Equipo!$E$4&amp;"!"&amp;ADDRESS(10,COLUMN(J$9)-1)&amp;":"&amp;ADDRESS(1000,COLUMN(J$9)-1))),
SUMIF(INDIRECT(Equipo!$F$4&amp;"!B10:B1000"),$B112,INDIRECT(Equipo!$F$4&amp;"!"&amp;ADDRESS(10,COLUMN(J$9)-1)&amp;":"&amp;ADDRESS(1000,COLUMN(J$9)-1))),
SUMIF(INDIRECT(Equipo!$G$4&amp;"!B10:B1000"),$B112,INDIRECT(Equipo!$G$4&amp;"!"&amp;ADDRESS(10,COLUMN(J$9)-1)&amp;":"&amp;ADDRESS(1000,COLUMN(J$9)-1)))))</f>
        <v>-</v>
      </c>
      <c r="K112" s="19" t="str">
        <f t="array" ref="K112">IF(ISBLANK(Tareas!$B108),"-",SUM(
SUMIF(INDIRECT(Equipo!$C$4&amp;"!B10:B1000"),$B112,INDIRECT(Equipo!$C$4&amp;"!"&amp;ADDRESS(10,COLUMN(K$9)-1)&amp;":"&amp;ADDRESS(1000,COLUMN(K$9)-1))),
SUMIF(INDIRECT(Equipo!$D$4&amp;"!B10:B1000"),$B112,INDIRECT(Equipo!$D$4&amp;"!"&amp;ADDRESS(10,COLUMN(K$9)-1)&amp;":"&amp;ADDRESS(1000,COLUMN(K$9)-1))),
SUMIF(INDIRECT(Equipo!$E$4&amp;"!B10:B1000"),$B112,INDIRECT(Equipo!$E$4&amp;"!"&amp;ADDRESS(10,COLUMN(K$9)-1)&amp;":"&amp;ADDRESS(1000,COLUMN(K$9)-1))),
SUMIF(INDIRECT(Equipo!$F$4&amp;"!B10:B1000"),$B112,INDIRECT(Equipo!$F$4&amp;"!"&amp;ADDRESS(10,COLUMN(K$9)-1)&amp;":"&amp;ADDRESS(1000,COLUMN(K$9)-1))),
SUMIF(INDIRECT(Equipo!$G$4&amp;"!B10:B1000"),$B112,INDIRECT(Equipo!$G$4&amp;"!"&amp;ADDRESS(10,COLUMN(K$9)-1)&amp;":"&amp;ADDRESS(1000,COLUMN(K$9)-1)))))</f>
        <v>-</v>
      </c>
    </row>
    <row r="113" ht="15.75" customHeight="1">
      <c r="B113" s="1" t="str">
        <f>IF(ISBLANK(Tareas!B109)," - ",Tareas!B109)</f>
        <v> - </v>
      </c>
      <c r="D113" s="19" t="str">
        <f t="array" ref="D113">IF(ISBLANK(Tareas!$B109),"-",SUM(
SUMIF(INDIRECT(Equipo!$C$4&amp;"!B10:B1000"),$B113,INDIRECT(Equipo!$C$4&amp;"!"&amp;ADDRESS(10,COLUMN(D$9)-1)&amp;":"&amp;ADDRESS(1000,COLUMN(D$9)-1))),
SUMIF(INDIRECT(Equipo!$D$4&amp;"!B10:B1000"),$B113,INDIRECT(Equipo!$D$4&amp;"!"&amp;ADDRESS(10,COLUMN(D$9)-1)&amp;":"&amp;ADDRESS(1000,COLUMN(D$9)-1))),
SUMIF(INDIRECT(Equipo!$E$4&amp;"!B10:B1000"),$B113,INDIRECT(Equipo!$E$4&amp;"!"&amp;ADDRESS(10,COLUMN(D$9)-1)&amp;":"&amp;ADDRESS(1000,COLUMN(D$9)-1))),
SUMIF(INDIRECT(Equipo!$F$4&amp;"!B10:B1000"),$B113,INDIRECT(Equipo!$F$4&amp;"!"&amp;ADDRESS(10,COLUMN(D$9)-1)&amp;":"&amp;ADDRESS(1000,COLUMN(D$9)-1))),
SUMIF(INDIRECT(Equipo!$G$4&amp;"!B10:B1000"),$B113,INDIRECT(Equipo!$G$4&amp;"!"&amp;ADDRESS(10,COLUMN(D$9)-1)&amp;":"&amp;ADDRESS(1000,COLUMN(D$9)-1)))))</f>
        <v>-</v>
      </c>
      <c r="E113" s="19" t="str">
        <f t="array" ref="E113">IF(ISBLANK(Tareas!$B109),"-",SUM(
SUMIF(INDIRECT(Equipo!$C$4&amp;"!B10:B1000"),$B113,INDIRECT(Equipo!$C$4&amp;"!"&amp;ADDRESS(10,COLUMN(E$9)-1)&amp;":"&amp;ADDRESS(1000,COLUMN(E$9)-1))),
SUMIF(INDIRECT(Equipo!$D$4&amp;"!B10:B1000"),$B113,INDIRECT(Equipo!$D$4&amp;"!"&amp;ADDRESS(10,COLUMN(E$9)-1)&amp;":"&amp;ADDRESS(1000,COLUMN(E$9)-1))),
SUMIF(INDIRECT(Equipo!$E$4&amp;"!B10:B1000"),$B113,INDIRECT(Equipo!$E$4&amp;"!"&amp;ADDRESS(10,COLUMN(E$9)-1)&amp;":"&amp;ADDRESS(1000,COLUMN(E$9)-1))),
SUMIF(INDIRECT(Equipo!$F$4&amp;"!B10:B1000"),$B113,INDIRECT(Equipo!$F$4&amp;"!"&amp;ADDRESS(10,COLUMN(E$9)-1)&amp;":"&amp;ADDRESS(1000,COLUMN(E$9)-1))),
SUMIF(INDIRECT(Equipo!$G$4&amp;"!B10:B1000"),$B113,INDIRECT(Equipo!$G$4&amp;"!"&amp;ADDRESS(10,COLUMN(E$9)-1)&amp;":"&amp;ADDRESS(1000,COLUMN(E$9)-1)))))</f>
        <v>-</v>
      </c>
      <c r="F113" s="19" t="str">
        <f t="array" ref="F113">IF(ISBLANK(Tareas!$B109),"-",SUM(
SUMIF(INDIRECT(Equipo!$C$4&amp;"!B10:B1000"),$B113,INDIRECT(Equipo!$C$4&amp;"!"&amp;ADDRESS(10,COLUMN(F$9)-1)&amp;":"&amp;ADDRESS(1000,COLUMN(F$9)-1))),
SUMIF(INDIRECT(Equipo!$D$4&amp;"!B10:B1000"),$B113,INDIRECT(Equipo!$D$4&amp;"!"&amp;ADDRESS(10,COLUMN(F$9)-1)&amp;":"&amp;ADDRESS(1000,COLUMN(F$9)-1))),
SUMIF(INDIRECT(Equipo!$E$4&amp;"!B10:B1000"),$B113,INDIRECT(Equipo!$E$4&amp;"!"&amp;ADDRESS(10,COLUMN(F$9)-1)&amp;":"&amp;ADDRESS(1000,COLUMN(F$9)-1))),
SUMIF(INDIRECT(Equipo!$F$4&amp;"!B10:B1000"),$B113,INDIRECT(Equipo!$F$4&amp;"!"&amp;ADDRESS(10,COLUMN(F$9)-1)&amp;":"&amp;ADDRESS(1000,COLUMN(F$9)-1))),
SUMIF(INDIRECT(Equipo!$G$4&amp;"!B10:B1000"),$B113,INDIRECT(Equipo!$G$4&amp;"!"&amp;ADDRESS(10,COLUMN(F$9)-1)&amp;":"&amp;ADDRESS(1000,COLUMN(F$9)-1)))))</f>
        <v>-</v>
      </c>
      <c r="G113" s="19" t="str">
        <f t="array" ref="G113">IF(ISBLANK(Tareas!$B109),"-",SUM(
SUMIF(INDIRECT(Equipo!$C$4&amp;"!B10:B1000"),$B113,INDIRECT(Equipo!$C$4&amp;"!"&amp;ADDRESS(10,COLUMN(G$9)-1)&amp;":"&amp;ADDRESS(1000,COLUMN(G$9)-1))),
SUMIF(INDIRECT(Equipo!$D$4&amp;"!B10:B1000"),$B113,INDIRECT(Equipo!$D$4&amp;"!"&amp;ADDRESS(10,COLUMN(G$9)-1)&amp;":"&amp;ADDRESS(1000,COLUMN(G$9)-1))),
SUMIF(INDIRECT(Equipo!$E$4&amp;"!B10:B1000"),$B113,INDIRECT(Equipo!$E$4&amp;"!"&amp;ADDRESS(10,COLUMN(G$9)-1)&amp;":"&amp;ADDRESS(1000,COLUMN(G$9)-1))),
SUMIF(INDIRECT(Equipo!$F$4&amp;"!B10:B1000"),$B113,INDIRECT(Equipo!$F$4&amp;"!"&amp;ADDRESS(10,COLUMN(G$9)-1)&amp;":"&amp;ADDRESS(1000,COLUMN(G$9)-1))),
SUMIF(INDIRECT(Equipo!$G$4&amp;"!B10:B1000"),$B113,INDIRECT(Equipo!$G$4&amp;"!"&amp;ADDRESS(10,COLUMN(G$9)-1)&amp;":"&amp;ADDRESS(1000,COLUMN(G$9)-1)))))</f>
        <v>-</v>
      </c>
      <c r="H113" s="19" t="str">
        <f t="array" ref="H113">IF(ISBLANK(Tareas!$B109),"-",SUM(
SUMIF(INDIRECT(Equipo!$C$4&amp;"!B10:B1000"),$B113,INDIRECT(Equipo!$C$4&amp;"!"&amp;ADDRESS(10,COLUMN(H$9)-1)&amp;":"&amp;ADDRESS(1000,COLUMN(H$9)-1))),
SUMIF(INDIRECT(Equipo!$D$4&amp;"!B10:B1000"),$B113,INDIRECT(Equipo!$D$4&amp;"!"&amp;ADDRESS(10,COLUMN(H$9)-1)&amp;":"&amp;ADDRESS(1000,COLUMN(H$9)-1))),
SUMIF(INDIRECT(Equipo!$E$4&amp;"!B10:B1000"),$B113,INDIRECT(Equipo!$E$4&amp;"!"&amp;ADDRESS(10,COLUMN(H$9)-1)&amp;":"&amp;ADDRESS(1000,COLUMN(H$9)-1))),
SUMIF(INDIRECT(Equipo!$F$4&amp;"!B10:B1000"),$B113,INDIRECT(Equipo!$F$4&amp;"!"&amp;ADDRESS(10,COLUMN(H$9)-1)&amp;":"&amp;ADDRESS(1000,COLUMN(H$9)-1))),
SUMIF(INDIRECT(Equipo!$G$4&amp;"!B10:B1000"),$B113,INDIRECT(Equipo!$G$4&amp;"!"&amp;ADDRESS(10,COLUMN(H$9)-1)&amp;":"&amp;ADDRESS(1000,COLUMN(H$9)-1)))))</f>
        <v>-</v>
      </c>
      <c r="I113" s="19" t="str">
        <f t="array" ref="I113">IF(ISBLANK(Tareas!$B109),"-",SUM(
SUMIF(INDIRECT(Equipo!$C$4&amp;"!B10:B1000"),$B113,INDIRECT(Equipo!$C$4&amp;"!"&amp;ADDRESS(10,COLUMN(I$9)-1)&amp;":"&amp;ADDRESS(1000,COLUMN(I$9)-1))),
SUMIF(INDIRECT(Equipo!$D$4&amp;"!B10:B1000"),$B113,INDIRECT(Equipo!$D$4&amp;"!"&amp;ADDRESS(10,COLUMN(I$9)-1)&amp;":"&amp;ADDRESS(1000,COLUMN(I$9)-1))),
SUMIF(INDIRECT(Equipo!$E$4&amp;"!B10:B1000"),$B113,INDIRECT(Equipo!$E$4&amp;"!"&amp;ADDRESS(10,COLUMN(I$9)-1)&amp;":"&amp;ADDRESS(1000,COLUMN(I$9)-1))),
SUMIF(INDIRECT(Equipo!$F$4&amp;"!B10:B1000"),$B113,INDIRECT(Equipo!$F$4&amp;"!"&amp;ADDRESS(10,COLUMN(I$9)-1)&amp;":"&amp;ADDRESS(1000,COLUMN(I$9)-1))),
SUMIF(INDIRECT(Equipo!$G$4&amp;"!B10:B1000"),$B113,INDIRECT(Equipo!$G$4&amp;"!"&amp;ADDRESS(10,COLUMN(I$9)-1)&amp;":"&amp;ADDRESS(1000,COLUMN(I$9)-1)))))</f>
        <v>-</v>
      </c>
      <c r="J113" s="19" t="str">
        <f t="array" ref="J113">IF(ISBLANK(Tareas!$B109),"-",SUM(
SUMIF(INDIRECT(Equipo!$C$4&amp;"!B10:B1000"),$B113,INDIRECT(Equipo!$C$4&amp;"!"&amp;ADDRESS(10,COLUMN(J$9)-1)&amp;":"&amp;ADDRESS(1000,COLUMN(J$9)-1))),
SUMIF(INDIRECT(Equipo!$D$4&amp;"!B10:B1000"),$B113,INDIRECT(Equipo!$D$4&amp;"!"&amp;ADDRESS(10,COLUMN(J$9)-1)&amp;":"&amp;ADDRESS(1000,COLUMN(J$9)-1))),
SUMIF(INDIRECT(Equipo!$E$4&amp;"!B10:B1000"),$B113,INDIRECT(Equipo!$E$4&amp;"!"&amp;ADDRESS(10,COLUMN(J$9)-1)&amp;":"&amp;ADDRESS(1000,COLUMN(J$9)-1))),
SUMIF(INDIRECT(Equipo!$F$4&amp;"!B10:B1000"),$B113,INDIRECT(Equipo!$F$4&amp;"!"&amp;ADDRESS(10,COLUMN(J$9)-1)&amp;":"&amp;ADDRESS(1000,COLUMN(J$9)-1))),
SUMIF(INDIRECT(Equipo!$G$4&amp;"!B10:B1000"),$B113,INDIRECT(Equipo!$G$4&amp;"!"&amp;ADDRESS(10,COLUMN(J$9)-1)&amp;":"&amp;ADDRESS(1000,COLUMN(J$9)-1)))))</f>
        <v>-</v>
      </c>
      <c r="K113" s="19" t="str">
        <f t="array" ref="K113">IF(ISBLANK(Tareas!$B109),"-",SUM(
SUMIF(INDIRECT(Equipo!$C$4&amp;"!B10:B1000"),$B113,INDIRECT(Equipo!$C$4&amp;"!"&amp;ADDRESS(10,COLUMN(K$9)-1)&amp;":"&amp;ADDRESS(1000,COLUMN(K$9)-1))),
SUMIF(INDIRECT(Equipo!$D$4&amp;"!B10:B1000"),$B113,INDIRECT(Equipo!$D$4&amp;"!"&amp;ADDRESS(10,COLUMN(K$9)-1)&amp;":"&amp;ADDRESS(1000,COLUMN(K$9)-1))),
SUMIF(INDIRECT(Equipo!$E$4&amp;"!B10:B1000"),$B113,INDIRECT(Equipo!$E$4&amp;"!"&amp;ADDRESS(10,COLUMN(K$9)-1)&amp;":"&amp;ADDRESS(1000,COLUMN(K$9)-1))),
SUMIF(INDIRECT(Equipo!$F$4&amp;"!B10:B1000"),$B113,INDIRECT(Equipo!$F$4&amp;"!"&amp;ADDRESS(10,COLUMN(K$9)-1)&amp;":"&amp;ADDRESS(1000,COLUMN(K$9)-1))),
SUMIF(INDIRECT(Equipo!$G$4&amp;"!B10:B1000"),$B113,INDIRECT(Equipo!$G$4&amp;"!"&amp;ADDRESS(10,COLUMN(K$9)-1)&amp;":"&amp;ADDRESS(1000,COLUMN(K$9)-1)))))</f>
        <v>-</v>
      </c>
    </row>
    <row r="114" ht="15.75" customHeight="1">
      <c r="B114" s="1" t="str">
        <f>IF(ISBLANK(Tareas!B110)," - ",Tareas!B110)</f>
        <v> - </v>
      </c>
      <c r="D114" s="19" t="str">
        <f t="array" ref="D114">IF(ISBLANK(Tareas!$B110),"-",SUM(
SUMIF(INDIRECT(Equipo!$C$4&amp;"!B10:B1000"),$B114,INDIRECT(Equipo!$C$4&amp;"!"&amp;ADDRESS(10,COLUMN(D$9)-1)&amp;":"&amp;ADDRESS(1000,COLUMN(D$9)-1))),
SUMIF(INDIRECT(Equipo!$D$4&amp;"!B10:B1000"),$B114,INDIRECT(Equipo!$D$4&amp;"!"&amp;ADDRESS(10,COLUMN(D$9)-1)&amp;":"&amp;ADDRESS(1000,COLUMN(D$9)-1))),
SUMIF(INDIRECT(Equipo!$E$4&amp;"!B10:B1000"),$B114,INDIRECT(Equipo!$E$4&amp;"!"&amp;ADDRESS(10,COLUMN(D$9)-1)&amp;":"&amp;ADDRESS(1000,COLUMN(D$9)-1))),
SUMIF(INDIRECT(Equipo!$F$4&amp;"!B10:B1000"),$B114,INDIRECT(Equipo!$F$4&amp;"!"&amp;ADDRESS(10,COLUMN(D$9)-1)&amp;":"&amp;ADDRESS(1000,COLUMN(D$9)-1))),
SUMIF(INDIRECT(Equipo!$G$4&amp;"!B10:B1000"),$B114,INDIRECT(Equipo!$G$4&amp;"!"&amp;ADDRESS(10,COLUMN(D$9)-1)&amp;":"&amp;ADDRESS(1000,COLUMN(D$9)-1)))))</f>
        <v>-</v>
      </c>
      <c r="E114" s="19" t="str">
        <f t="array" ref="E114">IF(ISBLANK(Tareas!$B110),"-",SUM(
SUMIF(INDIRECT(Equipo!$C$4&amp;"!B10:B1000"),$B114,INDIRECT(Equipo!$C$4&amp;"!"&amp;ADDRESS(10,COLUMN(E$9)-1)&amp;":"&amp;ADDRESS(1000,COLUMN(E$9)-1))),
SUMIF(INDIRECT(Equipo!$D$4&amp;"!B10:B1000"),$B114,INDIRECT(Equipo!$D$4&amp;"!"&amp;ADDRESS(10,COLUMN(E$9)-1)&amp;":"&amp;ADDRESS(1000,COLUMN(E$9)-1))),
SUMIF(INDIRECT(Equipo!$E$4&amp;"!B10:B1000"),$B114,INDIRECT(Equipo!$E$4&amp;"!"&amp;ADDRESS(10,COLUMN(E$9)-1)&amp;":"&amp;ADDRESS(1000,COLUMN(E$9)-1))),
SUMIF(INDIRECT(Equipo!$F$4&amp;"!B10:B1000"),$B114,INDIRECT(Equipo!$F$4&amp;"!"&amp;ADDRESS(10,COLUMN(E$9)-1)&amp;":"&amp;ADDRESS(1000,COLUMN(E$9)-1))),
SUMIF(INDIRECT(Equipo!$G$4&amp;"!B10:B1000"),$B114,INDIRECT(Equipo!$G$4&amp;"!"&amp;ADDRESS(10,COLUMN(E$9)-1)&amp;":"&amp;ADDRESS(1000,COLUMN(E$9)-1)))))</f>
        <v>-</v>
      </c>
      <c r="F114" s="19" t="str">
        <f t="array" ref="F114">IF(ISBLANK(Tareas!$B110),"-",SUM(
SUMIF(INDIRECT(Equipo!$C$4&amp;"!B10:B1000"),$B114,INDIRECT(Equipo!$C$4&amp;"!"&amp;ADDRESS(10,COLUMN(F$9)-1)&amp;":"&amp;ADDRESS(1000,COLUMN(F$9)-1))),
SUMIF(INDIRECT(Equipo!$D$4&amp;"!B10:B1000"),$B114,INDIRECT(Equipo!$D$4&amp;"!"&amp;ADDRESS(10,COLUMN(F$9)-1)&amp;":"&amp;ADDRESS(1000,COLUMN(F$9)-1))),
SUMIF(INDIRECT(Equipo!$E$4&amp;"!B10:B1000"),$B114,INDIRECT(Equipo!$E$4&amp;"!"&amp;ADDRESS(10,COLUMN(F$9)-1)&amp;":"&amp;ADDRESS(1000,COLUMN(F$9)-1))),
SUMIF(INDIRECT(Equipo!$F$4&amp;"!B10:B1000"),$B114,INDIRECT(Equipo!$F$4&amp;"!"&amp;ADDRESS(10,COLUMN(F$9)-1)&amp;":"&amp;ADDRESS(1000,COLUMN(F$9)-1))),
SUMIF(INDIRECT(Equipo!$G$4&amp;"!B10:B1000"),$B114,INDIRECT(Equipo!$G$4&amp;"!"&amp;ADDRESS(10,COLUMN(F$9)-1)&amp;":"&amp;ADDRESS(1000,COLUMN(F$9)-1)))))</f>
        <v>-</v>
      </c>
      <c r="G114" s="19" t="str">
        <f t="array" ref="G114">IF(ISBLANK(Tareas!$B110),"-",SUM(
SUMIF(INDIRECT(Equipo!$C$4&amp;"!B10:B1000"),$B114,INDIRECT(Equipo!$C$4&amp;"!"&amp;ADDRESS(10,COLUMN(G$9)-1)&amp;":"&amp;ADDRESS(1000,COLUMN(G$9)-1))),
SUMIF(INDIRECT(Equipo!$D$4&amp;"!B10:B1000"),$B114,INDIRECT(Equipo!$D$4&amp;"!"&amp;ADDRESS(10,COLUMN(G$9)-1)&amp;":"&amp;ADDRESS(1000,COLUMN(G$9)-1))),
SUMIF(INDIRECT(Equipo!$E$4&amp;"!B10:B1000"),$B114,INDIRECT(Equipo!$E$4&amp;"!"&amp;ADDRESS(10,COLUMN(G$9)-1)&amp;":"&amp;ADDRESS(1000,COLUMN(G$9)-1))),
SUMIF(INDIRECT(Equipo!$F$4&amp;"!B10:B1000"),$B114,INDIRECT(Equipo!$F$4&amp;"!"&amp;ADDRESS(10,COLUMN(G$9)-1)&amp;":"&amp;ADDRESS(1000,COLUMN(G$9)-1))),
SUMIF(INDIRECT(Equipo!$G$4&amp;"!B10:B1000"),$B114,INDIRECT(Equipo!$G$4&amp;"!"&amp;ADDRESS(10,COLUMN(G$9)-1)&amp;":"&amp;ADDRESS(1000,COLUMN(G$9)-1)))))</f>
        <v>-</v>
      </c>
      <c r="H114" s="19" t="str">
        <f t="array" ref="H114">IF(ISBLANK(Tareas!$B110),"-",SUM(
SUMIF(INDIRECT(Equipo!$C$4&amp;"!B10:B1000"),$B114,INDIRECT(Equipo!$C$4&amp;"!"&amp;ADDRESS(10,COLUMN(H$9)-1)&amp;":"&amp;ADDRESS(1000,COLUMN(H$9)-1))),
SUMIF(INDIRECT(Equipo!$D$4&amp;"!B10:B1000"),$B114,INDIRECT(Equipo!$D$4&amp;"!"&amp;ADDRESS(10,COLUMN(H$9)-1)&amp;":"&amp;ADDRESS(1000,COLUMN(H$9)-1))),
SUMIF(INDIRECT(Equipo!$E$4&amp;"!B10:B1000"),$B114,INDIRECT(Equipo!$E$4&amp;"!"&amp;ADDRESS(10,COLUMN(H$9)-1)&amp;":"&amp;ADDRESS(1000,COLUMN(H$9)-1))),
SUMIF(INDIRECT(Equipo!$F$4&amp;"!B10:B1000"),$B114,INDIRECT(Equipo!$F$4&amp;"!"&amp;ADDRESS(10,COLUMN(H$9)-1)&amp;":"&amp;ADDRESS(1000,COLUMN(H$9)-1))),
SUMIF(INDIRECT(Equipo!$G$4&amp;"!B10:B1000"),$B114,INDIRECT(Equipo!$G$4&amp;"!"&amp;ADDRESS(10,COLUMN(H$9)-1)&amp;":"&amp;ADDRESS(1000,COLUMN(H$9)-1)))))</f>
        <v>-</v>
      </c>
      <c r="I114" s="19" t="str">
        <f t="array" ref="I114">IF(ISBLANK(Tareas!$B110),"-",SUM(
SUMIF(INDIRECT(Equipo!$C$4&amp;"!B10:B1000"),$B114,INDIRECT(Equipo!$C$4&amp;"!"&amp;ADDRESS(10,COLUMN(I$9)-1)&amp;":"&amp;ADDRESS(1000,COLUMN(I$9)-1))),
SUMIF(INDIRECT(Equipo!$D$4&amp;"!B10:B1000"),$B114,INDIRECT(Equipo!$D$4&amp;"!"&amp;ADDRESS(10,COLUMN(I$9)-1)&amp;":"&amp;ADDRESS(1000,COLUMN(I$9)-1))),
SUMIF(INDIRECT(Equipo!$E$4&amp;"!B10:B1000"),$B114,INDIRECT(Equipo!$E$4&amp;"!"&amp;ADDRESS(10,COLUMN(I$9)-1)&amp;":"&amp;ADDRESS(1000,COLUMN(I$9)-1))),
SUMIF(INDIRECT(Equipo!$F$4&amp;"!B10:B1000"),$B114,INDIRECT(Equipo!$F$4&amp;"!"&amp;ADDRESS(10,COLUMN(I$9)-1)&amp;":"&amp;ADDRESS(1000,COLUMN(I$9)-1))),
SUMIF(INDIRECT(Equipo!$G$4&amp;"!B10:B1000"),$B114,INDIRECT(Equipo!$G$4&amp;"!"&amp;ADDRESS(10,COLUMN(I$9)-1)&amp;":"&amp;ADDRESS(1000,COLUMN(I$9)-1)))))</f>
        <v>-</v>
      </c>
      <c r="J114" s="19" t="str">
        <f t="array" ref="J114">IF(ISBLANK(Tareas!$B110),"-",SUM(
SUMIF(INDIRECT(Equipo!$C$4&amp;"!B10:B1000"),$B114,INDIRECT(Equipo!$C$4&amp;"!"&amp;ADDRESS(10,COLUMN(J$9)-1)&amp;":"&amp;ADDRESS(1000,COLUMN(J$9)-1))),
SUMIF(INDIRECT(Equipo!$D$4&amp;"!B10:B1000"),$B114,INDIRECT(Equipo!$D$4&amp;"!"&amp;ADDRESS(10,COLUMN(J$9)-1)&amp;":"&amp;ADDRESS(1000,COLUMN(J$9)-1))),
SUMIF(INDIRECT(Equipo!$E$4&amp;"!B10:B1000"),$B114,INDIRECT(Equipo!$E$4&amp;"!"&amp;ADDRESS(10,COLUMN(J$9)-1)&amp;":"&amp;ADDRESS(1000,COLUMN(J$9)-1))),
SUMIF(INDIRECT(Equipo!$F$4&amp;"!B10:B1000"),$B114,INDIRECT(Equipo!$F$4&amp;"!"&amp;ADDRESS(10,COLUMN(J$9)-1)&amp;":"&amp;ADDRESS(1000,COLUMN(J$9)-1))),
SUMIF(INDIRECT(Equipo!$G$4&amp;"!B10:B1000"),$B114,INDIRECT(Equipo!$G$4&amp;"!"&amp;ADDRESS(10,COLUMN(J$9)-1)&amp;":"&amp;ADDRESS(1000,COLUMN(J$9)-1)))))</f>
        <v>-</v>
      </c>
      <c r="K114" s="19" t="str">
        <f t="array" ref="K114">IF(ISBLANK(Tareas!$B110),"-",SUM(
SUMIF(INDIRECT(Equipo!$C$4&amp;"!B10:B1000"),$B114,INDIRECT(Equipo!$C$4&amp;"!"&amp;ADDRESS(10,COLUMN(K$9)-1)&amp;":"&amp;ADDRESS(1000,COLUMN(K$9)-1))),
SUMIF(INDIRECT(Equipo!$D$4&amp;"!B10:B1000"),$B114,INDIRECT(Equipo!$D$4&amp;"!"&amp;ADDRESS(10,COLUMN(K$9)-1)&amp;":"&amp;ADDRESS(1000,COLUMN(K$9)-1))),
SUMIF(INDIRECT(Equipo!$E$4&amp;"!B10:B1000"),$B114,INDIRECT(Equipo!$E$4&amp;"!"&amp;ADDRESS(10,COLUMN(K$9)-1)&amp;":"&amp;ADDRESS(1000,COLUMN(K$9)-1))),
SUMIF(INDIRECT(Equipo!$F$4&amp;"!B10:B1000"),$B114,INDIRECT(Equipo!$F$4&amp;"!"&amp;ADDRESS(10,COLUMN(K$9)-1)&amp;":"&amp;ADDRESS(1000,COLUMN(K$9)-1))),
SUMIF(INDIRECT(Equipo!$G$4&amp;"!B10:B1000"),$B114,INDIRECT(Equipo!$G$4&amp;"!"&amp;ADDRESS(10,COLUMN(K$9)-1)&amp;":"&amp;ADDRESS(1000,COLUMN(K$9)-1)))))</f>
        <v>-</v>
      </c>
    </row>
    <row r="115" ht="15.75" customHeight="1">
      <c r="B115" s="1" t="str">
        <f>IF(ISBLANK(Tareas!B111)," - ",Tareas!B111)</f>
        <v> - </v>
      </c>
      <c r="D115" s="19" t="str">
        <f t="array" ref="D115">IF(ISBLANK(Tareas!$B111),"-",SUM(
SUMIF(INDIRECT(Equipo!$C$4&amp;"!B10:B1000"),$B115,INDIRECT(Equipo!$C$4&amp;"!"&amp;ADDRESS(10,COLUMN(D$9)-1)&amp;":"&amp;ADDRESS(1000,COLUMN(D$9)-1))),
SUMIF(INDIRECT(Equipo!$D$4&amp;"!B10:B1000"),$B115,INDIRECT(Equipo!$D$4&amp;"!"&amp;ADDRESS(10,COLUMN(D$9)-1)&amp;":"&amp;ADDRESS(1000,COLUMN(D$9)-1))),
SUMIF(INDIRECT(Equipo!$E$4&amp;"!B10:B1000"),$B115,INDIRECT(Equipo!$E$4&amp;"!"&amp;ADDRESS(10,COLUMN(D$9)-1)&amp;":"&amp;ADDRESS(1000,COLUMN(D$9)-1))),
SUMIF(INDIRECT(Equipo!$F$4&amp;"!B10:B1000"),$B115,INDIRECT(Equipo!$F$4&amp;"!"&amp;ADDRESS(10,COLUMN(D$9)-1)&amp;":"&amp;ADDRESS(1000,COLUMN(D$9)-1))),
SUMIF(INDIRECT(Equipo!$G$4&amp;"!B10:B1000"),$B115,INDIRECT(Equipo!$G$4&amp;"!"&amp;ADDRESS(10,COLUMN(D$9)-1)&amp;":"&amp;ADDRESS(1000,COLUMN(D$9)-1)))))</f>
        <v>-</v>
      </c>
      <c r="E115" s="19" t="str">
        <f t="array" ref="E115">IF(ISBLANK(Tareas!$B111),"-",SUM(
SUMIF(INDIRECT(Equipo!$C$4&amp;"!B10:B1000"),$B115,INDIRECT(Equipo!$C$4&amp;"!"&amp;ADDRESS(10,COLUMN(E$9)-1)&amp;":"&amp;ADDRESS(1000,COLUMN(E$9)-1))),
SUMIF(INDIRECT(Equipo!$D$4&amp;"!B10:B1000"),$B115,INDIRECT(Equipo!$D$4&amp;"!"&amp;ADDRESS(10,COLUMN(E$9)-1)&amp;":"&amp;ADDRESS(1000,COLUMN(E$9)-1))),
SUMIF(INDIRECT(Equipo!$E$4&amp;"!B10:B1000"),$B115,INDIRECT(Equipo!$E$4&amp;"!"&amp;ADDRESS(10,COLUMN(E$9)-1)&amp;":"&amp;ADDRESS(1000,COLUMN(E$9)-1))),
SUMIF(INDIRECT(Equipo!$F$4&amp;"!B10:B1000"),$B115,INDIRECT(Equipo!$F$4&amp;"!"&amp;ADDRESS(10,COLUMN(E$9)-1)&amp;":"&amp;ADDRESS(1000,COLUMN(E$9)-1))),
SUMIF(INDIRECT(Equipo!$G$4&amp;"!B10:B1000"),$B115,INDIRECT(Equipo!$G$4&amp;"!"&amp;ADDRESS(10,COLUMN(E$9)-1)&amp;":"&amp;ADDRESS(1000,COLUMN(E$9)-1)))))</f>
        <v>-</v>
      </c>
      <c r="F115" s="19" t="str">
        <f t="array" ref="F115">IF(ISBLANK(Tareas!$B111),"-",SUM(
SUMIF(INDIRECT(Equipo!$C$4&amp;"!B10:B1000"),$B115,INDIRECT(Equipo!$C$4&amp;"!"&amp;ADDRESS(10,COLUMN(F$9)-1)&amp;":"&amp;ADDRESS(1000,COLUMN(F$9)-1))),
SUMIF(INDIRECT(Equipo!$D$4&amp;"!B10:B1000"),$B115,INDIRECT(Equipo!$D$4&amp;"!"&amp;ADDRESS(10,COLUMN(F$9)-1)&amp;":"&amp;ADDRESS(1000,COLUMN(F$9)-1))),
SUMIF(INDIRECT(Equipo!$E$4&amp;"!B10:B1000"),$B115,INDIRECT(Equipo!$E$4&amp;"!"&amp;ADDRESS(10,COLUMN(F$9)-1)&amp;":"&amp;ADDRESS(1000,COLUMN(F$9)-1))),
SUMIF(INDIRECT(Equipo!$F$4&amp;"!B10:B1000"),$B115,INDIRECT(Equipo!$F$4&amp;"!"&amp;ADDRESS(10,COLUMN(F$9)-1)&amp;":"&amp;ADDRESS(1000,COLUMN(F$9)-1))),
SUMIF(INDIRECT(Equipo!$G$4&amp;"!B10:B1000"),$B115,INDIRECT(Equipo!$G$4&amp;"!"&amp;ADDRESS(10,COLUMN(F$9)-1)&amp;":"&amp;ADDRESS(1000,COLUMN(F$9)-1)))))</f>
        <v>-</v>
      </c>
      <c r="G115" s="19" t="str">
        <f t="array" ref="G115">IF(ISBLANK(Tareas!$B111),"-",SUM(
SUMIF(INDIRECT(Equipo!$C$4&amp;"!B10:B1000"),$B115,INDIRECT(Equipo!$C$4&amp;"!"&amp;ADDRESS(10,COLUMN(G$9)-1)&amp;":"&amp;ADDRESS(1000,COLUMN(G$9)-1))),
SUMIF(INDIRECT(Equipo!$D$4&amp;"!B10:B1000"),$B115,INDIRECT(Equipo!$D$4&amp;"!"&amp;ADDRESS(10,COLUMN(G$9)-1)&amp;":"&amp;ADDRESS(1000,COLUMN(G$9)-1))),
SUMIF(INDIRECT(Equipo!$E$4&amp;"!B10:B1000"),$B115,INDIRECT(Equipo!$E$4&amp;"!"&amp;ADDRESS(10,COLUMN(G$9)-1)&amp;":"&amp;ADDRESS(1000,COLUMN(G$9)-1))),
SUMIF(INDIRECT(Equipo!$F$4&amp;"!B10:B1000"),$B115,INDIRECT(Equipo!$F$4&amp;"!"&amp;ADDRESS(10,COLUMN(G$9)-1)&amp;":"&amp;ADDRESS(1000,COLUMN(G$9)-1))),
SUMIF(INDIRECT(Equipo!$G$4&amp;"!B10:B1000"),$B115,INDIRECT(Equipo!$G$4&amp;"!"&amp;ADDRESS(10,COLUMN(G$9)-1)&amp;":"&amp;ADDRESS(1000,COLUMN(G$9)-1)))))</f>
        <v>-</v>
      </c>
      <c r="H115" s="19" t="str">
        <f t="array" ref="H115">IF(ISBLANK(Tareas!$B111),"-",SUM(
SUMIF(INDIRECT(Equipo!$C$4&amp;"!B10:B1000"),$B115,INDIRECT(Equipo!$C$4&amp;"!"&amp;ADDRESS(10,COLUMN(H$9)-1)&amp;":"&amp;ADDRESS(1000,COLUMN(H$9)-1))),
SUMIF(INDIRECT(Equipo!$D$4&amp;"!B10:B1000"),$B115,INDIRECT(Equipo!$D$4&amp;"!"&amp;ADDRESS(10,COLUMN(H$9)-1)&amp;":"&amp;ADDRESS(1000,COLUMN(H$9)-1))),
SUMIF(INDIRECT(Equipo!$E$4&amp;"!B10:B1000"),$B115,INDIRECT(Equipo!$E$4&amp;"!"&amp;ADDRESS(10,COLUMN(H$9)-1)&amp;":"&amp;ADDRESS(1000,COLUMN(H$9)-1))),
SUMIF(INDIRECT(Equipo!$F$4&amp;"!B10:B1000"),$B115,INDIRECT(Equipo!$F$4&amp;"!"&amp;ADDRESS(10,COLUMN(H$9)-1)&amp;":"&amp;ADDRESS(1000,COLUMN(H$9)-1))),
SUMIF(INDIRECT(Equipo!$G$4&amp;"!B10:B1000"),$B115,INDIRECT(Equipo!$G$4&amp;"!"&amp;ADDRESS(10,COLUMN(H$9)-1)&amp;":"&amp;ADDRESS(1000,COLUMN(H$9)-1)))))</f>
        <v>-</v>
      </c>
      <c r="I115" s="19" t="str">
        <f t="array" ref="I115">IF(ISBLANK(Tareas!$B111),"-",SUM(
SUMIF(INDIRECT(Equipo!$C$4&amp;"!B10:B1000"),$B115,INDIRECT(Equipo!$C$4&amp;"!"&amp;ADDRESS(10,COLUMN(I$9)-1)&amp;":"&amp;ADDRESS(1000,COLUMN(I$9)-1))),
SUMIF(INDIRECT(Equipo!$D$4&amp;"!B10:B1000"),$B115,INDIRECT(Equipo!$D$4&amp;"!"&amp;ADDRESS(10,COLUMN(I$9)-1)&amp;":"&amp;ADDRESS(1000,COLUMN(I$9)-1))),
SUMIF(INDIRECT(Equipo!$E$4&amp;"!B10:B1000"),$B115,INDIRECT(Equipo!$E$4&amp;"!"&amp;ADDRESS(10,COLUMN(I$9)-1)&amp;":"&amp;ADDRESS(1000,COLUMN(I$9)-1))),
SUMIF(INDIRECT(Equipo!$F$4&amp;"!B10:B1000"),$B115,INDIRECT(Equipo!$F$4&amp;"!"&amp;ADDRESS(10,COLUMN(I$9)-1)&amp;":"&amp;ADDRESS(1000,COLUMN(I$9)-1))),
SUMIF(INDIRECT(Equipo!$G$4&amp;"!B10:B1000"),$B115,INDIRECT(Equipo!$G$4&amp;"!"&amp;ADDRESS(10,COLUMN(I$9)-1)&amp;":"&amp;ADDRESS(1000,COLUMN(I$9)-1)))))</f>
        <v>-</v>
      </c>
      <c r="J115" s="19" t="str">
        <f t="array" ref="J115">IF(ISBLANK(Tareas!$B111),"-",SUM(
SUMIF(INDIRECT(Equipo!$C$4&amp;"!B10:B1000"),$B115,INDIRECT(Equipo!$C$4&amp;"!"&amp;ADDRESS(10,COLUMN(J$9)-1)&amp;":"&amp;ADDRESS(1000,COLUMN(J$9)-1))),
SUMIF(INDIRECT(Equipo!$D$4&amp;"!B10:B1000"),$B115,INDIRECT(Equipo!$D$4&amp;"!"&amp;ADDRESS(10,COLUMN(J$9)-1)&amp;":"&amp;ADDRESS(1000,COLUMN(J$9)-1))),
SUMIF(INDIRECT(Equipo!$E$4&amp;"!B10:B1000"),$B115,INDIRECT(Equipo!$E$4&amp;"!"&amp;ADDRESS(10,COLUMN(J$9)-1)&amp;":"&amp;ADDRESS(1000,COLUMN(J$9)-1))),
SUMIF(INDIRECT(Equipo!$F$4&amp;"!B10:B1000"),$B115,INDIRECT(Equipo!$F$4&amp;"!"&amp;ADDRESS(10,COLUMN(J$9)-1)&amp;":"&amp;ADDRESS(1000,COLUMN(J$9)-1))),
SUMIF(INDIRECT(Equipo!$G$4&amp;"!B10:B1000"),$B115,INDIRECT(Equipo!$G$4&amp;"!"&amp;ADDRESS(10,COLUMN(J$9)-1)&amp;":"&amp;ADDRESS(1000,COLUMN(J$9)-1)))))</f>
        <v>-</v>
      </c>
      <c r="K115" s="19" t="str">
        <f t="array" ref="K115">IF(ISBLANK(Tareas!$B111),"-",SUM(
SUMIF(INDIRECT(Equipo!$C$4&amp;"!B10:B1000"),$B115,INDIRECT(Equipo!$C$4&amp;"!"&amp;ADDRESS(10,COLUMN(K$9)-1)&amp;":"&amp;ADDRESS(1000,COLUMN(K$9)-1))),
SUMIF(INDIRECT(Equipo!$D$4&amp;"!B10:B1000"),$B115,INDIRECT(Equipo!$D$4&amp;"!"&amp;ADDRESS(10,COLUMN(K$9)-1)&amp;":"&amp;ADDRESS(1000,COLUMN(K$9)-1))),
SUMIF(INDIRECT(Equipo!$E$4&amp;"!B10:B1000"),$B115,INDIRECT(Equipo!$E$4&amp;"!"&amp;ADDRESS(10,COLUMN(K$9)-1)&amp;":"&amp;ADDRESS(1000,COLUMN(K$9)-1))),
SUMIF(INDIRECT(Equipo!$F$4&amp;"!B10:B1000"),$B115,INDIRECT(Equipo!$F$4&amp;"!"&amp;ADDRESS(10,COLUMN(K$9)-1)&amp;":"&amp;ADDRESS(1000,COLUMN(K$9)-1))),
SUMIF(INDIRECT(Equipo!$G$4&amp;"!B10:B1000"),$B115,INDIRECT(Equipo!$G$4&amp;"!"&amp;ADDRESS(10,COLUMN(K$9)-1)&amp;":"&amp;ADDRESS(1000,COLUMN(K$9)-1)))))</f>
        <v>-</v>
      </c>
    </row>
    <row r="116" ht="15.75" customHeight="1">
      <c r="B116" s="1" t="str">
        <f>IF(ISBLANK(Tareas!B112)," - ",Tareas!B112)</f>
        <v> - </v>
      </c>
      <c r="D116" s="19" t="str">
        <f t="array" ref="D116">IF(ISBLANK(Tareas!$B112),"-",SUM(
SUMIF(INDIRECT(Equipo!$C$4&amp;"!B10:B1000"),$B116,INDIRECT(Equipo!$C$4&amp;"!"&amp;ADDRESS(10,COLUMN(D$9)-1)&amp;":"&amp;ADDRESS(1000,COLUMN(D$9)-1))),
SUMIF(INDIRECT(Equipo!$D$4&amp;"!B10:B1000"),$B116,INDIRECT(Equipo!$D$4&amp;"!"&amp;ADDRESS(10,COLUMN(D$9)-1)&amp;":"&amp;ADDRESS(1000,COLUMN(D$9)-1))),
SUMIF(INDIRECT(Equipo!$E$4&amp;"!B10:B1000"),$B116,INDIRECT(Equipo!$E$4&amp;"!"&amp;ADDRESS(10,COLUMN(D$9)-1)&amp;":"&amp;ADDRESS(1000,COLUMN(D$9)-1))),
SUMIF(INDIRECT(Equipo!$F$4&amp;"!B10:B1000"),$B116,INDIRECT(Equipo!$F$4&amp;"!"&amp;ADDRESS(10,COLUMN(D$9)-1)&amp;":"&amp;ADDRESS(1000,COLUMN(D$9)-1))),
SUMIF(INDIRECT(Equipo!$G$4&amp;"!B10:B1000"),$B116,INDIRECT(Equipo!$G$4&amp;"!"&amp;ADDRESS(10,COLUMN(D$9)-1)&amp;":"&amp;ADDRESS(1000,COLUMN(D$9)-1)))))</f>
        <v>-</v>
      </c>
      <c r="E116" s="19" t="str">
        <f t="array" ref="E116">IF(ISBLANK(Tareas!$B112),"-",SUM(
SUMIF(INDIRECT(Equipo!$C$4&amp;"!B10:B1000"),$B116,INDIRECT(Equipo!$C$4&amp;"!"&amp;ADDRESS(10,COLUMN(E$9)-1)&amp;":"&amp;ADDRESS(1000,COLUMN(E$9)-1))),
SUMIF(INDIRECT(Equipo!$D$4&amp;"!B10:B1000"),$B116,INDIRECT(Equipo!$D$4&amp;"!"&amp;ADDRESS(10,COLUMN(E$9)-1)&amp;":"&amp;ADDRESS(1000,COLUMN(E$9)-1))),
SUMIF(INDIRECT(Equipo!$E$4&amp;"!B10:B1000"),$B116,INDIRECT(Equipo!$E$4&amp;"!"&amp;ADDRESS(10,COLUMN(E$9)-1)&amp;":"&amp;ADDRESS(1000,COLUMN(E$9)-1))),
SUMIF(INDIRECT(Equipo!$F$4&amp;"!B10:B1000"),$B116,INDIRECT(Equipo!$F$4&amp;"!"&amp;ADDRESS(10,COLUMN(E$9)-1)&amp;":"&amp;ADDRESS(1000,COLUMN(E$9)-1))),
SUMIF(INDIRECT(Equipo!$G$4&amp;"!B10:B1000"),$B116,INDIRECT(Equipo!$G$4&amp;"!"&amp;ADDRESS(10,COLUMN(E$9)-1)&amp;":"&amp;ADDRESS(1000,COLUMN(E$9)-1)))))</f>
        <v>-</v>
      </c>
      <c r="F116" s="19" t="str">
        <f t="array" ref="F116">IF(ISBLANK(Tareas!$B112),"-",SUM(
SUMIF(INDIRECT(Equipo!$C$4&amp;"!B10:B1000"),$B116,INDIRECT(Equipo!$C$4&amp;"!"&amp;ADDRESS(10,COLUMN(F$9)-1)&amp;":"&amp;ADDRESS(1000,COLUMN(F$9)-1))),
SUMIF(INDIRECT(Equipo!$D$4&amp;"!B10:B1000"),$B116,INDIRECT(Equipo!$D$4&amp;"!"&amp;ADDRESS(10,COLUMN(F$9)-1)&amp;":"&amp;ADDRESS(1000,COLUMN(F$9)-1))),
SUMIF(INDIRECT(Equipo!$E$4&amp;"!B10:B1000"),$B116,INDIRECT(Equipo!$E$4&amp;"!"&amp;ADDRESS(10,COLUMN(F$9)-1)&amp;":"&amp;ADDRESS(1000,COLUMN(F$9)-1))),
SUMIF(INDIRECT(Equipo!$F$4&amp;"!B10:B1000"),$B116,INDIRECT(Equipo!$F$4&amp;"!"&amp;ADDRESS(10,COLUMN(F$9)-1)&amp;":"&amp;ADDRESS(1000,COLUMN(F$9)-1))),
SUMIF(INDIRECT(Equipo!$G$4&amp;"!B10:B1000"),$B116,INDIRECT(Equipo!$G$4&amp;"!"&amp;ADDRESS(10,COLUMN(F$9)-1)&amp;":"&amp;ADDRESS(1000,COLUMN(F$9)-1)))))</f>
        <v>-</v>
      </c>
      <c r="G116" s="19" t="str">
        <f t="array" ref="G116">IF(ISBLANK(Tareas!$B112),"-",SUM(
SUMIF(INDIRECT(Equipo!$C$4&amp;"!B10:B1000"),$B116,INDIRECT(Equipo!$C$4&amp;"!"&amp;ADDRESS(10,COLUMN(G$9)-1)&amp;":"&amp;ADDRESS(1000,COLUMN(G$9)-1))),
SUMIF(INDIRECT(Equipo!$D$4&amp;"!B10:B1000"),$B116,INDIRECT(Equipo!$D$4&amp;"!"&amp;ADDRESS(10,COLUMN(G$9)-1)&amp;":"&amp;ADDRESS(1000,COLUMN(G$9)-1))),
SUMIF(INDIRECT(Equipo!$E$4&amp;"!B10:B1000"),$B116,INDIRECT(Equipo!$E$4&amp;"!"&amp;ADDRESS(10,COLUMN(G$9)-1)&amp;":"&amp;ADDRESS(1000,COLUMN(G$9)-1))),
SUMIF(INDIRECT(Equipo!$F$4&amp;"!B10:B1000"),$B116,INDIRECT(Equipo!$F$4&amp;"!"&amp;ADDRESS(10,COLUMN(G$9)-1)&amp;":"&amp;ADDRESS(1000,COLUMN(G$9)-1))),
SUMIF(INDIRECT(Equipo!$G$4&amp;"!B10:B1000"),$B116,INDIRECT(Equipo!$G$4&amp;"!"&amp;ADDRESS(10,COLUMN(G$9)-1)&amp;":"&amp;ADDRESS(1000,COLUMN(G$9)-1)))))</f>
        <v>-</v>
      </c>
      <c r="H116" s="19" t="str">
        <f t="array" ref="H116">IF(ISBLANK(Tareas!$B112),"-",SUM(
SUMIF(INDIRECT(Equipo!$C$4&amp;"!B10:B1000"),$B116,INDIRECT(Equipo!$C$4&amp;"!"&amp;ADDRESS(10,COLUMN(H$9)-1)&amp;":"&amp;ADDRESS(1000,COLUMN(H$9)-1))),
SUMIF(INDIRECT(Equipo!$D$4&amp;"!B10:B1000"),$B116,INDIRECT(Equipo!$D$4&amp;"!"&amp;ADDRESS(10,COLUMN(H$9)-1)&amp;":"&amp;ADDRESS(1000,COLUMN(H$9)-1))),
SUMIF(INDIRECT(Equipo!$E$4&amp;"!B10:B1000"),$B116,INDIRECT(Equipo!$E$4&amp;"!"&amp;ADDRESS(10,COLUMN(H$9)-1)&amp;":"&amp;ADDRESS(1000,COLUMN(H$9)-1))),
SUMIF(INDIRECT(Equipo!$F$4&amp;"!B10:B1000"),$B116,INDIRECT(Equipo!$F$4&amp;"!"&amp;ADDRESS(10,COLUMN(H$9)-1)&amp;":"&amp;ADDRESS(1000,COLUMN(H$9)-1))),
SUMIF(INDIRECT(Equipo!$G$4&amp;"!B10:B1000"),$B116,INDIRECT(Equipo!$G$4&amp;"!"&amp;ADDRESS(10,COLUMN(H$9)-1)&amp;":"&amp;ADDRESS(1000,COLUMN(H$9)-1)))))</f>
        <v>-</v>
      </c>
      <c r="I116" s="19" t="str">
        <f t="array" ref="I116">IF(ISBLANK(Tareas!$B112),"-",SUM(
SUMIF(INDIRECT(Equipo!$C$4&amp;"!B10:B1000"),$B116,INDIRECT(Equipo!$C$4&amp;"!"&amp;ADDRESS(10,COLUMN(I$9)-1)&amp;":"&amp;ADDRESS(1000,COLUMN(I$9)-1))),
SUMIF(INDIRECT(Equipo!$D$4&amp;"!B10:B1000"),$B116,INDIRECT(Equipo!$D$4&amp;"!"&amp;ADDRESS(10,COLUMN(I$9)-1)&amp;":"&amp;ADDRESS(1000,COLUMN(I$9)-1))),
SUMIF(INDIRECT(Equipo!$E$4&amp;"!B10:B1000"),$B116,INDIRECT(Equipo!$E$4&amp;"!"&amp;ADDRESS(10,COLUMN(I$9)-1)&amp;":"&amp;ADDRESS(1000,COLUMN(I$9)-1))),
SUMIF(INDIRECT(Equipo!$F$4&amp;"!B10:B1000"),$B116,INDIRECT(Equipo!$F$4&amp;"!"&amp;ADDRESS(10,COLUMN(I$9)-1)&amp;":"&amp;ADDRESS(1000,COLUMN(I$9)-1))),
SUMIF(INDIRECT(Equipo!$G$4&amp;"!B10:B1000"),$B116,INDIRECT(Equipo!$G$4&amp;"!"&amp;ADDRESS(10,COLUMN(I$9)-1)&amp;":"&amp;ADDRESS(1000,COLUMN(I$9)-1)))))</f>
        <v>-</v>
      </c>
      <c r="J116" s="19" t="str">
        <f t="array" ref="J116">IF(ISBLANK(Tareas!$B112),"-",SUM(
SUMIF(INDIRECT(Equipo!$C$4&amp;"!B10:B1000"),$B116,INDIRECT(Equipo!$C$4&amp;"!"&amp;ADDRESS(10,COLUMN(J$9)-1)&amp;":"&amp;ADDRESS(1000,COLUMN(J$9)-1))),
SUMIF(INDIRECT(Equipo!$D$4&amp;"!B10:B1000"),$B116,INDIRECT(Equipo!$D$4&amp;"!"&amp;ADDRESS(10,COLUMN(J$9)-1)&amp;":"&amp;ADDRESS(1000,COLUMN(J$9)-1))),
SUMIF(INDIRECT(Equipo!$E$4&amp;"!B10:B1000"),$B116,INDIRECT(Equipo!$E$4&amp;"!"&amp;ADDRESS(10,COLUMN(J$9)-1)&amp;":"&amp;ADDRESS(1000,COLUMN(J$9)-1))),
SUMIF(INDIRECT(Equipo!$F$4&amp;"!B10:B1000"),$B116,INDIRECT(Equipo!$F$4&amp;"!"&amp;ADDRESS(10,COLUMN(J$9)-1)&amp;":"&amp;ADDRESS(1000,COLUMN(J$9)-1))),
SUMIF(INDIRECT(Equipo!$G$4&amp;"!B10:B1000"),$B116,INDIRECT(Equipo!$G$4&amp;"!"&amp;ADDRESS(10,COLUMN(J$9)-1)&amp;":"&amp;ADDRESS(1000,COLUMN(J$9)-1)))))</f>
        <v>-</v>
      </c>
      <c r="K116" s="19" t="str">
        <f t="array" ref="K116">IF(ISBLANK(Tareas!$B112),"-",SUM(
SUMIF(INDIRECT(Equipo!$C$4&amp;"!B10:B1000"),$B116,INDIRECT(Equipo!$C$4&amp;"!"&amp;ADDRESS(10,COLUMN(K$9)-1)&amp;":"&amp;ADDRESS(1000,COLUMN(K$9)-1))),
SUMIF(INDIRECT(Equipo!$D$4&amp;"!B10:B1000"),$B116,INDIRECT(Equipo!$D$4&amp;"!"&amp;ADDRESS(10,COLUMN(K$9)-1)&amp;":"&amp;ADDRESS(1000,COLUMN(K$9)-1))),
SUMIF(INDIRECT(Equipo!$E$4&amp;"!B10:B1000"),$B116,INDIRECT(Equipo!$E$4&amp;"!"&amp;ADDRESS(10,COLUMN(K$9)-1)&amp;":"&amp;ADDRESS(1000,COLUMN(K$9)-1))),
SUMIF(INDIRECT(Equipo!$F$4&amp;"!B10:B1000"),$B116,INDIRECT(Equipo!$F$4&amp;"!"&amp;ADDRESS(10,COLUMN(K$9)-1)&amp;":"&amp;ADDRESS(1000,COLUMN(K$9)-1))),
SUMIF(INDIRECT(Equipo!$G$4&amp;"!B10:B1000"),$B116,INDIRECT(Equipo!$G$4&amp;"!"&amp;ADDRESS(10,COLUMN(K$9)-1)&amp;":"&amp;ADDRESS(1000,COLUMN(K$9)-1)))))</f>
        <v>-</v>
      </c>
    </row>
    <row r="117" ht="15.75" customHeight="1">
      <c r="B117" s="1" t="str">
        <f>IF(ISBLANK(Tareas!B113)," - ",Tareas!B113)</f>
        <v> - </v>
      </c>
      <c r="D117" s="19" t="str">
        <f t="array" ref="D117">IF(ISBLANK(Tareas!$B113),"-",SUM(
SUMIF(INDIRECT(Equipo!$C$4&amp;"!B10:B1000"),$B117,INDIRECT(Equipo!$C$4&amp;"!"&amp;ADDRESS(10,COLUMN(D$9)-1)&amp;":"&amp;ADDRESS(1000,COLUMN(D$9)-1))),
SUMIF(INDIRECT(Equipo!$D$4&amp;"!B10:B1000"),$B117,INDIRECT(Equipo!$D$4&amp;"!"&amp;ADDRESS(10,COLUMN(D$9)-1)&amp;":"&amp;ADDRESS(1000,COLUMN(D$9)-1))),
SUMIF(INDIRECT(Equipo!$E$4&amp;"!B10:B1000"),$B117,INDIRECT(Equipo!$E$4&amp;"!"&amp;ADDRESS(10,COLUMN(D$9)-1)&amp;":"&amp;ADDRESS(1000,COLUMN(D$9)-1))),
SUMIF(INDIRECT(Equipo!$F$4&amp;"!B10:B1000"),$B117,INDIRECT(Equipo!$F$4&amp;"!"&amp;ADDRESS(10,COLUMN(D$9)-1)&amp;":"&amp;ADDRESS(1000,COLUMN(D$9)-1))),
SUMIF(INDIRECT(Equipo!$G$4&amp;"!B10:B1000"),$B117,INDIRECT(Equipo!$G$4&amp;"!"&amp;ADDRESS(10,COLUMN(D$9)-1)&amp;":"&amp;ADDRESS(1000,COLUMN(D$9)-1)))))</f>
        <v>-</v>
      </c>
      <c r="E117" s="19" t="str">
        <f t="array" ref="E117">IF(ISBLANK(Tareas!$B113),"-",SUM(
SUMIF(INDIRECT(Equipo!$C$4&amp;"!B10:B1000"),$B117,INDIRECT(Equipo!$C$4&amp;"!"&amp;ADDRESS(10,COLUMN(E$9)-1)&amp;":"&amp;ADDRESS(1000,COLUMN(E$9)-1))),
SUMIF(INDIRECT(Equipo!$D$4&amp;"!B10:B1000"),$B117,INDIRECT(Equipo!$D$4&amp;"!"&amp;ADDRESS(10,COLUMN(E$9)-1)&amp;":"&amp;ADDRESS(1000,COLUMN(E$9)-1))),
SUMIF(INDIRECT(Equipo!$E$4&amp;"!B10:B1000"),$B117,INDIRECT(Equipo!$E$4&amp;"!"&amp;ADDRESS(10,COLUMN(E$9)-1)&amp;":"&amp;ADDRESS(1000,COLUMN(E$9)-1))),
SUMIF(INDIRECT(Equipo!$F$4&amp;"!B10:B1000"),$B117,INDIRECT(Equipo!$F$4&amp;"!"&amp;ADDRESS(10,COLUMN(E$9)-1)&amp;":"&amp;ADDRESS(1000,COLUMN(E$9)-1))),
SUMIF(INDIRECT(Equipo!$G$4&amp;"!B10:B1000"),$B117,INDIRECT(Equipo!$G$4&amp;"!"&amp;ADDRESS(10,COLUMN(E$9)-1)&amp;":"&amp;ADDRESS(1000,COLUMN(E$9)-1)))))</f>
        <v>-</v>
      </c>
      <c r="F117" s="19" t="str">
        <f t="array" ref="F117">IF(ISBLANK(Tareas!$B113),"-",SUM(
SUMIF(INDIRECT(Equipo!$C$4&amp;"!B10:B1000"),$B117,INDIRECT(Equipo!$C$4&amp;"!"&amp;ADDRESS(10,COLUMN(F$9)-1)&amp;":"&amp;ADDRESS(1000,COLUMN(F$9)-1))),
SUMIF(INDIRECT(Equipo!$D$4&amp;"!B10:B1000"),$B117,INDIRECT(Equipo!$D$4&amp;"!"&amp;ADDRESS(10,COLUMN(F$9)-1)&amp;":"&amp;ADDRESS(1000,COLUMN(F$9)-1))),
SUMIF(INDIRECT(Equipo!$E$4&amp;"!B10:B1000"),$B117,INDIRECT(Equipo!$E$4&amp;"!"&amp;ADDRESS(10,COLUMN(F$9)-1)&amp;":"&amp;ADDRESS(1000,COLUMN(F$9)-1))),
SUMIF(INDIRECT(Equipo!$F$4&amp;"!B10:B1000"),$B117,INDIRECT(Equipo!$F$4&amp;"!"&amp;ADDRESS(10,COLUMN(F$9)-1)&amp;":"&amp;ADDRESS(1000,COLUMN(F$9)-1))),
SUMIF(INDIRECT(Equipo!$G$4&amp;"!B10:B1000"),$B117,INDIRECT(Equipo!$G$4&amp;"!"&amp;ADDRESS(10,COLUMN(F$9)-1)&amp;":"&amp;ADDRESS(1000,COLUMN(F$9)-1)))))</f>
        <v>-</v>
      </c>
      <c r="G117" s="19" t="str">
        <f t="array" ref="G117">IF(ISBLANK(Tareas!$B113),"-",SUM(
SUMIF(INDIRECT(Equipo!$C$4&amp;"!B10:B1000"),$B117,INDIRECT(Equipo!$C$4&amp;"!"&amp;ADDRESS(10,COLUMN(G$9)-1)&amp;":"&amp;ADDRESS(1000,COLUMN(G$9)-1))),
SUMIF(INDIRECT(Equipo!$D$4&amp;"!B10:B1000"),$B117,INDIRECT(Equipo!$D$4&amp;"!"&amp;ADDRESS(10,COLUMN(G$9)-1)&amp;":"&amp;ADDRESS(1000,COLUMN(G$9)-1))),
SUMIF(INDIRECT(Equipo!$E$4&amp;"!B10:B1000"),$B117,INDIRECT(Equipo!$E$4&amp;"!"&amp;ADDRESS(10,COLUMN(G$9)-1)&amp;":"&amp;ADDRESS(1000,COLUMN(G$9)-1))),
SUMIF(INDIRECT(Equipo!$F$4&amp;"!B10:B1000"),$B117,INDIRECT(Equipo!$F$4&amp;"!"&amp;ADDRESS(10,COLUMN(G$9)-1)&amp;":"&amp;ADDRESS(1000,COLUMN(G$9)-1))),
SUMIF(INDIRECT(Equipo!$G$4&amp;"!B10:B1000"),$B117,INDIRECT(Equipo!$G$4&amp;"!"&amp;ADDRESS(10,COLUMN(G$9)-1)&amp;":"&amp;ADDRESS(1000,COLUMN(G$9)-1)))))</f>
        <v>-</v>
      </c>
      <c r="H117" s="19" t="str">
        <f t="array" ref="H117">IF(ISBLANK(Tareas!$B113),"-",SUM(
SUMIF(INDIRECT(Equipo!$C$4&amp;"!B10:B1000"),$B117,INDIRECT(Equipo!$C$4&amp;"!"&amp;ADDRESS(10,COLUMN(H$9)-1)&amp;":"&amp;ADDRESS(1000,COLUMN(H$9)-1))),
SUMIF(INDIRECT(Equipo!$D$4&amp;"!B10:B1000"),$B117,INDIRECT(Equipo!$D$4&amp;"!"&amp;ADDRESS(10,COLUMN(H$9)-1)&amp;":"&amp;ADDRESS(1000,COLUMN(H$9)-1))),
SUMIF(INDIRECT(Equipo!$E$4&amp;"!B10:B1000"),$B117,INDIRECT(Equipo!$E$4&amp;"!"&amp;ADDRESS(10,COLUMN(H$9)-1)&amp;":"&amp;ADDRESS(1000,COLUMN(H$9)-1))),
SUMIF(INDIRECT(Equipo!$F$4&amp;"!B10:B1000"),$B117,INDIRECT(Equipo!$F$4&amp;"!"&amp;ADDRESS(10,COLUMN(H$9)-1)&amp;":"&amp;ADDRESS(1000,COLUMN(H$9)-1))),
SUMIF(INDIRECT(Equipo!$G$4&amp;"!B10:B1000"),$B117,INDIRECT(Equipo!$G$4&amp;"!"&amp;ADDRESS(10,COLUMN(H$9)-1)&amp;":"&amp;ADDRESS(1000,COLUMN(H$9)-1)))))</f>
        <v>-</v>
      </c>
      <c r="I117" s="19" t="str">
        <f t="array" ref="I117">IF(ISBLANK(Tareas!$B113),"-",SUM(
SUMIF(INDIRECT(Equipo!$C$4&amp;"!B10:B1000"),$B117,INDIRECT(Equipo!$C$4&amp;"!"&amp;ADDRESS(10,COLUMN(I$9)-1)&amp;":"&amp;ADDRESS(1000,COLUMN(I$9)-1))),
SUMIF(INDIRECT(Equipo!$D$4&amp;"!B10:B1000"),$B117,INDIRECT(Equipo!$D$4&amp;"!"&amp;ADDRESS(10,COLUMN(I$9)-1)&amp;":"&amp;ADDRESS(1000,COLUMN(I$9)-1))),
SUMIF(INDIRECT(Equipo!$E$4&amp;"!B10:B1000"),$B117,INDIRECT(Equipo!$E$4&amp;"!"&amp;ADDRESS(10,COLUMN(I$9)-1)&amp;":"&amp;ADDRESS(1000,COLUMN(I$9)-1))),
SUMIF(INDIRECT(Equipo!$F$4&amp;"!B10:B1000"),$B117,INDIRECT(Equipo!$F$4&amp;"!"&amp;ADDRESS(10,COLUMN(I$9)-1)&amp;":"&amp;ADDRESS(1000,COLUMN(I$9)-1))),
SUMIF(INDIRECT(Equipo!$G$4&amp;"!B10:B1000"),$B117,INDIRECT(Equipo!$G$4&amp;"!"&amp;ADDRESS(10,COLUMN(I$9)-1)&amp;":"&amp;ADDRESS(1000,COLUMN(I$9)-1)))))</f>
        <v>-</v>
      </c>
      <c r="J117" s="19" t="str">
        <f t="array" ref="J117">IF(ISBLANK(Tareas!$B113),"-",SUM(
SUMIF(INDIRECT(Equipo!$C$4&amp;"!B10:B1000"),$B117,INDIRECT(Equipo!$C$4&amp;"!"&amp;ADDRESS(10,COLUMN(J$9)-1)&amp;":"&amp;ADDRESS(1000,COLUMN(J$9)-1))),
SUMIF(INDIRECT(Equipo!$D$4&amp;"!B10:B1000"),$B117,INDIRECT(Equipo!$D$4&amp;"!"&amp;ADDRESS(10,COLUMN(J$9)-1)&amp;":"&amp;ADDRESS(1000,COLUMN(J$9)-1))),
SUMIF(INDIRECT(Equipo!$E$4&amp;"!B10:B1000"),$B117,INDIRECT(Equipo!$E$4&amp;"!"&amp;ADDRESS(10,COLUMN(J$9)-1)&amp;":"&amp;ADDRESS(1000,COLUMN(J$9)-1))),
SUMIF(INDIRECT(Equipo!$F$4&amp;"!B10:B1000"),$B117,INDIRECT(Equipo!$F$4&amp;"!"&amp;ADDRESS(10,COLUMN(J$9)-1)&amp;":"&amp;ADDRESS(1000,COLUMN(J$9)-1))),
SUMIF(INDIRECT(Equipo!$G$4&amp;"!B10:B1000"),$B117,INDIRECT(Equipo!$G$4&amp;"!"&amp;ADDRESS(10,COLUMN(J$9)-1)&amp;":"&amp;ADDRESS(1000,COLUMN(J$9)-1)))))</f>
        <v>-</v>
      </c>
      <c r="K117" s="19" t="str">
        <f t="array" ref="K117">IF(ISBLANK(Tareas!$B113),"-",SUM(
SUMIF(INDIRECT(Equipo!$C$4&amp;"!B10:B1000"),$B117,INDIRECT(Equipo!$C$4&amp;"!"&amp;ADDRESS(10,COLUMN(K$9)-1)&amp;":"&amp;ADDRESS(1000,COLUMN(K$9)-1))),
SUMIF(INDIRECT(Equipo!$D$4&amp;"!B10:B1000"),$B117,INDIRECT(Equipo!$D$4&amp;"!"&amp;ADDRESS(10,COLUMN(K$9)-1)&amp;":"&amp;ADDRESS(1000,COLUMN(K$9)-1))),
SUMIF(INDIRECT(Equipo!$E$4&amp;"!B10:B1000"),$B117,INDIRECT(Equipo!$E$4&amp;"!"&amp;ADDRESS(10,COLUMN(K$9)-1)&amp;":"&amp;ADDRESS(1000,COLUMN(K$9)-1))),
SUMIF(INDIRECT(Equipo!$F$4&amp;"!B10:B1000"),$B117,INDIRECT(Equipo!$F$4&amp;"!"&amp;ADDRESS(10,COLUMN(K$9)-1)&amp;":"&amp;ADDRESS(1000,COLUMN(K$9)-1))),
SUMIF(INDIRECT(Equipo!$G$4&amp;"!B10:B1000"),$B117,INDIRECT(Equipo!$G$4&amp;"!"&amp;ADDRESS(10,COLUMN(K$9)-1)&amp;":"&amp;ADDRESS(1000,COLUMN(K$9)-1)))))</f>
        <v>-</v>
      </c>
    </row>
    <row r="118" ht="15.75" customHeight="1">
      <c r="B118" s="1" t="str">
        <f>IF(ISBLANK(Tareas!B114)," - ",Tareas!B114)</f>
        <v> - </v>
      </c>
      <c r="D118" s="19" t="str">
        <f t="array" ref="D118">IF(ISBLANK(Tareas!$B114),"-",SUM(
SUMIF(INDIRECT(Equipo!$C$4&amp;"!B10:B1000"),$B118,INDIRECT(Equipo!$C$4&amp;"!"&amp;ADDRESS(10,COLUMN(D$9)-1)&amp;":"&amp;ADDRESS(1000,COLUMN(D$9)-1))),
SUMIF(INDIRECT(Equipo!$D$4&amp;"!B10:B1000"),$B118,INDIRECT(Equipo!$D$4&amp;"!"&amp;ADDRESS(10,COLUMN(D$9)-1)&amp;":"&amp;ADDRESS(1000,COLUMN(D$9)-1))),
SUMIF(INDIRECT(Equipo!$E$4&amp;"!B10:B1000"),$B118,INDIRECT(Equipo!$E$4&amp;"!"&amp;ADDRESS(10,COLUMN(D$9)-1)&amp;":"&amp;ADDRESS(1000,COLUMN(D$9)-1))),
SUMIF(INDIRECT(Equipo!$F$4&amp;"!B10:B1000"),$B118,INDIRECT(Equipo!$F$4&amp;"!"&amp;ADDRESS(10,COLUMN(D$9)-1)&amp;":"&amp;ADDRESS(1000,COLUMN(D$9)-1))),
SUMIF(INDIRECT(Equipo!$G$4&amp;"!B10:B1000"),$B118,INDIRECT(Equipo!$G$4&amp;"!"&amp;ADDRESS(10,COLUMN(D$9)-1)&amp;":"&amp;ADDRESS(1000,COLUMN(D$9)-1)))))</f>
        <v>-</v>
      </c>
      <c r="E118" s="19" t="str">
        <f t="array" ref="E118">IF(ISBLANK(Tareas!$B114),"-",SUM(
SUMIF(INDIRECT(Equipo!$C$4&amp;"!B10:B1000"),$B118,INDIRECT(Equipo!$C$4&amp;"!"&amp;ADDRESS(10,COLUMN(E$9)-1)&amp;":"&amp;ADDRESS(1000,COLUMN(E$9)-1))),
SUMIF(INDIRECT(Equipo!$D$4&amp;"!B10:B1000"),$B118,INDIRECT(Equipo!$D$4&amp;"!"&amp;ADDRESS(10,COLUMN(E$9)-1)&amp;":"&amp;ADDRESS(1000,COLUMN(E$9)-1))),
SUMIF(INDIRECT(Equipo!$E$4&amp;"!B10:B1000"),$B118,INDIRECT(Equipo!$E$4&amp;"!"&amp;ADDRESS(10,COLUMN(E$9)-1)&amp;":"&amp;ADDRESS(1000,COLUMN(E$9)-1))),
SUMIF(INDIRECT(Equipo!$F$4&amp;"!B10:B1000"),$B118,INDIRECT(Equipo!$F$4&amp;"!"&amp;ADDRESS(10,COLUMN(E$9)-1)&amp;":"&amp;ADDRESS(1000,COLUMN(E$9)-1))),
SUMIF(INDIRECT(Equipo!$G$4&amp;"!B10:B1000"),$B118,INDIRECT(Equipo!$G$4&amp;"!"&amp;ADDRESS(10,COLUMN(E$9)-1)&amp;":"&amp;ADDRESS(1000,COLUMN(E$9)-1)))))</f>
        <v>-</v>
      </c>
      <c r="F118" s="19" t="str">
        <f t="array" ref="F118">IF(ISBLANK(Tareas!$B114),"-",SUM(
SUMIF(INDIRECT(Equipo!$C$4&amp;"!B10:B1000"),$B118,INDIRECT(Equipo!$C$4&amp;"!"&amp;ADDRESS(10,COLUMN(F$9)-1)&amp;":"&amp;ADDRESS(1000,COLUMN(F$9)-1))),
SUMIF(INDIRECT(Equipo!$D$4&amp;"!B10:B1000"),$B118,INDIRECT(Equipo!$D$4&amp;"!"&amp;ADDRESS(10,COLUMN(F$9)-1)&amp;":"&amp;ADDRESS(1000,COLUMN(F$9)-1))),
SUMIF(INDIRECT(Equipo!$E$4&amp;"!B10:B1000"),$B118,INDIRECT(Equipo!$E$4&amp;"!"&amp;ADDRESS(10,COLUMN(F$9)-1)&amp;":"&amp;ADDRESS(1000,COLUMN(F$9)-1))),
SUMIF(INDIRECT(Equipo!$F$4&amp;"!B10:B1000"),$B118,INDIRECT(Equipo!$F$4&amp;"!"&amp;ADDRESS(10,COLUMN(F$9)-1)&amp;":"&amp;ADDRESS(1000,COLUMN(F$9)-1))),
SUMIF(INDIRECT(Equipo!$G$4&amp;"!B10:B1000"),$B118,INDIRECT(Equipo!$G$4&amp;"!"&amp;ADDRESS(10,COLUMN(F$9)-1)&amp;":"&amp;ADDRESS(1000,COLUMN(F$9)-1)))))</f>
        <v>-</v>
      </c>
      <c r="G118" s="19" t="str">
        <f t="array" ref="G118">IF(ISBLANK(Tareas!$B114),"-",SUM(
SUMIF(INDIRECT(Equipo!$C$4&amp;"!B10:B1000"),$B118,INDIRECT(Equipo!$C$4&amp;"!"&amp;ADDRESS(10,COLUMN(G$9)-1)&amp;":"&amp;ADDRESS(1000,COLUMN(G$9)-1))),
SUMIF(INDIRECT(Equipo!$D$4&amp;"!B10:B1000"),$B118,INDIRECT(Equipo!$D$4&amp;"!"&amp;ADDRESS(10,COLUMN(G$9)-1)&amp;":"&amp;ADDRESS(1000,COLUMN(G$9)-1))),
SUMIF(INDIRECT(Equipo!$E$4&amp;"!B10:B1000"),$B118,INDIRECT(Equipo!$E$4&amp;"!"&amp;ADDRESS(10,COLUMN(G$9)-1)&amp;":"&amp;ADDRESS(1000,COLUMN(G$9)-1))),
SUMIF(INDIRECT(Equipo!$F$4&amp;"!B10:B1000"),$B118,INDIRECT(Equipo!$F$4&amp;"!"&amp;ADDRESS(10,COLUMN(G$9)-1)&amp;":"&amp;ADDRESS(1000,COLUMN(G$9)-1))),
SUMIF(INDIRECT(Equipo!$G$4&amp;"!B10:B1000"),$B118,INDIRECT(Equipo!$G$4&amp;"!"&amp;ADDRESS(10,COLUMN(G$9)-1)&amp;":"&amp;ADDRESS(1000,COLUMN(G$9)-1)))))</f>
        <v>-</v>
      </c>
      <c r="H118" s="19" t="str">
        <f t="array" ref="H118">IF(ISBLANK(Tareas!$B114),"-",SUM(
SUMIF(INDIRECT(Equipo!$C$4&amp;"!B10:B1000"),$B118,INDIRECT(Equipo!$C$4&amp;"!"&amp;ADDRESS(10,COLUMN(H$9)-1)&amp;":"&amp;ADDRESS(1000,COLUMN(H$9)-1))),
SUMIF(INDIRECT(Equipo!$D$4&amp;"!B10:B1000"),$B118,INDIRECT(Equipo!$D$4&amp;"!"&amp;ADDRESS(10,COLUMN(H$9)-1)&amp;":"&amp;ADDRESS(1000,COLUMN(H$9)-1))),
SUMIF(INDIRECT(Equipo!$E$4&amp;"!B10:B1000"),$B118,INDIRECT(Equipo!$E$4&amp;"!"&amp;ADDRESS(10,COLUMN(H$9)-1)&amp;":"&amp;ADDRESS(1000,COLUMN(H$9)-1))),
SUMIF(INDIRECT(Equipo!$F$4&amp;"!B10:B1000"),$B118,INDIRECT(Equipo!$F$4&amp;"!"&amp;ADDRESS(10,COLUMN(H$9)-1)&amp;":"&amp;ADDRESS(1000,COLUMN(H$9)-1))),
SUMIF(INDIRECT(Equipo!$G$4&amp;"!B10:B1000"),$B118,INDIRECT(Equipo!$G$4&amp;"!"&amp;ADDRESS(10,COLUMN(H$9)-1)&amp;":"&amp;ADDRESS(1000,COLUMN(H$9)-1)))))</f>
        <v>-</v>
      </c>
      <c r="I118" s="19" t="str">
        <f t="array" ref="I118">IF(ISBLANK(Tareas!$B114),"-",SUM(
SUMIF(INDIRECT(Equipo!$C$4&amp;"!B10:B1000"),$B118,INDIRECT(Equipo!$C$4&amp;"!"&amp;ADDRESS(10,COLUMN(I$9)-1)&amp;":"&amp;ADDRESS(1000,COLUMN(I$9)-1))),
SUMIF(INDIRECT(Equipo!$D$4&amp;"!B10:B1000"),$B118,INDIRECT(Equipo!$D$4&amp;"!"&amp;ADDRESS(10,COLUMN(I$9)-1)&amp;":"&amp;ADDRESS(1000,COLUMN(I$9)-1))),
SUMIF(INDIRECT(Equipo!$E$4&amp;"!B10:B1000"),$B118,INDIRECT(Equipo!$E$4&amp;"!"&amp;ADDRESS(10,COLUMN(I$9)-1)&amp;":"&amp;ADDRESS(1000,COLUMN(I$9)-1))),
SUMIF(INDIRECT(Equipo!$F$4&amp;"!B10:B1000"),$B118,INDIRECT(Equipo!$F$4&amp;"!"&amp;ADDRESS(10,COLUMN(I$9)-1)&amp;":"&amp;ADDRESS(1000,COLUMN(I$9)-1))),
SUMIF(INDIRECT(Equipo!$G$4&amp;"!B10:B1000"),$B118,INDIRECT(Equipo!$G$4&amp;"!"&amp;ADDRESS(10,COLUMN(I$9)-1)&amp;":"&amp;ADDRESS(1000,COLUMN(I$9)-1)))))</f>
        <v>-</v>
      </c>
      <c r="J118" s="19" t="str">
        <f t="array" ref="J118">IF(ISBLANK(Tareas!$B114),"-",SUM(
SUMIF(INDIRECT(Equipo!$C$4&amp;"!B10:B1000"),$B118,INDIRECT(Equipo!$C$4&amp;"!"&amp;ADDRESS(10,COLUMN(J$9)-1)&amp;":"&amp;ADDRESS(1000,COLUMN(J$9)-1))),
SUMIF(INDIRECT(Equipo!$D$4&amp;"!B10:B1000"),$B118,INDIRECT(Equipo!$D$4&amp;"!"&amp;ADDRESS(10,COLUMN(J$9)-1)&amp;":"&amp;ADDRESS(1000,COLUMN(J$9)-1))),
SUMIF(INDIRECT(Equipo!$E$4&amp;"!B10:B1000"),$B118,INDIRECT(Equipo!$E$4&amp;"!"&amp;ADDRESS(10,COLUMN(J$9)-1)&amp;":"&amp;ADDRESS(1000,COLUMN(J$9)-1))),
SUMIF(INDIRECT(Equipo!$F$4&amp;"!B10:B1000"),$B118,INDIRECT(Equipo!$F$4&amp;"!"&amp;ADDRESS(10,COLUMN(J$9)-1)&amp;":"&amp;ADDRESS(1000,COLUMN(J$9)-1))),
SUMIF(INDIRECT(Equipo!$G$4&amp;"!B10:B1000"),$B118,INDIRECT(Equipo!$G$4&amp;"!"&amp;ADDRESS(10,COLUMN(J$9)-1)&amp;":"&amp;ADDRESS(1000,COLUMN(J$9)-1)))))</f>
        <v>-</v>
      </c>
      <c r="K118" s="19" t="str">
        <f t="array" ref="K118">IF(ISBLANK(Tareas!$B114),"-",SUM(
SUMIF(INDIRECT(Equipo!$C$4&amp;"!B10:B1000"),$B118,INDIRECT(Equipo!$C$4&amp;"!"&amp;ADDRESS(10,COLUMN(K$9)-1)&amp;":"&amp;ADDRESS(1000,COLUMN(K$9)-1))),
SUMIF(INDIRECT(Equipo!$D$4&amp;"!B10:B1000"),$B118,INDIRECT(Equipo!$D$4&amp;"!"&amp;ADDRESS(10,COLUMN(K$9)-1)&amp;":"&amp;ADDRESS(1000,COLUMN(K$9)-1))),
SUMIF(INDIRECT(Equipo!$E$4&amp;"!B10:B1000"),$B118,INDIRECT(Equipo!$E$4&amp;"!"&amp;ADDRESS(10,COLUMN(K$9)-1)&amp;":"&amp;ADDRESS(1000,COLUMN(K$9)-1))),
SUMIF(INDIRECT(Equipo!$F$4&amp;"!B10:B1000"),$B118,INDIRECT(Equipo!$F$4&amp;"!"&amp;ADDRESS(10,COLUMN(K$9)-1)&amp;":"&amp;ADDRESS(1000,COLUMN(K$9)-1))),
SUMIF(INDIRECT(Equipo!$G$4&amp;"!B10:B1000"),$B118,INDIRECT(Equipo!$G$4&amp;"!"&amp;ADDRESS(10,COLUMN(K$9)-1)&amp;":"&amp;ADDRESS(1000,COLUMN(K$9)-1)))))</f>
        <v>-</v>
      </c>
    </row>
    <row r="119" ht="15.75" customHeight="1">
      <c r="B119" s="1" t="str">
        <f>IF(ISBLANK(Tareas!B115)," - ",Tareas!B115)</f>
        <v> - </v>
      </c>
      <c r="D119" s="19" t="str">
        <f t="array" ref="D119">IF(ISBLANK(Tareas!$B115),"-",SUM(
SUMIF(INDIRECT(Equipo!$C$4&amp;"!B10:B1000"),$B119,INDIRECT(Equipo!$C$4&amp;"!"&amp;ADDRESS(10,COLUMN(D$9)-1)&amp;":"&amp;ADDRESS(1000,COLUMN(D$9)-1))),
SUMIF(INDIRECT(Equipo!$D$4&amp;"!B10:B1000"),$B119,INDIRECT(Equipo!$D$4&amp;"!"&amp;ADDRESS(10,COLUMN(D$9)-1)&amp;":"&amp;ADDRESS(1000,COLUMN(D$9)-1))),
SUMIF(INDIRECT(Equipo!$E$4&amp;"!B10:B1000"),$B119,INDIRECT(Equipo!$E$4&amp;"!"&amp;ADDRESS(10,COLUMN(D$9)-1)&amp;":"&amp;ADDRESS(1000,COLUMN(D$9)-1))),
SUMIF(INDIRECT(Equipo!$F$4&amp;"!B10:B1000"),$B119,INDIRECT(Equipo!$F$4&amp;"!"&amp;ADDRESS(10,COLUMN(D$9)-1)&amp;":"&amp;ADDRESS(1000,COLUMN(D$9)-1))),
SUMIF(INDIRECT(Equipo!$G$4&amp;"!B10:B1000"),$B119,INDIRECT(Equipo!$G$4&amp;"!"&amp;ADDRESS(10,COLUMN(D$9)-1)&amp;":"&amp;ADDRESS(1000,COLUMN(D$9)-1)))))</f>
        <v>-</v>
      </c>
      <c r="E119" s="19" t="str">
        <f t="array" ref="E119">IF(ISBLANK(Tareas!$B115),"-",SUM(
SUMIF(INDIRECT(Equipo!$C$4&amp;"!B10:B1000"),$B119,INDIRECT(Equipo!$C$4&amp;"!"&amp;ADDRESS(10,COLUMN(E$9)-1)&amp;":"&amp;ADDRESS(1000,COLUMN(E$9)-1))),
SUMIF(INDIRECT(Equipo!$D$4&amp;"!B10:B1000"),$B119,INDIRECT(Equipo!$D$4&amp;"!"&amp;ADDRESS(10,COLUMN(E$9)-1)&amp;":"&amp;ADDRESS(1000,COLUMN(E$9)-1))),
SUMIF(INDIRECT(Equipo!$E$4&amp;"!B10:B1000"),$B119,INDIRECT(Equipo!$E$4&amp;"!"&amp;ADDRESS(10,COLUMN(E$9)-1)&amp;":"&amp;ADDRESS(1000,COLUMN(E$9)-1))),
SUMIF(INDIRECT(Equipo!$F$4&amp;"!B10:B1000"),$B119,INDIRECT(Equipo!$F$4&amp;"!"&amp;ADDRESS(10,COLUMN(E$9)-1)&amp;":"&amp;ADDRESS(1000,COLUMN(E$9)-1))),
SUMIF(INDIRECT(Equipo!$G$4&amp;"!B10:B1000"),$B119,INDIRECT(Equipo!$G$4&amp;"!"&amp;ADDRESS(10,COLUMN(E$9)-1)&amp;":"&amp;ADDRESS(1000,COLUMN(E$9)-1)))))</f>
        <v>-</v>
      </c>
      <c r="F119" s="19" t="str">
        <f t="array" ref="F119">IF(ISBLANK(Tareas!$B115),"-",SUM(
SUMIF(INDIRECT(Equipo!$C$4&amp;"!B10:B1000"),$B119,INDIRECT(Equipo!$C$4&amp;"!"&amp;ADDRESS(10,COLUMN(F$9)-1)&amp;":"&amp;ADDRESS(1000,COLUMN(F$9)-1))),
SUMIF(INDIRECT(Equipo!$D$4&amp;"!B10:B1000"),$B119,INDIRECT(Equipo!$D$4&amp;"!"&amp;ADDRESS(10,COLUMN(F$9)-1)&amp;":"&amp;ADDRESS(1000,COLUMN(F$9)-1))),
SUMIF(INDIRECT(Equipo!$E$4&amp;"!B10:B1000"),$B119,INDIRECT(Equipo!$E$4&amp;"!"&amp;ADDRESS(10,COLUMN(F$9)-1)&amp;":"&amp;ADDRESS(1000,COLUMN(F$9)-1))),
SUMIF(INDIRECT(Equipo!$F$4&amp;"!B10:B1000"),$B119,INDIRECT(Equipo!$F$4&amp;"!"&amp;ADDRESS(10,COLUMN(F$9)-1)&amp;":"&amp;ADDRESS(1000,COLUMN(F$9)-1))),
SUMIF(INDIRECT(Equipo!$G$4&amp;"!B10:B1000"),$B119,INDIRECT(Equipo!$G$4&amp;"!"&amp;ADDRESS(10,COLUMN(F$9)-1)&amp;":"&amp;ADDRESS(1000,COLUMN(F$9)-1)))))</f>
        <v>-</v>
      </c>
      <c r="G119" s="19" t="str">
        <f t="array" ref="G119">IF(ISBLANK(Tareas!$B115),"-",SUM(
SUMIF(INDIRECT(Equipo!$C$4&amp;"!B10:B1000"),$B119,INDIRECT(Equipo!$C$4&amp;"!"&amp;ADDRESS(10,COLUMN(G$9)-1)&amp;":"&amp;ADDRESS(1000,COLUMN(G$9)-1))),
SUMIF(INDIRECT(Equipo!$D$4&amp;"!B10:B1000"),$B119,INDIRECT(Equipo!$D$4&amp;"!"&amp;ADDRESS(10,COLUMN(G$9)-1)&amp;":"&amp;ADDRESS(1000,COLUMN(G$9)-1))),
SUMIF(INDIRECT(Equipo!$E$4&amp;"!B10:B1000"),$B119,INDIRECT(Equipo!$E$4&amp;"!"&amp;ADDRESS(10,COLUMN(G$9)-1)&amp;":"&amp;ADDRESS(1000,COLUMN(G$9)-1))),
SUMIF(INDIRECT(Equipo!$F$4&amp;"!B10:B1000"),$B119,INDIRECT(Equipo!$F$4&amp;"!"&amp;ADDRESS(10,COLUMN(G$9)-1)&amp;":"&amp;ADDRESS(1000,COLUMN(G$9)-1))),
SUMIF(INDIRECT(Equipo!$G$4&amp;"!B10:B1000"),$B119,INDIRECT(Equipo!$G$4&amp;"!"&amp;ADDRESS(10,COLUMN(G$9)-1)&amp;":"&amp;ADDRESS(1000,COLUMN(G$9)-1)))))</f>
        <v>-</v>
      </c>
      <c r="H119" s="19" t="str">
        <f t="array" ref="H119">IF(ISBLANK(Tareas!$B115),"-",SUM(
SUMIF(INDIRECT(Equipo!$C$4&amp;"!B10:B1000"),$B119,INDIRECT(Equipo!$C$4&amp;"!"&amp;ADDRESS(10,COLUMN(H$9)-1)&amp;":"&amp;ADDRESS(1000,COLUMN(H$9)-1))),
SUMIF(INDIRECT(Equipo!$D$4&amp;"!B10:B1000"),$B119,INDIRECT(Equipo!$D$4&amp;"!"&amp;ADDRESS(10,COLUMN(H$9)-1)&amp;":"&amp;ADDRESS(1000,COLUMN(H$9)-1))),
SUMIF(INDIRECT(Equipo!$E$4&amp;"!B10:B1000"),$B119,INDIRECT(Equipo!$E$4&amp;"!"&amp;ADDRESS(10,COLUMN(H$9)-1)&amp;":"&amp;ADDRESS(1000,COLUMN(H$9)-1))),
SUMIF(INDIRECT(Equipo!$F$4&amp;"!B10:B1000"),$B119,INDIRECT(Equipo!$F$4&amp;"!"&amp;ADDRESS(10,COLUMN(H$9)-1)&amp;":"&amp;ADDRESS(1000,COLUMN(H$9)-1))),
SUMIF(INDIRECT(Equipo!$G$4&amp;"!B10:B1000"),$B119,INDIRECT(Equipo!$G$4&amp;"!"&amp;ADDRESS(10,COLUMN(H$9)-1)&amp;":"&amp;ADDRESS(1000,COLUMN(H$9)-1)))))</f>
        <v>-</v>
      </c>
      <c r="I119" s="19" t="str">
        <f t="array" ref="I119">IF(ISBLANK(Tareas!$B115),"-",SUM(
SUMIF(INDIRECT(Equipo!$C$4&amp;"!B10:B1000"),$B119,INDIRECT(Equipo!$C$4&amp;"!"&amp;ADDRESS(10,COLUMN(I$9)-1)&amp;":"&amp;ADDRESS(1000,COLUMN(I$9)-1))),
SUMIF(INDIRECT(Equipo!$D$4&amp;"!B10:B1000"),$B119,INDIRECT(Equipo!$D$4&amp;"!"&amp;ADDRESS(10,COLUMN(I$9)-1)&amp;":"&amp;ADDRESS(1000,COLUMN(I$9)-1))),
SUMIF(INDIRECT(Equipo!$E$4&amp;"!B10:B1000"),$B119,INDIRECT(Equipo!$E$4&amp;"!"&amp;ADDRESS(10,COLUMN(I$9)-1)&amp;":"&amp;ADDRESS(1000,COLUMN(I$9)-1))),
SUMIF(INDIRECT(Equipo!$F$4&amp;"!B10:B1000"),$B119,INDIRECT(Equipo!$F$4&amp;"!"&amp;ADDRESS(10,COLUMN(I$9)-1)&amp;":"&amp;ADDRESS(1000,COLUMN(I$9)-1))),
SUMIF(INDIRECT(Equipo!$G$4&amp;"!B10:B1000"),$B119,INDIRECT(Equipo!$G$4&amp;"!"&amp;ADDRESS(10,COLUMN(I$9)-1)&amp;":"&amp;ADDRESS(1000,COLUMN(I$9)-1)))))</f>
        <v>-</v>
      </c>
      <c r="J119" s="19" t="str">
        <f t="array" ref="J119">IF(ISBLANK(Tareas!$B115),"-",SUM(
SUMIF(INDIRECT(Equipo!$C$4&amp;"!B10:B1000"),$B119,INDIRECT(Equipo!$C$4&amp;"!"&amp;ADDRESS(10,COLUMN(J$9)-1)&amp;":"&amp;ADDRESS(1000,COLUMN(J$9)-1))),
SUMIF(INDIRECT(Equipo!$D$4&amp;"!B10:B1000"),$B119,INDIRECT(Equipo!$D$4&amp;"!"&amp;ADDRESS(10,COLUMN(J$9)-1)&amp;":"&amp;ADDRESS(1000,COLUMN(J$9)-1))),
SUMIF(INDIRECT(Equipo!$E$4&amp;"!B10:B1000"),$B119,INDIRECT(Equipo!$E$4&amp;"!"&amp;ADDRESS(10,COLUMN(J$9)-1)&amp;":"&amp;ADDRESS(1000,COLUMN(J$9)-1))),
SUMIF(INDIRECT(Equipo!$F$4&amp;"!B10:B1000"),$B119,INDIRECT(Equipo!$F$4&amp;"!"&amp;ADDRESS(10,COLUMN(J$9)-1)&amp;":"&amp;ADDRESS(1000,COLUMN(J$9)-1))),
SUMIF(INDIRECT(Equipo!$G$4&amp;"!B10:B1000"),$B119,INDIRECT(Equipo!$G$4&amp;"!"&amp;ADDRESS(10,COLUMN(J$9)-1)&amp;":"&amp;ADDRESS(1000,COLUMN(J$9)-1)))))</f>
        <v>-</v>
      </c>
      <c r="K119" s="19" t="str">
        <f t="array" ref="K119">IF(ISBLANK(Tareas!$B115),"-",SUM(
SUMIF(INDIRECT(Equipo!$C$4&amp;"!B10:B1000"),$B119,INDIRECT(Equipo!$C$4&amp;"!"&amp;ADDRESS(10,COLUMN(K$9)-1)&amp;":"&amp;ADDRESS(1000,COLUMN(K$9)-1))),
SUMIF(INDIRECT(Equipo!$D$4&amp;"!B10:B1000"),$B119,INDIRECT(Equipo!$D$4&amp;"!"&amp;ADDRESS(10,COLUMN(K$9)-1)&amp;":"&amp;ADDRESS(1000,COLUMN(K$9)-1))),
SUMIF(INDIRECT(Equipo!$E$4&amp;"!B10:B1000"),$B119,INDIRECT(Equipo!$E$4&amp;"!"&amp;ADDRESS(10,COLUMN(K$9)-1)&amp;":"&amp;ADDRESS(1000,COLUMN(K$9)-1))),
SUMIF(INDIRECT(Equipo!$F$4&amp;"!B10:B1000"),$B119,INDIRECT(Equipo!$F$4&amp;"!"&amp;ADDRESS(10,COLUMN(K$9)-1)&amp;":"&amp;ADDRESS(1000,COLUMN(K$9)-1))),
SUMIF(INDIRECT(Equipo!$G$4&amp;"!B10:B1000"),$B119,INDIRECT(Equipo!$G$4&amp;"!"&amp;ADDRESS(10,COLUMN(K$9)-1)&amp;":"&amp;ADDRESS(1000,COLUMN(K$9)-1)))))</f>
        <v>-</v>
      </c>
    </row>
    <row r="120" ht="15.75" customHeight="1">
      <c r="B120" s="1" t="str">
        <f>IF(ISBLANK(Tareas!B116)," - ",Tareas!B116)</f>
        <v> - </v>
      </c>
      <c r="D120" s="19" t="str">
        <f t="array" ref="D120">IF(ISBLANK(Tareas!$B116),"-",SUM(
SUMIF(INDIRECT(Equipo!$C$4&amp;"!B10:B1000"),$B120,INDIRECT(Equipo!$C$4&amp;"!"&amp;ADDRESS(10,COLUMN(D$9)-1)&amp;":"&amp;ADDRESS(1000,COLUMN(D$9)-1))),
SUMIF(INDIRECT(Equipo!$D$4&amp;"!B10:B1000"),$B120,INDIRECT(Equipo!$D$4&amp;"!"&amp;ADDRESS(10,COLUMN(D$9)-1)&amp;":"&amp;ADDRESS(1000,COLUMN(D$9)-1))),
SUMIF(INDIRECT(Equipo!$E$4&amp;"!B10:B1000"),$B120,INDIRECT(Equipo!$E$4&amp;"!"&amp;ADDRESS(10,COLUMN(D$9)-1)&amp;":"&amp;ADDRESS(1000,COLUMN(D$9)-1))),
SUMIF(INDIRECT(Equipo!$F$4&amp;"!B10:B1000"),$B120,INDIRECT(Equipo!$F$4&amp;"!"&amp;ADDRESS(10,COLUMN(D$9)-1)&amp;":"&amp;ADDRESS(1000,COLUMN(D$9)-1))),
SUMIF(INDIRECT(Equipo!$G$4&amp;"!B10:B1000"),$B120,INDIRECT(Equipo!$G$4&amp;"!"&amp;ADDRESS(10,COLUMN(D$9)-1)&amp;":"&amp;ADDRESS(1000,COLUMN(D$9)-1)))))</f>
        <v>-</v>
      </c>
      <c r="E120" s="19" t="str">
        <f t="array" ref="E120">IF(ISBLANK(Tareas!$B116),"-",SUM(
SUMIF(INDIRECT(Equipo!$C$4&amp;"!B10:B1000"),$B120,INDIRECT(Equipo!$C$4&amp;"!"&amp;ADDRESS(10,COLUMN(E$9)-1)&amp;":"&amp;ADDRESS(1000,COLUMN(E$9)-1))),
SUMIF(INDIRECT(Equipo!$D$4&amp;"!B10:B1000"),$B120,INDIRECT(Equipo!$D$4&amp;"!"&amp;ADDRESS(10,COLUMN(E$9)-1)&amp;":"&amp;ADDRESS(1000,COLUMN(E$9)-1))),
SUMIF(INDIRECT(Equipo!$E$4&amp;"!B10:B1000"),$B120,INDIRECT(Equipo!$E$4&amp;"!"&amp;ADDRESS(10,COLUMN(E$9)-1)&amp;":"&amp;ADDRESS(1000,COLUMN(E$9)-1))),
SUMIF(INDIRECT(Equipo!$F$4&amp;"!B10:B1000"),$B120,INDIRECT(Equipo!$F$4&amp;"!"&amp;ADDRESS(10,COLUMN(E$9)-1)&amp;":"&amp;ADDRESS(1000,COLUMN(E$9)-1))),
SUMIF(INDIRECT(Equipo!$G$4&amp;"!B10:B1000"),$B120,INDIRECT(Equipo!$G$4&amp;"!"&amp;ADDRESS(10,COLUMN(E$9)-1)&amp;":"&amp;ADDRESS(1000,COLUMN(E$9)-1)))))</f>
        <v>-</v>
      </c>
      <c r="F120" s="19" t="str">
        <f t="array" ref="F120">IF(ISBLANK(Tareas!$B116),"-",SUM(
SUMIF(INDIRECT(Equipo!$C$4&amp;"!B10:B1000"),$B120,INDIRECT(Equipo!$C$4&amp;"!"&amp;ADDRESS(10,COLUMN(F$9)-1)&amp;":"&amp;ADDRESS(1000,COLUMN(F$9)-1))),
SUMIF(INDIRECT(Equipo!$D$4&amp;"!B10:B1000"),$B120,INDIRECT(Equipo!$D$4&amp;"!"&amp;ADDRESS(10,COLUMN(F$9)-1)&amp;":"&amp;ADDRESS(1000,COLUMN(F$9)-1))),
SUMIF(INDIRECT(Equipo!$E$4&amp;"!B10:B1000"),$B120,INDIRECT(Equipo!$E$4&amp;"!"&amp;ADDRESS(10,COLUMN(F$9)-1)&amp;":"&amp;ADDRESS(1000,COLUMN(F$9)-1))),
SUMIF(INDIRECT(Equipo!$F$4&amp;"!B10:B1000"),$B120,INDIRECT(Equipo!$F$4&amp;"!"&amp;ADDRESS(10,COLUMN(F$9)-1)&amp;":"&amp;ADDRESS(1000,COLUMN(F$9)-1))),
SUMIF(INDIRECT(Equipo!$G$4&amp;"!B10:B1000"),$B120,INDIRECT(Equipo!$G$4&amp;"!"&amp;ADDRESS(10,COLUMN(F$9)-1)&amp;":"&amp;ADDRESS(1000,COLUMN(F$9)-1)))))</f>
        <v>-</v>
      </c>
      <c r="G120" s="19" t="str">
        <f t="array" ref="G120">IF(ISBLANK(Tareas!$B116),"-",SUM(
SUMIF(INDIRECT(Equipo!$C$4&amp;"!B10:B1000"),$B120,INDIRECT(Equipo!$C$4&amp;"!"&amp;ADDRESS(10,COLUMN(G$9)-1)&amp;":"&amp;ADDRESS(1000,COLUMN(G$9)-1))),
SUMIF(INDIRECT(Equipo!$D$4&amp;"!B10:B1000"),$B120,INDIRECT(Equipo!$D$4&amp;"!"&amp;ADDRESS(10,COLUMN(G$9)-1)&amp;":"&amp;ADDRESS(1000,COLUMN(G$9)-1))),
SUMIF(INDIRECT(Equipo!$E$4&amp;"!B10:B1000"),$B120,INDIRECT(Equipo!$E$4&amp;"!"&amp;ADDRESS(10,COLUMN(G$9)-1)&amp;":"&amp;ADDRESS(1000,COLUMN(G$9)-1))),
SUMIF(INDIRECT(Equipo!$F$4&amp;"!B10:B1000"),$B120,INDIRECT(Equipo!$F$4&amp;"!"&amp;ADDRESS(10,COLUMN(G$9)-1)&amp;":"&amp;ADDRESS(1000,COLUMN(G$9)-1))),
SUMIF(INDIRECT(Equipo!$G$4&amp;"!B10:B1000"),$B120,INDIRECT(Equipo!$G$4&amp;"!"&amp;ADDRESS(10,COLUMN(G$9)-1)&amp;":"&amp;ADDRESS(1000,COLUMN(G$9)-1)))))</f>
        <v>-</v>
      </c>
      <c r="H120" s="19" t="str">
        <f t="array" ref="H120">IF(ISBLANK(Tareas!$B116),"-",SUM(
SUMIF(INDIRECT(Equipo!$C$4&amp;"!B10:B1000"),$B120,INDIRECT(Equipo!$C$4&amp;"!"&amp;ADDRESS(10,COLUMN(H$9)-1)&amp;":"&amp;ADDRESS(1000,COLUMN(H$9)-1))),
SUMIF(INDIRECT(Equipo!$D$4&amp;"!B10:B1000"),$B120,INDIRECT(Equipo!$D$4&amp;"!"&amp;ADDRESS(10,COLUMN(H$9)-1)&amp;":"&amp;ADDRESS(1000,COLUMN(H$9)-1))),
SUMIF(INDIRECT(Equipo!$E$4&amp;"!B10:B1000"),$B120,INDIRECT(Equipo!$E$4&amp;"!"&amp;ADDRESS(10,COLUMN(H$9)-1)&amp;":"&amp;ADDRESS(1000,COLUMN(H$9)-1))),
SUMIF(INDIRECT(Equipo!$F$4&amp;"!B10:B1000"),$B120,INDIRECT(Equipo!$F$4&amp;"!"&amp;ADDRESS(10,COLUMN(H$9)-1)&amp;":"&amp;ADDRESS(1000,COLUMN(H$9)-1))),
SUMIF(INDIRECT(Equipo!$G$4&amp;"!B10:B1000"),$B120,INDIRECT(Equipo!$G$4&amp;"!"&amp;ADDRESS(10,COLUMN(H$9)-1)&amp;":"&amp;ADDRESS(1000,COLUMN(H$9)-1)))))</f>
        <v>-</v>
      </c>
      <c r="I120" s="19" t="str">
        <f t="array" ref="I120">IF(ISBLANK(Tareas!$B116),"-",SUM(
SUMIF(INDIRECT(Equipo!$C$4&amp;"!B10:B1000"),$B120,INDIRECT(Equipo!$C$4&amp;"!"&amp;ADDRESS(10,COLUMN(I$9)-1)&amp;":"&amp;ADDRESS(1000,COLUMN(I$9)-1))),
SUMIF(INDIRECT(Equipo!$D$4&amp;"!B10:B1000"),$B120,INDIRECT(Equipo!$D$4&amp;"!"&amp;ADDRESS(10,COLUMN(I$9)-1)&amp;":"&amp;ADDRESS(1000,COLUMN(I$9)-1))),
SUMIF(INDIRECT(Equipo!$E$4&amp;"!B10:B1000"),$B120,INDIRECT(Equipo!$E$4&amp;"!"&amp;ADDRESS(10,COLUMN(I$9)-1)&amp;":"&amp;ADDRESS(1000,COLUMN(I$9)-1))),
SUMIF(INDIRECT(Equipo!$F$4&amp;"!B10:B1000"),$B120,INDIRECT(Equipo!$F$4&amp;"!"&amp;ADDRESS(10,COLUMN(I$9)-1)&amp;":"&amp;ADDRESS(1000,COLUMN(I$9)-1))),
SUMIF(INDIRECT(Equipo!$G$4&amp;"!B10:B1000"),$B120,INDIRECT(Equipo!$G$4&amp;"!"&amp;ADDRESS(10,COLUMN(I$9)-1)&amp;":"&amp;ADDRESS(1000,COLUMN(I$9)-1)))))</f>
        <v>-</v>
      </c>
      <c r="J120" s="19" t="str">
        <f t="array" ref="J120">IF(ISBLANK(Tareas!$B116),"-",SUM(
SUMIF(INDIRECT(Equipo!$C$4&amp;"!B10:B1000"),$B120,INDIRECT(Equipo!$C$4&amp;"!"&amp;ADDRESS(10,COLUMN(J$9)-1)&amp;":"&amp;ADDRESS(1000,COLUMN(J$9)-1))),
SUMIF(INDIRECT(Equipo!$D$4&amp;"!B10:B1000"),$B120,INDIRECT(Equipo!$D$4&amp;"!"&amp;ADDRESS(10,COLUMN(J$9)-1)&amp;":"&amp;ADDRESS(1000,COLUMN(J$9)-1))),
SUMIF(INDIRECT(Equipo!$E$4&amp;"!B10:B1000"),$B120,INDIRECT(Equipo!$E$4&amp;"!"&amp;ADDRESS(10,COLUMN(J$9)-1)&amp;":"&amp;ADDRESS(1000,COLUMN(J$9)-1))),
SUMIF(INDIRECT(Equipo!$F$4&amp;"!B10:B1000"),$B120,INDIRECT(Equipo!$F$4&amp;"!"&amp;ADDRESS(10,COLUMN(J$9)-1)&amp;":"&amp;ADDRESS(1000,COLUMN(J$9)-1))),
SUMIF(INDIRECT(Equipo!$G$4&amp;"!B10:B1000"),$B120,INDIRECT(Equipo!$G$4&amp;"!"&amp;ADDRESS(10,COLUMN(J$9)-1)&amp;":"&amp;ADDRESS(1000,COLUMN(J$9)-1)))))</f>
        <v>-</v>
      </c>
      <c r="K120" s="19" t="str">
        <f t="array" ref="K120">IF(ISBLANK(Tareas!$B116),"-",SUM(
SUMIF(INDIRECT(Equipo!$C$4&amp;"!B10:B1000"),$B120,INDIRECT(Equipo!$C$4&amp;"!"&amp;ADDRESS(10,COLUMN(K$9)-1)&amp;":"&amp;ADDRESS(1000,COLUMN(K$9)-1))),
SUMIF(INDIRECT(Equipo!$D$4&amp;"!B10:B1000"),$B120,INDIRECT(Equipo!$D$4&amp;"!"&amp;ADDRESS(10,COLUMN(K$9)-1)&amp;":"&amp;ADDRESS(1000,COLUMN(K$9)-1))),
SUMIF(INDIRECT(Equipo!$E$4&amp;"!B10:B1000"),$B120,INDIRECT(Equipo!$E$4&amp;"!"&amp;ADDRESS(10,COLUMN(K$9)-1)&amp;":"&amp;ADDRESS(1000,COLUMN(K$9)-1))),
SUMIF(INDIRECT(Equipo!$F$4&amp;"!B10:B1000"),$B120,INDIRECT(Equipo!$F$4&amp;"!"&amp;ADDRESS(10,COLUMN(K$9)-1)&amp;":"&amp;ADDRESS(1000,COLUMN(K$9)-1))),
SUMIF(INDIRECT(Equipo!$G$4&amp;"!B10:B1000"),$B120,INDIRECT(Equipo!$G$4&amp;"!"&amp;ADDRESS(10,COLUMN(K$9)-1)&amp;":"&amp;ADDRESS(1000,COLUMN(K$9)-1)))))</f>
        <v>-</v>
      </c>
    </row>
    <row r="121" ht="15.75" customHeight="1">
      <c r="B121" s="1" t="str">
        <f>IF(ISBLANK(Tareas!B117)," - ",Tareas!B117)</f>
        <v> - </v>
      </c>
      <c r="D121" s="19" t="str">
        <f t="array" ref="D121">IF(ISBLANK(Tareas!$B117),"-",SUM(
SUMIF(INDIRECT(Equipo!$C$4&amp;"!B10:B1000"),$B121,INDIRECT(Equipo!$C$4&amp;"!"&amp;ADDRESS(10,COLUMN(D$9)-1)&amp;":"&amp;ADDRESS(1000,COLUMN(D$9)-1))),
SUMIF(INDIRECT(Equipo!$D$4&amp;"!B10:B1000"),$B121,INDIRECT(Equipo!$D$4&amp;"!"&amp;ADDRESS(10,COLUMN(D$9)-1)&amp;":"&amp;ADDRESS(1000,COLUMN(D$9)-1))),
SUMIF(INDIRECT(Equipo!$E$4&amp;"!B10:B1000"),$B121,INDIRECT(Equipo!$E$4&amp;"!"&amp;ADDRESS(10,COLUMN(D$9)-1)&amp;":"&amp;ADDRESS(1000,COLUMN(D$9)-1))),
SUMIF(INDIRECT(Equipo!$F$4&amp;"!B10:B1000"),$B121,INDIRECT(Equipo!$F$4&amp;"!"&amp;ADDRESS(10,COLUMN(D$9)-1)&amp;":"&amp;ADDRESS(1000,COLUMN(D$9)-1))),
SUMIF(INDIRECT(Equipo!$G$4&amp;"!B10:B1000"),$B121,INDIRECT(Equipo!$G$4&amp;"!"&amp;ADDRESS(10,COLUMN(D$9)-1)&amp;":"&amp;ADDRESS(1000,COLUMN(D$9)-1)))))</f>
        <v>-</v>
      </c>
      <c r="E121" s="19" t="str">
        <f t="array" ref="E121">IF(ISBLANK(Tareas!$B117),"-",SUM(
SUMIF(INDIRECT(Equipo!$C$4&amp;"!B10:B1000"),$B121,INDIRECT(Equipo!$C$4&amp;"!"&amp;ADDRESS(10,COLUMN(E$9)-1)&amp;":"&amp;ADDRESS(1000,COLUMN(E$9)-1))),
SUMIF(INDIRECT(Equipo!$D$4&amp;"!B10:B1000"),$B121,INDIRECT(Equipo!$D$4&amp;"!"&amp;ADDRESS(10,COLUMN(E$9)-1)&amp;":"&amp;ADDRESS(1000,COLUMN(E$9)-1))),
SUMIF(INDIRECT(Equipo!$E$4&amp;"!B10:B1000"),$B121,INDIRECT(Equipo!$E$4&amp;"!"&amp;ADDRESS(10,COLUMN(E$9)-1)&amp;":"&amp;ADDRESS(1000,COLUMN(E$9)-1))),
SUMIF(INDIRECT(Equipo!$F$4&amp;"!B10:B1000"),$B121,INDIRECT(Equipo!$F$4&amp;"!"&amp;ADDRESS(10,COLUMN(E$9)-1)&amp;":"&amp;ADDRESS(1000,COLUMN(E$9)-1))),
SUMIF(INDIRECT(Equipo!$G$4&amp;"!B10:B1000"),$B121,INDIRECT(Equipo!$G$4&amp;"!"&amp;ADDRESS(10,COLUMN(E$9)-1)&amp;":"&amp;ADDRESS(1000,COLUMN(E$9)-1)))))</f>
        <v>-</v>
      </c>
      <c r="F121" s="19" t="str">
        <f t="array" ref="F121">IF(ISBLANK(Tareas!$B117),"-",SUM(
SUMIF(INDIRECT(Equipo!$C$4&amp;"!B10:B1000"),$B121,INDIRECT(Equipo!$C$4&amp;"!"&amp;ADDRESS(10,COLUMN(F$9)-1)&amp;":"&amp;ADDRESS(1000,COLUMN(F$9)-1))),
SUMIF(INDIRECT(Equipo!$D$4&amp;"!B10:B1000"),$B121,INDIRECT(Equipo!$D$4&amp;"!"&amp;ADDRESS(10,COLUMN(F$9)-1)&amp;":"&amp;ADDRESS(1000,COLUMN(F$9)-1))),
SUMIF(INDIRECT(Equipo!$E$4&amp;"!B10:B1000"),$B121,INDIRECT(Equipo!$E$4&amp;"!"&amp;ADDRESS(10,COLUMN(F$9)-1)&amp;":"&amp;ADDRESS(1000,COLUMN(F$9)-1))),
SUMIF(INDIRECT(Equipo!$F$4&amp;"!B10:B1000"),$B121,INDIRECT(Equipo!$F$4&amp;"!"&amp;ADDRESS(10,COLUMN(F$9)-1)&amp;":"&amp;ADDRESS(1000,COLUMN(F$9)-1))),
SUMIF(INDIRECT(Equipo!$G$4&amp;"!B10:B1000"),$B121,INDIRECT(Equipo!$G$4&amp;"!"&amp;ADDRESS(10,COLUMN(F$9)-1)&amp;":"&amp;ADDRESS(1000,COLUMN(F$9)-1)))))</f>
        <v>-</v>
      </c>
      <c r="G121" s="19" t="str">
        <f t="array" ref="G121">IF(ISBLANK(Tareas!$B117),"-",SUM(
SUMIF(INDIRECT(Equipo!$C$4&amp;"!B10:B1000"),$B121,INDIRECT(Equipo!$C$4&amp;"!"&amp;ADDRESS(10,COLUMN(G$9)-1)&amp;":"&amp;ADDRESS(1000,COLUMN(G$9)-1))),
SUMIF(INDIRECT(Equipo!$D$4&amp;"!B10:B1000"),$B121,INDIRECT(Equipo!$D$4&amp;"!"&amp;ADDRESS(10,COLUMN(G$9)-1)&amp;":"&amp;ADDRESS(1000,COLUMN(G$9)-1))),
SUMIF(INDIRECT(Equipo!$E$4&amp;"!B10:B1000"),$B121,INDIRECT(Equipo!$E$4&amp;"!"&amp;ADDRESS(10,COLUMN(G$9)-1)&amp;":"&amp;ADDRESS(1000,COLUMN(G$9)-1))),
SUMIF(INDIRECT(Equipo!$F$4&amp;"!B10:B1000"),$B121,INDIRECT(Equipo!$F$4&amp;"!"&amp;ADDRESS(10,COLUMN(G$9)-1)&amp;":"&amp;ADDRESS(1000,COLUMN(G$9)-1))),
SUMIF(INDIRECT(Equipo!$G$4&amp;"!B10:B1000"),$B121,INDIRECT(Equipo!$G$4&amp;"!"&amp;ADDRESS(10,COLUMN(G$9)-1)&amp;":"&amp;ADDRESS(1000,COLUMN(G$9)-1)))))</f>
        <v>-</v>
      </c>
      <c r="H121" s="19" t="str">
        <f t="array" ref="H121">IF(ISBLANK(Tareas!$B117),"-",SUM(
SUMIF(INDIRECT(Equipo!$C$4&amp;"!B10:B1000"),$B121,INDIRECT(Equipo!$C$4&amp;"!"&amp;ADDRESS(10,COLUMN(H$9)-1)&amp;":"&amp;ADDRESS(1000,COLUMN(H$9)-1))),
SUMIF(INDIRECT(Equipo!$D$4&amp;"!B10:B1000"),$B121,INDIRECT(Equipo!$D$4&amp;"!"&amp;ADDRESS(10,COLUMN(H$9)-1)&amp;":"&amp;ADDRESS(1000,COLUMN(H$9)-1))),
SUMIF(INDIRECT(Equipo!$E$4&amp;"!B10:B1000"),$B121,INDIRECT(Equipo!$E$4&amp;"!"&amp;ADDRESS(10,COLUMN(H$9)-1)&amp;":"&amp;ADDRESS(1000,COLUMN(H$9)-1))),
SUMIF(INDIRECT(Equipo!$F$4&amp;"!B10:B1000"),$B121,INDIRECT(Equipo!$F$4&amp;"!"&amp;ADDRESS(10,COLUMN(H$9)-1)&amp;":"&amp;ADDRESS(1000,COLUMN(H$9)-1))),
SUMIF(INDIRECT(Equipo!$G$4&amp;"!B10:B1000"),$B121,INDIRECT(Equipo!$G$4&amp;"!"&amp;ADDRESS(10,COLUMN(H$9)-1)&amp;":"&amp;ADDRESS(1000,COLUMN(H$9)-1)))))</f>
        <v>-</v>
      </c>
      <c r="I121" s="19" t="str">
        <f t="array" ref="I121">IF(ISBLANK(Tareas!$B117),"-",SUM(
SUMIF(INDIRECT(Equipo!$C$4&amp;"!B10:B1000"),$B121,INDIRECT(Equipo!$C$4&amp;"!"&amp;ADDRESS(10,COLUMN(I$9)-1)&amp;":"&amp;ADDRESS(1000,COLUMN(I$9)-1))),
SUMIF(INDIRECT(Equipo!$D$4&amp;"!B10:B1000"),$B121,INDIRECT(Equipo!$D$4&amp;"!"&amp;ADDRESS(10,COLUMN(I$9)-1)&amp;":"&amp;ADDRESS(1000,COLUMN(I$9)-1))),
SUMIF(INDIRECT(Equipo!$E$4&amp;"!B10:B1000"),$B121,INDIRECT(Equipo!$E$4&amp;"!"&amp;ADDRESS(10,COLUMN(I$9)-1)&amp;":"&amp;ADDRESS(1000,COLUMN(I$9)-1))),
SUMIF(INDIRECT(Equipo!$F$4&amp;"!B10:B1000"),$B121,INDIRECT(Equipo!$F$4&amp;"!"&amp;ADDRESS(10,COLUMN(I$9)-1)&amp;":"&amp;ADDRESS(1000,COLUMN(I$9)-1))),
SUMIF(INDIRECT(Equipo!$G$4&amp;"!B10:B1000"),$B121,INDIRECT(Equipo!$G$4&amp;"!"&amp;ADDRESS(10,COLUMN(I$9)-1)&amp;":"&amp;ADDRESS(1000,COLUMN(I$9)-1)))))</f>
        <v>-</v>
      </c>
      <c r="J121" s="19" t="str">
        <f t="array" ref="J121">IF(ISBLANK(Tareas!$B117),"-",SUM(
SUMIF(INDIRECT(Equipo!$C$4&amp;"!B10:B1000"),$B121,INDIRECT(Equipo!$C$4&amp;"!"&amp;ADDRESS(10,COLUMN(J$9)-1)&amp;":"&amp;ADDRESS(1000,COLUMN(J$9)-1))),
SUMIF(INDIRECT(Equipo!$D$4&amp;"!B10:B1000"),$B121,INDIRECT(Equipo!$D$4&amp;"!"&amp;ADDRESS(10,COLUMN(J$9)-1)&amp;":"&amp;ADDRESS(1000,COLUMN(J$9)-1))),
SUMIF(INDIRECT(Equipo!$E$4&amp;"!B10:B1000"),$B121,INDIRECT(Equipo!$E$4&amp;"!"&amp;ADDRESS(10,COLUMN(J$9)-1)&amp;":"&amp;ADDRESS(1000,COLUMN(J$9)-1))),
SUMIF(INDIRECT(Equipo!$F$4&amp;"!B10:B1000"),$B121,INDIRECT(Equipo!$F$4&amp;"!"&amp;ADDRESS(10,COLUMN(J$9)-1)&amp;":"&amp;ADDRESS(1000,COLUMN(J$9)-1))),
SUMIF(INDIRECT(Equipo!$G$4&amp;"!B10:B1000"),$B121,INDIRECT(Equipo!$G$4&amp;"!"&amp;ADDRESS(10,COLUMN(J$9)-1)&amp;":"&amp;ADDRESS(1000,COLUMN(J$9)-1)))))</f>
        <v>-</v>
      </c>
      <c r="K121" s="19" t="str">
        <f t="array" ref="K121">IF(ISBLANK(Tareas!$B117),"-",SUM(
SUMIF(INDIRECT(Equipo!$C$4&amp;"!B10:B1000"),$B121,INDIRECT(Equipo!$C$4&amp;"!"&amp;ADDRESS(10,COLUMN(K$9)-1)&amp;":"&amp;ADDRESS(1000,COLUMN(K$9)-1))),
SUMIF(INDIRECT(Equipo!$D$4&amp;"!B10:B1000"),$B121,INDIRECT(Equipo!$D$4&amp;"!"&amp;ADDRESS(10,COLUMN(K$9)-1)&amp;":"&amp;ADDRESS(1000,COLUMN(K$9)-1))),
SUMIF(INDIRECT(Equipo!$E$4&amp;"!B10:B1000"),$B121,INDIRECT(Equipo!$E$4&amp;"!"&amp;ADDRESS(10,COLUMN(K$9)-1)&amp;":"&amp;ADDRESS(1000,COLUMN(K$9)-1))),
SUMIF(INDIRECT(Equipo!$F$4&amp;"!B10:B1000"),$B121,INDIRECT(Equipo!$F$4&amp;"!"&amp;ADDRESS(10,COLUMN(K$9)-1)&amp;":"&amp;ADDRESS(1000,COLUMN(K$9)-1))),
SUMIF(INDIRECT(Equipo!$G$4&amp;"!B10:B1000"),$B121,INDIRECT(Equipo!$G$4&amp;"!"&amp;ADDRESS(10,COLUMN(K$9)-1)&amp;":"&amp;ADDRESS(1000,COLUMN(K$9)-1)))))</f>
        <v>-</v>
      </c>
    </row>
    <row r="122" ht="15.75" customHeight="1">
      <c r="B122" s="1" t="str">
        <f>IF(ISBLANK(Tareas!B118)," - ",Tareas!B118)</f>
        <v> - </v>
      </c>
      <c r="D122" s="19" t="str">
        <f t="array" ref="D122">IF(ISBLANK(Tareas!$B118),"-",SUM(
SUMIF(INDIRECT(Equipo!$C$4&amp;"!B10:B1000"),$B122,INDIRECT(Equipo!$C$4&amp;"!"&amp;ADDRESS(10,COLUMN(D$9)-1)&amp;":"&amp;ADDRESS(1000,COLUMN(D$9)-1))),
SUMIF(INDIRECT(Equipo!$D$4&amp;"!B10:B1000"),$B122,INDIRECT(Equipo!$D$4&amp;"!"&amp;ADDRESS(10,COLUMN(D$9)-1)&amp;":"&amp;ADDRESS(1000,COLUMN(D$9)-1))),
SUMIF(INDIRECT(Equipo!$E$4&amp;"!B10:B1000"),$B122,INDIRECT(Equipo!$E$4&amp;"!"&amp;ADDRESS(10,COLUMN(D$9)-1)&amp;":"&amp;ADDRESS(1000,COLUMN(D$9)-1))),
SUMIF(INDIRECT(Equipo!$F$4&amp;"!B10:B1000"),$B122,INDIRECT(Equipo!$F$4&amp;"!"&amp;ADDRESS(10,COLUMN(D$9)-1)&amp;":"&amp;ADDRESS(1000,COLUMN(D$9)-1))),
SUMIF(INDIRECT(Equipo!$G$4&amp;"!B10:B1000"),$B122,INDIRECT(Equipo!$G$4&amp;"!"&amp;ADDRESS(10,COLUMN(D$9)-1)&amp;":"&amp;ADDRESS(1000,COLUMN(D$9)-1)))))</f>
        <v>-</v>
      </c>
      <c r="E122" s="19" t="str">
        <f t="array" ref="E122">IF(ISBLANK(Tareas!$B118),"-",SUM(
SUMIF(INDIRECT(Equipo!$C$4&amp;"!B10:B1000"),$B122,INDIRECT(Equipo!$C$4&amp;"!"&amp;ADDRESS(10,COLUMN(E$9)-1)&amp;":"&amp;ADDRESS(1000,COLUMN(E$9)-1))),
SUMIF(INDIRECT(Equipo!$D$4&amp;"!B10:B1000"),$B122,INDIRECT(Equipo!$D$4&amp;"!"&amp;ADDRESS(10,COLUMN(E$9)-1)&amp;":"&amp;ADDRESS(1000,COLUMN(E$9)-1))),
SUMIF(INDIRECT(Equipo!$E$4&amp;"!B10:B1000"),$B122,INDIRECT(Equipo!$E$4&amp;"!"&amp;ADDRESS(10,COLUMN(E$9)-1)&amp;":"&amp;ADDRESS(1000,COLUMN(E$9)-1))),
SUMIF(INDIRECT(Equipo!$F$4&amp;"!B10:B1000"),$B122,INDIRECT(Equipo!$F$4&amp;"!"&amp;ADDRESS(10,COLUMN(E$9)-1)&amp;":"&amp;ADDRESS(1000,COLUMN(E$9)-1))),
SUMIF(INDIRECT(Equipo!$G$4&amp;"!B10:B1000"),$B122,INDIRECT(Equipo!$G$4&amp;"!"&amp;ADDRESS(10,COLUMN(E$9)-1)&amp;":"&amp;ADDRESS(1000,COLUMN(E$9)-1)))))</f>
        <v>-</v>
      </c>
      <c r="F122" s="19" t="str">
        <f t="array" ref="F122">IF(ISBLANK(Tareas!$B118),"-",SUM(
SUMIF(INDIRECT(Equipo!$C$4&amp;"!B10:B1000"),$B122,INDIRECT(Equipo!$C$4&amp;"!"&amp;ADDRESS(10,COLUMN(F$9)-1)&amp;":"&amp;ADDRESS(1000,COLUMN(F$9)-1))),
SUMIF(INDIRECT(Equipo!$D$4&amp;"!B10:B1000"),$B122,INDIRECT(Equipo!$D$4&amp;"!"&amp;ADDRESS(10,COLUMN(F$9)-1)&amp;":"&amp;ADDRESS(1000,COLUMN(F$9)-1))),
SUMIF(INDIRECT(Equipo!$E$4&amp;"!B10:B1000"),$B122,INDIRECT(Equipo!$E$4&amp;"!"&amp;ADDRESS(10,COLUMN(F$9)-1)&amp;":"&amp;ADDRESS(1000,COLUMN(F$9)-1))),
SUMIF(INDIRECT(Equipo!$F$4&amp;"!B10:B1000"),$B122,INDIRECT(Equipo!$F$4&amp;"!"&amp;ADDRESS(10,COLUMN(F$9)-1)&amp;":"&amp;ADDRESS(1000,COLUMN(F$9)-1))),
SUMIF(INDIRECT(Equipo!$G$4&amp;"!B10:B1000"),$B122,INDIRECT(Equipo!$G$4&amp;"!"&amp;ADDRESS(10,COLUMN(F$9)-1)&amp;":"&amp;ADDRESS(1000,COLUMN(F$9)-1)))))</f>
        <v>-</v>
      </c>
      <c r="G122" s="19" t="str">
        <f t="array" ref="G122">IF(ISBLANK(Tareas!$B118),"-",SUM(
SUMIF(INDIRECT(Equipo!$C$4&amp;"!B10:B1000"),$B122,INDIRECT(Equipo!$C$4&amp;"!"&amp;ADDRESS(10,COLUMN(G$9)-1)&amp;":"&amp;ADDRESS(1000,COLUMN(G$9)-1))),
SUMIF(INDIRECT(Equipo!$D$4&amp;"!B10:B1000"),$B122,INDIRECT(Equipo!$D$4&amp;"!"&amp;ADDRESS(10,COLUMN(G$9)-1)&amp;":"&amp;ADDRESS(1000,COLUMN(G$9)-1))),
SUMIF(INDIRECT(Equipo!$E$4&amp;"!B10:B1000"),$B122,INDIRECT(Equipo!$E$4&amp;"!"&amp;ADDRESS(10,COLUMN(G$9)-1)&amp;":"&amp;ADDRESS(1000,COLUMN(G$9)-1))),
SUMIF(INDIRECT(Equipo!$F$4&amp;"!B10:B1000"),$B122,INDIRECT(Equipo!$F$4&amp;"!"&amp;ADDRESS(10,COLUMN(G$9)-1)&amp;":"&amp;ADDRESS(1000,COLUMN(G$9)-1))),
SUMIF(INDIRECT(Equipo!$G$4&amp;"!B10:B1000"),$B122,INDIRECT(Equipo!$G$4&amp;"!"&amp;ADDRESS(10,COLUMN(G$9)-1)&amp;":"&amp;ADDRESS(1000,COLUMN(G$9)-1)))))</f>
        <v>-</v>
      </c>
      <c r="H122" s="19" t="str">
        <f t="array" ref="H122">IF(ISBLANK(Tareas!$B118),"-",SUM(
SUMIF(INDIRECT(Equipo!$C$4&amp;"!B10:B1000"),$B122,INDIRECT(Equipo!$C$4&amp;"!"&amp;ADDRESS(10,COLUMN(H$9)-1)&amp;":"&amp;ADDRESS(1000,COLUMN(H$9)-1))),
SUMIF(INDIRECT(Equipo!$D$4&amp;"!B10:B1000"),$B122,INDIRECT(Equipo!$D$4&amp;"!"&amp;ADDRESS(10,COLUMN(H$9)-1)&amp;":"&amp;ADDRESS(1000,COLUMN(H$9)-1))),
SUMIF(INDIRECT(Equipo!$E$4&amp;"!B10:B1000"),$B122,INDIRECT(Equipo!$E$4&amp;"!"&amp;ADDRESS(10,COLUMN(H$9)-1)&amp;":"&amp;ADDRESS(1000,COLUMN(H$9)-1))),
SUMIF(INDIRECT(Equipo!$F$4&amp;"!B10:B1000"),$B122,INDIRECT(Equipo!$F$4&amp;"!"&amp;ADDRESS(10,COLUMN(H$9)-1)&amp;":"&amp;ADDRESS(1000,COLUMN(H$9)-1))),
SUMIF(INDIRECT(Equipo!$G$4&amp;"!B10:B1000"),$B122,INDIRECT(Equipo!$G$4&amp;"!"&amp;ADDRESS(10,COLUMN(H$9)-1)&amp;":"&amp;ADDRESS(1000,COLUMN(H$9)-1)))))</f>
        <v>-</v>
      </c>
      <c r="I122" s="19" t="str">
        <f t="array" ref="I122">IF(ISBLANK(Tareas!$B118),"-",SUM(
SUMIF(INDIRECT(Equipo!$C$4&amp;"!B10:B1000"),$B122,INDIRECT(Equipo!$C$4&amp;"!"&amp;ADDRESS(10,COLUMN(I$9)-1)&amp;":"&amp;ADDRESS(1000,COLUMN(I$9)-1))),
SUMIF(INDIRECT(Equipo!$D$4&amp;"!B10:B1000"),$B122,INDIRECT(Equipo!$D$4&amp;"!"&amp;ADDRESS(10,COLUMN(I$9)-1)&amp;":"&amp;ADDRESS(1000,COLUMN(I$9)-1))),
SUMIF(INDIRECT(Equipo!$E$4&amp;"!B10:B1000"),$B122,INDIRECT(Equipo!$E$4&amp;"!"&amp;ADDRESS(10,COLUMN(I$9)-1)&amp;":"&amp;ADDRESS(1000,COLUMN(I$9)-1))),
SUMIF(INDIRECT(Equipo!$F$4&amp;"!B10:B1000"),$B122,INDIRECT(Equipo!$F$4&amp;"!"&amp;ADDRESS(10,COLUMN(I$9)-1)&amp;":"&amp;ADDRESS(1000,COLUMN(I$9)-1))),
SUMIF(INDIRECT(Equipo!$G$4&amp;"!B10:B1000"),$B122,INDIRECT(Equipo!$G$4&amp;"!"&amp;ADDRESS(10,COLUMN(I$9)-1)&amp;":"&amp;ADDRESS(1000,COLUMN(I$9)-1)))))</f>
        <v>-</v>
      </c>
      <c r="J122" s="19" t="str">
        <f t="array" ref="J122">IF(ISBLANK(Tareas!$B118),"-",SUM(
SUMIF(INDIRECT(Equipo!$C$4&amp;"!B10:B1000"),$B122,INDIRECT(Equipo!$C$4&amp;"!"&amp;ADDRESS(10,COLUMN(J$9)-1)&amp;":"&amp;ADDRESS(1000,COLUMN(J$9)-1))),
SUMIF(INDIRECT(Equipo!$D$4&amp;"!B10:B1000"),$B122,INDIRECT(Equipo!$D$4&amp;"!"&amp;ADDRESS(10,COLUMN(J$9)-1)&amp;":"&amp;ADDRESS(1000,COLUMN(J$9)-1))),
SUMIF(INDIRECT(Equipo!$E$4&amp;"!B10:B1000"),$B122,INDIRECT(Equipo!$E$4&amp;"!"&amp;ADDRESS(10,COLUMN(J$9)-1)&amp;":"&amp;ADDRESS(1000,COLUMN(J$9)-1))),
SUMIF(INDIRECT(Equipo!$F$4&amp;"!B10:B1000"),$B122,INDIRECT(Equipo!$F$4&amp;"!"&amp;ADDRESS(10,COLUMN(J$9)-1)&amp;":"&amp;ADDRESS(1000,COLUMN(J$9)-1))),
SUMIF(INDIRECT(Equipo!$G$4&amp;"!B10:B1000"),$B122,INDIRECT(Equipo!$G$4&amp;"!"&amp;ADDRESS(10,COLUMN(J$9)-1)&amp;":"&amp;ADDRESS(1000,COLUMN(J$9)-1)))))</f>
        <v>-</v>
      </c>
      <c r="K122" s="19" t="str">
        <f t="array" ref="K122">IF(ISBLANK(Tareas!$B118),"-",SUM(
SUMIF(INDIRECT(Equipo!$C$4&amp;"!B10:B1000"),$B122,INDIRECT(Equipo!$C$4&amp;"!"&amp;ADDRESS(10,COLUMN(K$9)-1)&amp;":"&amp;ADDRESS(1000,COLUMN(K$9)-1))),
SUMIF(INDIRECT(Equipo!$D$4&amp;"!B10:B1000"),$B122,INDIRECT(Equipo!$D$4&amp;"!"&amp;ADDRESS(10,COLUMN(K$9)-1)&amp;":"&amp;ADDRESS(1000,COLUMN(K$9)-1))),
SUMIF(INDIRECT(Equipo!$E$4&amp;"!B10:B1000"),$B122,INDIRECT(Equipo!$E$4&amp;"!"&amp;ADDRESS(10,COLUMN(K$9)-1)&amp;":"&amp;ADDRESS(1000,COLUMN(K$9)-1))),
SUMIF(INDIRECT(Equipo!$F$4&amp;"!B10:B1000"),$B122,INDIRECT(Equipo!$F$4&amp;"!"&amp;ADDRESS(10,COLUMN(K$9)-1)&amp;":"&amp;ADDRESS(1000,COLUMN(K$9)-1))),
SUMIF(INDIRECT(Equipo!$G$4&amp;"!B10:B1000"),$B122,INDIRECT(Equipo!$G$4&amp;"!"&amp;ADDRESS(10,COLUMN(K$9)-1)&amp;":"&amp;ADDRESS(1000,COLUMN(K$9)-1)))))</f>
        <v>-</v>
      </c>
    </row>
    <row r="123" ht="15.75" customHeight="1">
      <c r="B123" s="1" t="str">
        <f>IF(ISBLANK(Tareas!B119)," - ",Tareas!B119)</f>
        <v> - </v>
      </c>
      <c r="D123" s="19" t="str">
        <f t="array" ref="D123">IF(ISBLANK(Tareas!$B119),"-",SUM(
SUMIF(INDIRECT(Equipo!$C$4&amp;"!B10:B1000"),$B123,INDIRECT(Equipo!$C$4&amp;"!"&amp;ADDRESS(10,COLUMN(D$9)-1)&amp;":"&amp;ADDRESS(1000,COLUMN(D$9)-1))),
SUMIF(INDIRECT(Equipo!$D$4&amp;"!B10:B1000"),$B123,INDIRECT(Equipo!$D$4&amp;"!"&amp;ADDRESS(10,COLUMN(D$9)-1)&amp;":"&amp;ADDRESS(1000,COLUMN(D$9)-1))),
SUMIF(INDIRECT(Equipo!$E$4&amp;"!B10:B1000"),$B123,INDIRECT(Equipo!$E$4&amp;"!"&amp;ADDRESS(10,COLUMN(D$9)-1)&amp;":"&amp;ADDRESS(1000,COLUMN(D$9)-1))),
SUMIF(INDIRECT(Equipo!$F$4&amp;"!B10:B1000"),$B123,INDIRECT(Equipo!$F$4&amp;"!"&amp;ADDRESS(10,COLUMN(D$9)-1)&amp;":"&amp;ADDRESS(1000,COLUMN(D$9)-1))),
SUMIF(INDIRECT(Equipo!$G$4&amp;"!B10:B1000"),$B123,INDIRECT(Equipo!$G$4&amp;"!"&amp;ADDRESS(10,COLUMN(D$9)-1)&amp;":"&amp;ADDRESS(1000,COLUMN(D$9)-1)))))</f>
        <v>-</v>
      </c>
      <c r="E123" s="19" t="str">
        <f t="array" ref="E123">IF(ISBLANK(Tareas!$B119),"-",SUM(
SUMIF(INDIRECT(Equipo!$C$4&amp;"!B10:B1000"),$B123,INDIRECT(Equipo!$C$4&amp;"!"&amp;ADDRESS(10,COLUMN(E$9)-1)&amp;":"&amp;ADDRESS(1000,COLUMN(E$9)-1))),
SUMIF(INDIRECT(Equipo!$D$4&amp;"!B10:B1000"),$B123,INDIRECT(Equipo!$D$4&amp;"!"&amp;ADDRESS(10,COLUMN(E$9)-1)&amp;":"&amp;ADDRESS(1000,COLUMN(E$9)-1))),
SUMIF(INDIRECT(Equipo!$E$4&amp;"!B10:B1000"),$B123,INDIRECT(Equipo!$E$4&amp;"!"&amp;ADDRESS(10,COLUMN(E$9)-1)&amp;":"&amp;ADDRESS(1000,COLUMN(E$9)-1))),
SUMIF(INDIRECT(Equipo!$F$4&amp;"!B10:B1000"),$B123,INDIRECT(Equipo!$F$4&amp;"!"&amp;ADDRESS(10,COLUMN(E$9)-1)&amp;":"&amp;ADDRESS(1000,COLUMN(E$9)-1))),
SUMIF(INDIRECT(Equipo!$G$4&amp;"!B10:B1000"),$B123,INDIRECT(Equipo!$G$4&amp;"!"&amp;ADDRESS(10,COLUMN(E$9)-1)&amp;":"&amp;ADDRESS(1000,COLUMN(E$9)-1)))))</f>
        <v>-</v>
      </c>
      <c r="F123" s="19" t="str">
        <f t="array" ref="F123">IF(ISBLANK(Tareas!$B119),"-",SUM(
SUMIF(INDIRECT(Equipo!$C$4&amp;"!B10:B1000"),$B123,INDIRECT(Equipo!$C$4&amp;"!"&amp;ADDRESS(10,COLUMN(F$9)-1)&amp;":"&amp;ADDRESS(1000,COLUMN(F$9)-1))),
SUMIF(INDIRECT(Equipo!$D$4&amp;"!B10:B1000"),$B123,INDIRECT(Equipo!$D$4&amp;"!"&amp;ADDRESS(10,COLUMN(F$9)-1)&amp;":"&amp;ADDRESS(1000,COLUMN(F$9)-1))),
SUMIF(INDIRECT(Equipo!$E$4&amp;"!B10:B1000"),$B123,INDIRECT(Equipo!$E$4&amp;"!"&amp;ADDRESS(10,COLUMN(F$9)-1)&amp;":"&amp;ADDRESS(1000,COLUMN(F$9)-1))),
SUMIF(INDIRECT(Equipo!$F$4&amp;"!B10:B1000"),$B123,INDIRECT(Equipo!$F$4&amp;"!"&amp;ADDRESS(10,COLUMN(F$9)-1)&amp;":"&amp;ADDRESS(1000,COLUMN(F$9)-1))),
SUMIF(INDIRECT(Equipo!$G$4&amp;"!B10:B1000"),$B123,INDIRECT(Equipo!$G$4&amp;"!"&amp;ADDRESS(10,COLUMN(F$9)-1)&amp;":"&amp;ADDRESS(1000,COLUMN(F$9)-1)))))</f>
        <v>-</v>
      </c>
      <c r="G123" s="19" t="str">
        <f t="array" ref="G123">IF(ISBLANK(Tareas!$B119),"-",SUM(
SUMIF(INDIRECT(Equipo!$C$4&amp;"!B10:B1000"),$B123,INDIRECT(Equipo!$C$4&amp;"!"&amp;ADDRESS(10,COLUMN(G$9)-1)&amp;":"&amp;ADDRESS(1000,COLUMN(G$9)-1))),
SUMIF(INDIRECT(Equipo!$D$4&amp;"!B10:B1000"),$B123,INDIRECT(Equipo!$D$4&amp;"!"&amp;ADDRESS(10,COLUMN(G$9)-1)&amp;":"&amp;ADDRESS(1000,COLUMN(G$9)-1))),
SUMIF(INDIRECT(Equipo!$E$4&amp;"!B10:B1000"),$B123,INDIRECT(Equipo!$E$4&amp;"!"&amp;ADDRESS(10,COLUMN(G$9)-1)&amp;":"&amp;ADDRESS(1000,COLUMN(G$9)-1))),
SUMIF(INDIRECT(Equipo!$F$4&amp;"!B10:B1000"),$B123,INDIRECT(Equipo!$F$4&amp;"!"&amp;ADDRESS(10,COLUMN(G$9)-1)&amp;":"&amp;ADDRESS(1000,COLUMN(G$9)-1))),
SUMIF(INDIRECT(Equipo!$G$4&amp;"!B10:B1000"),$B123,INDIRECT(Equipo!$G$4&amp;"!"&amp;ADDRESS(10,COLUMN(G$9)-1)&amp;":"&amp;ADDRESS(1000,COLUMN(G$9)-1)))))</f>
        <v>-</v>
      </c>
      <c r="H123" s="19" t="str">
        <f t="array" ref="H123">IF(ISBLANK(Tareas!$B119),"-",SUM(
SUMIF(INDIRECT(Equipo!$C$4&amp;"!B10:B1000"),$B123,INDIRECT(Equipo!$C$4&amp;"!"&amp;ADDRESS(10,COLUMN(H$9)-1)&amp;":"&amp;ADDRESS(1000,COLUMN(H$9)-1))),
SUMIF(INDIRECT(Equipo!$D$4&amp;"!B10:B1000"),$B123,INDIRECT(Equipo!$D$4&amp;"!"&amp;ADDRESS(10,COLUMN(H$9)-1)&amp;":"&amp;ADDRESS(1000,COLUMN(H$9)-1))),
SUMIF(INDIRECT(Equipo!$E$4&amp;"!B10:B1000"),$B123,INDIRECT(Equipo!$E$4&amp;"!"&amp;ADDRESS(10,COLUMN(H$9)-1)&amp;":"&amp;ADDRESS(1000,COLUMN(H$9)-1))),
SUMIF(INDIRECT(Equipo!$F$4&amp;"!B10:B1000"),$B123,INDIRECT(Equipo!$F$4&amp;"!"&amp;ADDRESS(10,COLUMN(H$9)-1)&amp;":"&amp;ADDRESS(1000,COLUMN(H$9)-1))),
SUMIF(INDIRECT(Equipo!$G$4&amp;"!B10:B1000"),$B123,INDIRECT(Equipo!$G$4&amp;"!"&amp;ADDRESS(10,COLUMN(H$9)-1)&amp;":"&amp;ADDRESS(1000,COLUMN(H$9)-1)))))</f>
        <v>-</v>
      </c>
      <c r="I123" s="19" t="str">
        <f t="array" ref="I123">IF(ISBLANK(Tareas!$B119),"-",SUM(
SUMIF(INDIRECT(Equipo!$C$4&amp;"!B10:B1000"),$B123,INDIRECT(Equipo!$C$4&amp;"!"&amp;ADDRESS(10,COLUMN(I$9)-1)&amp;":"&amp;ADDRESS(1000,COLUMN(I$9)-1))),
SUMIF(INDIRECT(Equipo!$D$4&amp;"!B10:B1000"),$B123,INDIRECT(Equipo!$D$4&amp;"!"&amp;ADDRESS(10,COLUMN(I$9)-1)&amp;":"&amp;ADDRESS(1000,COLUMN(I$9)-1))),
SUMIF(INDIRECT(Equipo!$E$4&amp;"!B10:B1000"),$B123,INDIRECT(Equipo!$E$4&amp;"!"&amp;ADDRESS(10,COLUMN(I$9)-1)&amp;":"&amp;ADDRESS(1000,COLUMN(I$9)-1))),
SUMIF(INDIRECT(Equipo!$F$4&amp;"!B10:B1000"),$B123,INDIRECT(Equipo!$F$4&amp;"!"&amp;ADDRESS(10,COLUMN(I$9)-1)&amp;":"&amp;ADDRESS(1000,COLUMN(I$9)-1))),
SUMIF(INDIRECT(Equipo!$G$4&amp;"!B10:B1000"),$B123,INDIRECT(Equipo!$G$4&amp;"!"&amp;ADDRESS(10,COLUMN(I$9)-1)&amp;":"&amp;ADDRESS(1000,COLUMN(I$9)-1)))))</f>
        <v>-</v>
      </c>
      <c r="J123" s="19" t="str">
        <f t="array" ref="J123">IF(ISBLANK(Tareas!$B119),"-",SUM(
SUMIF(INDIRECT(Equipo!$C$4&amp;"!B10:B1000"),$B123,INDIRECT(Equipo!$C$4&amp;"!"&amp;ADDRESS(10,COLUMN(J$9)-1)&amp;":"&amp;ADDRESS(1000,COLUMN(J$9)-1))),
SUMIF(INDIRECT(Equipo!$D$4&amp;"!B10:B1000"),$B123,INDIRECT(Equipo!$D$4&amp;"!"&amp;ADDRESS(10,COLUMN(J$9)-1)&amp;":"&amp;ADDRESS(1000,COLUMN(J$9)-1))),
SUMIF(INDIRECT(Equipo!$E$4&amp;"!B10:B1000"),$B123,INDIRECT(Equipo!$E$4&amp;"!"&amp;ADDRESS(10,COLUMN(J$9)-1)&amp;":"&amp;ADDRESS(1000,COLUMN(J$9)-1))),
SUMIF(INDIRECT(Equipo!$F$4&amp;"!B10:B1000"),$B123,INDIRECT(Equipo!$F$4&amp;"!"&amp;ADDRESS(10,COLUMN(J$9)-1)&amp;":"&amp;ADDRESS(1000,COLUMN(J$9)-1))),
SUMIF(INDIRECT(Equipo!$G$4&amp;"!B10:B1000"),$B123,INDIRECT(Equipo!$G$4&amp;"!"&amp;ADDRESS(10,COLUMN(J$9)-1)&amp;":"&amp;ADDRESS(1000,COLUMN(J$9)-1)))))</f>
        <v>-</v>
      </c>
      <c r="K123" s="19" t="str">
        <f t="array" ref="K123">IF(ISBLANK(Tareas!$B119),"-",SUM(
SUMIF(INDIRECT(Equipo!$C$4&amp;"!B10:B1000"),$B123,INDIRECT(Equipo!$C$4&amp;"!"&amp;ADDRESS(10,COLUMN(K$9)-1)&amp;":"&amp;ADDRESS(1000,COLUMN(K$9)-1))),
SUMIF(INDIRECT(Equipo!$D$4&amp;"!B10:B1000"),$B123,INDIRECT(Equipo!$D$4&amp;"!"&amp;ADDRESS(10,COLUMN(K$9)-1)&amp;":"&amp;ADDRESS(1000,COLUMN(K$9)-1))),
SUMIF(INDIRECT(Equipo!$E$4&amp;"!B10:B1000"),$B123,INDIRECT(Equipo!$E$4&amp;"!"&amp;ADDRESS(10,COLUMN(K$9)-1)&amp;":"&amp;ADDRESS(1000,COLUMN(K$9)-1))),
SUMIF(INDIRECT(Equipo!$F$4&amp;"!B10:B1000"),$B123,INDIRECT(Equipo!$F$4&amp;"!"&amp;ADDRESS(10,COLUMN(K$9)-1)&amp;":"&amp;ADDRESS(1000,COLUMN(K$9)-1))),
SUMIF(INDIRECT(Equipo!$G$4&amp;"!B10:B1000"),$B123,INDIRECT(Equipo!$G$4&amp;"!"&amp;ADDRESS(10,COLUMN(K$9)-1)&amp;":"&amp;ADDRESS(1000,COLUMN(K$9)-1)))))</f>
        <v>-</v>
      </c>
    </row>
    <row r="124" ht="15.75" customHeight="1">
      <c r="B124" s="1" t="str">
        <f>IF(ISBLANK(Tareas!B120)," - ",Tareas!B120)</f>
        <v> - </v>
      </c>
      <c r="D124" s="19" t="str">
        <f t="array" ref="D124">IF(ISBLANK(Tareas!$B120),"-",SUM(
SUMIF(INDIRECT(Equipo!$C$4&amp;"!B10:B1000"),$B124,INDIRECT(Equipo!$C$4&amp;"!"&amp;ADDRESS(10,COLUMN(D$9)-1)&amp;":"&amp;ADDRESS(1000,COLUMN(D$9)-1))),
SUMIF(INDIRECT(Equipo!$D$4&amp;"!B10:B1000"),$B124,INDIRECT(Equipo!$D$4&amp;"!"&amp;ADDRESS(10,COLUMN(D$9)-1)&amp;":"&amp;ADDRESS(1000,COLUMN(D$9)-1))),
SUMIF(INDIRECT(Equipo!$E$4&amp;"!B10:B1000"),$B124,INDIRECT(Equipo!$E$4&amp;"!"&amp;ADDRESS(10,COLUMN(D$9)-1)&amp;":"&amp;ADDRESS(1000,COLUMN(D$9)-1))),
SUMIF(INDIRECT(Equipo!$F$4&amp;"!B10:B1000"),$B124,INDIRECT(Equipo!$F$4&amp;"!"&amp;ADDRESS(10,COLUMN(D$9)-1)&amp;":"&amp;ADDRESS(1000,COLUMN(D$9)-1))),
SUMIF(INDIRECT(Equipo!$G$4&amp;"!B10:B1000"),$B124,INDIRECT(Equipo!$G$4&amp;"!"&amp;ADDRESS(10,COLUMN(D$9)-1)&amp;":"&amp;ADDRESS(1000,COLUMN(D$9)-1)))))</f>
        <v>-</v>
      </c>
      <c r="E124" s="19" t="str">
        <f t="array" ref="E124">IF(ISBLANK(Tareas!$B120),"-",SUM(
SUMIF(INDIRECT(Equipo!$C$4&amp;"!B10:B1000"),$B124,INDIRECT(Equipo!$C$4&amp;"!"&amp;ADDRESS(10,COLUMN(E$9)-1)&amp;":"&amp;ADDRESS(1000,COLUMN(E$9)-1))),
SUMIF(INDIRECT(Equipo!$D$4&amp;"!B10:B1000"),$B124,INDIRECT(Equipo!$D$4&amp;"!"&amp;ADDRESS(10,COLUMN(E$9)-1)&amp;":"&amp;ADDRESS(1000,COLUMN(E$9)-1))),
SUMIF(INDIRECT(Equipo!$E$4&amp;"!B10:B1000"),$B124,INDIRECT(Equipo!$E$4&amp;"!"&amp;ADDRESS(10,COLUMN(E$9)-1)&amp;":"&amp;ADDRESS(1000,COLUMN(E$9)-1))),
SUMIF(INDIRECT(Equipo!$F$4&amp;"!B10:B1000"),$B124,INDIRECT(Equipo!$F$4&amp;"!"&amp;ADDRESS(10,COLUMN(E$9)-1)&amp;":"&amp;ADDRESS(1000,COLUMN(E$9)-1))),
SUMIF(INDIRECT(Equipo!$G$4&amp;"!B10:B1000"),$B124,INDIRECT(Equipo!$G$4&amp;"!"&amp;ADDRESS(10,COLUMN(E$9)-1)&amp;":"&amp;ADDRESS(1000,COLUMN(E$9)-1)))))</f>
        <v>-</v>
      </c>
      <c r="F124" s="19" t="str">
        <f t="array" ref="F124">IF(ISBLANK(Tareas!$B120),"-",SUM(
SUMIF(INDIRECT(Equipo!$C$4&amp;"!B10:B1000"),$B124,INDIRECT(Equipo!$C$4&amp;"!"&amp;ADDRESS(10,COLUMN(F$9)-1)&amp;":"&amp;ADDRESS(1000,COLUMN(F$9)-1))),
SUMIF(INDIRECT(Equipo!$D$4&amp;"!B10:B1000"),$B124,INDIRECT(Equipo!$D$4&amp;"!"&amp;ADDRESS(10,COLUMN(F$9)-1)&amp;":"&amp;ADDRESS(1000,COLUMN(F$9)-1))),
SUMIF(INDIRECT(Equipo!$E$4&amp;"!B10:B1000"),$B124,INDIRECT(Equipo!$E$4&amp;"!"&amp;ADDRESS(10,COLUMN(F$9)-1)&amp;":"&amp;ADDRESS(1000,COLUMN(F$9)-1))),
SUMIF(INDIRECT(Equipo!$F$4&amp;"!B10:B1000"),$B124,INDIRECT(Equipo!$F$4&amp;"!"&amp;ADDRESS(10,COLUMN(F$9)-1)&amp;":"&amp;ADDRESS(1000,COLUMN(F$9)-1))),
SUMIF(INDIRECT(Equipo!$G$4&amp;"!B10:B1000"),$B124,INDIRECT(Equipo!$G$4&amp;"!"&amp;ADDRESS(10,COLUMN(F$9)-1)&amp;":"&amp;ADDRESS(1000,COLUMN(F$9)-1)))))</f>
        <v>-</v>
      </c>
      <c r="G124" s="19" t="str">
        <f t="array" ref="G124">IF(ISBLANK(Tareas!$B120),"-",SUM(
SUMIF(INDIRECT(Equipo!$C$4&amp;"!B10:B1000"),$B124,INDIRECT(Equipo!$C$4&amp;"!"&amp;ADDRESS(10,COLUMN(G$9)-1)&amp;":"&amp;ADDRESS(1000,COLUMN(G$9)-1))),
SUMIF(INDIRECT(Equipo!$D$4&amp;"!B10:B1000"),$B124,INDIRECT(Equipo!$D$4&amp;"!"&amp;ADDRESS(10,COLUMN(G$9)-1)&amp;":"&amp;ADDRESS(1000,COLUMN(G$9)-1))),
SUMIF(INDIRECT(Equipo!$E$4&amp;"!B10:B1000"),$B124,INDIRECT(Equipo!$E$4&amp;"!"&amp;ADDRESS(10,COLUMN(G$9)-1)&amp;":"&amp;ADDRESS(1000,COLUMN(G$9)-1))),
SUMIF(INDIRECT(Equipo!$F$4&amp;"!B10:B1000"),$B124,INDIRECT(Equipo!$F$4&amp;"!"&amp;ADDRESS(10,COLUMN(G$9)-1)&amp;":"&amp;ADDRESS(1000,COLUMN(G$9)-1))),
SUMIF(INDIRECT(Equipo!$G$4&amp;"!B10:B1000"),$B124,INDIRECT(Equipo!$G$4&amp;"!"&amp;ADDRESS(10,COLUMN(G$9)-1)&amp;":"&amp;ADDRESS(1000,COLUMN(G$9)-1)))))</f>
        <v>-</v>
      </c>
      <c r="H124" s="19" t="str">
        <f t="array" ref="H124">IF(ISBLANK(Tareas!$B120),"-",SUM(
SUMIF(INDIRECT(Equipo!$C$4&amp;"!B10:B1000"),$B124,INDIRECT(Equipo!$C$4&amp;"!"&amp;ADDRESS(10,COLUMN(H$9)-1)&amp;":"&amp;ADDRESS(1000,COLUMN(H$9)-1))),
SUMIF(INDIRECT(Equipo!$D$4&amp;"!B10:B1000"),$B124,INDIRECT(Equipo!$D$4&amp;"!"&amp;ADDRESS(10,COLUMN(H$9)-1)&amp;":"&amp;ADDRESS(1000,COLUMN(H$9)-1))),
SUMIF(INDIRECT(Equipo!$E$4&amp;"!B10:B1000"),$B124,INDIRECT(Equipo!$E$4&amp;"!"&amp;ADDRESS(10,COLUMN(H$9)-1)&amp;":"&amp;ADDRESS(1000,COLUMN(H$9)-1))),
SUMIF(INDIRECT(Equipo!$F$4&amp;"!B10:B1000"),$B124,INDIRECT(Equipo!$F$4&amp;"!"&amp;ADDRESS(10,COLUMN(H$9)-1)&amp;":"&amp;ADDRESS(1000,COLUMN(H$9)-1))),
SUMIF(INDIRECT(Equipo!$G$4&amp;"!B10:B1000"),$B124,INDIRECT(Equipo!$G$4&amp;"!"&amp;ADDRESS(10,COLUMN(H$9)-1)&amp;":"&amp;ADDRESS(1000,COLUMN(H$9)-1)))))</f>
        <v>-</v>
      </c>
      <c r="I124" s="19" t="str">
        <f t="array" ref="I124">IF(ISBLANK(Tareas!$B120),"-",SUM(
SUMIF(INDIRECT(Equipo!$C$4&amp;"!B10:B1000"),$B124,INDIRECT(Equipo!$C$4&amp;"!"&amp;ADDRESS(10,COLUMN(I$9)-1)&amp;":"&amp;ADDRESS(1000,COLUMN(I$9)-1))),
SUMIF(INDIRECT(Equipo!$D$4&amp;"!B10:B1000"),$B124,INDIRECT(Equipo!$D$4&amp;"!"&amp;ADDRESS(10,COLUMN(I$9)-1)&amp;":"&amp;ADDRESS(1000,COLUMN(I$9)-1))),
SUMIF(INDIRECT(Equipo!$E$4&amp;"!B10:B1000"),$B124,INDIRECT(Equipo!$E$4&amp;"!"&amp;ADDRESS(10,COLUMN(I$9)-1)&amp;":"&amp;ADDRESS(1000,COLUMN(I$9)-1))),
SUMIF(INDIRECT(Equipo!$F$4&amp;"!B10:B1000"),$B124,INDIRECT(Equipo!$F$4&amp;"!"&amp;ADDRESS(10,COLUMN(I$9)-1)&amp;":"&amp;ADDRESS(1000,COLUMN(I$9)-1))),
SUMIF(INDIRECT(Equipo!$G$4&amp;"!B10:B1000"),$B124,INDIRECT(Equipo!$G$4&amp;"!"&amp;ADDRESS(10,COLUMN(I$9)-1)&amp;":"&amp;ADDRESS(1000,COLUMN(I$9)-1)))))</f>
        <v>-</v>
      </c>
      <c r="J124" s="19" t="str">
        <f t="array" ref="J124">IF(ISBLANK(Tareas!$B120),"-",SUM(
SUMIF(INDIRECT(Equipo!$C$4&amp;"!B10:B1000"),$B124,INDIRECT(Equipo!$C$4&amp;"!"&amp;ADDRESS(10,COLUMN(J$9)-1)&amp;":"&amp;ADDRESS(1000,COLUMN(J$9)-1))),
SUMIF(INDIRECT(Equipo!$D$4&amp;"!B10:B1000"),$B124,INDIRECT(Equipo!$D$4&amp;"!"&amp;ADDRESS(10,COLUMN(J$9)-1)&amp;":"&amp;ADDRESS(1000,COLUMN(J$9)-1))),
SUMIF(INDIRECT(Equipo!$E$4&amp;"!B10:B1000"),$B124,INDIRECT(Equipo!$E$4&amp;"!"&amp;ADDRESS(10,COLUMN(J$9)-1)&amp;":"&amp;ADDRESS(1000,COLUMN(J$9)-1))),
SUMIF(INDIRECT(Equipo!$F$4&amp;"!B10:B1000"),$B124,INDIRECT(Equipo!$F$4&amp;"!"&amp;ADDRESS(10,COLUMN(J$9)-1)&amp;":"&amp;ADDRESS(1000,COLUMN(J$9)-1))),
SUMIF(INDIRECT(Equipo!$G$4&amp;"!B10:B1000"),$B124,INDIRECT(Equipo!$G$4&amp;"!"&amp;ADDRESS(10,COLUMN(J$9)-1)&amp;":"&amp;ADDRESS(1000,COLUMN(J$9)-1)))))</f>
        <v>-</v>
      </c>
      <c r="K124" s="19" t="str">
        <f t="array" ref="K124">IF(ISBLANK(Tareas!$B120),"-",SUM(
SUMIF(INDIRECT(Equipo!$C$4&amp;"!B10:B1000"),$B124,INDIRECT(Equipo!$C$4&amp;"!"&amp;ADDRESS(10,COLUMN(K$9)-1)&amp;":"&amp;ADDRESS(1000,COLUMN(K$9)-1))),
SUMIF(INDIRECT(Equipo!$D$4&amp;"!B10:B1000"),$B124,INDIRECT(Equipo!$D$4&amp;"!"&amp;ADDRESS(10,COLUMN(K$9)-1)&amp;":"&amp;ADDRESS(1000,COLUMN(K$9)-1))),
SUMIF(INDIRECT(Equipo!$E$4&amp;"!B10:B1000"),$B124,INDIRECT(Equipo!$E$4&amp;"!"&amp;ADDRESS(10,COLUMN(K$9)-1)&amp;":"&amp;ADDRESS(1000,COLUMN(K$9)-1))),
SUMIF(INDIRECT(Equipo!$F$4&amp;"!B10:B1000"),$B124,INDIRECT(Equipo!$F$4&amp;"!"&amp;ADDRESS(10,COLUMN(K$9)-1)&amp;":"&amp;ADDRESS(1000,COLUMN(K$9)-1))),
SUMIF(INDIRECT(Equipo!$G$4&amp;"!B10:B1000"),$B124,INDIRECT(Equipo!$G$4&amp;"!"&amp;ADDRESS(10,COLUMN(K$9)-1)&amp;":"&amp;ADDRESS(1000,COLUMN(K$9)-1)))))</f>
        <v>-</v>
      </c>
    </row>
    <row r="125" ht="15.75" customHeight="1">
      <c r="B125" s="1" t="str">
        <f>IF(ISBLANK(Tareas!B121)," - ",Tareas!B121)</f>
        <v> - </v>
      </c>
      <c r="D125" s="19" t="str">
        <f t="array" ref="D125">IF(ISBLANK(Tareas!$B121),"-",SUM(
SUMIF(INDIRECT(Equipo!$C$4&amp;"!B10:B1000"),$B125,INDIRECT(Equipo!$C$4&amp;"!"&amp;ADDRESS(10,COLUMN(D$9)-1)&amp;":"&amp;ADDRESS(1000,COLUMN(D$9)-1))),
SUMIF(INDIRECT(Equipo!$D$4&amp;"!B10:B1000"),$B125,INDIRECT(Equipo!$D$4&amp;"!"&amp;ADDRESS(10,COLUMN(D$9)-1)&amp;":"&amp;ADDRESS(1000,COLUMN(D$9)-1))),
SUMIF(INDIRECT(Equipo!$E$4&amp;"!B10:B1000"),$B125,INDIRECT(Equipo!$E$4&amp;"!"&amp;ADDRESS(10,COLUMN(D$9)-1)&amp;":"&amp;ADDRESS(1000,COLUMN(D$9)-1))),
SUMIF(INDIRECT(Equipo!$F$4&amp;"!B10:B1000"),$B125,INDIRECT(Equipo!$F$4&amp;"!"&amp;ADDRESS(10,COLUMN(D$9)-1)&amp;":"&amp;ADDRESS(1000,COLUMN(D$9)-1))),
SUMIF(INDIRECT(Equipo!$G$4&amp;"!B10:B1000"),$B125,INDIRECT(Equipo!$G$4&amp;"!"&amp;ADDRESS(10,COLUMN(D$9)-1)&amp;":"&amp;ADDRESS(1000,COLUMN(D$9)-1)))))</f>
        <v>-</v>
      </c>
      <c r="E125" s="19" t="str">
        <f t="array" ref="E125">IF(ISBLANK(Tareas!$B121),"-",SUM(
SUMIF(INDIRECT(Equipo!$C$4&amp;"!B10:B1000"),$B125,INDIRECT(Equipo!$C$4&amp;"!"&amp;ADDRESS(10,COLUMN(E$9)-1)&amp;":"&amp;ADDRESS(1000,COLUMN(E$9)-1))),
SUMIF(INDIRECT(Equipo!$D$4&amp;"!B10:B1000"),$B125,INDIRECT(Equipo!$D$4&amp;"!"&amp;ADDRESS(10,COLUMN(E$9)-1)&amp;":"&amp;ADDRESS(1000,COLUMN(E$9)-1))),
SUMIF(INDIRECT(Equipo!$E$4&amp;"!B10:B1000"),$B125,INDIRECT(Equipo!$E$4&amp;"!"&amp;ADDRESS(10,COLUMN(E$9)-1)&amp;":"&amp;ADDRESS(1000,COLUMN(E$9)-1))),
SUMIF(INDIRECT(Equipo!$F$4&amp;"!B10:B1000"),$B125,INDIRECT(Equipo!$F$4&amp;"!"&amp;ADDRESS(10,COLUMN(E$9)-1)&amp;":"&amp;ADDRESS(1000,COLUMN(E$9)-1))),
SUMIF(INDIRECT(Equipo!$G$4&amp;"!B10:B1000"),$B125,INDIRECT(Equipo!$G$4&amp;"!"&amp;ADDRESS(10,COLUMN(E$9)-1)&amp;":"&amp;ADDRESS(1000,COLUMN(E$9)-1)))))</f>
        <v>-</v>
      </c>
      <c r="F125" s="19" t="str">
        <f t="array" ref="F125">IF(ISBLANK(Tareas!$B121),"-",SUM(
SUMIF(INDIRECT(Equipo!$C$4&amp;"!B10:B1000"),$B125,INDIRECT(Equipo!$C$4&amp;"!"&amp;ADDRESS(10,COLUMN(F$9)-1)&amp;":"&amp;ADDRESS(1000,COLUMN(F$9)-1))),
SUMIF(INDIRECT(Equipo!$D$4&amp;"!B10:B1000"),$B125,INDIRECT(Equipo!$D$4&amp;"!"&amp;ADDRESS(10,COLUMN(F$9)-1)&amp;":"&amp;ADDRESS(1000,COLUMN(F$9)-1))),
SUMIF(INDIRECT(Equipo!$E$4&amp;"!B10:B1000"),$B125,INDIRECT(Equipo!$E$4&amp;"!"&amp;ADDRESS(10,COLUMN(F$9)-1)&amp;":"&amp;ADDRESS(1000,COLUMN(F$9)-1))),
SUMIF(INDIRECT(Equipo!$F$4&amp;"!B10:B1000"),$B125,INDIRECT(Equipo!$F$4&amp;"!"&amp;ADDRESS(10,COLUMN(F$9)-1)&amp;":"&amp;ADDRESS(1000,COLUMN(F$9)-1))),
SUMIF(INDIRECT(Equipo!$G$4&amp;"!B10:B1000"),$B125,INDIRECT(Equipo!$G$4&amp;"!"&amp;ADDRESS(10,COLUMN(F$9)-1)&amp;":"&amp;ADDRESS(1000,COLUMN(F$9)-1)))))</f>
        <v>-</v>
      </c>
      <c r="G125" s="19" t="str">
        <f t="array" ref="G125">IF(ISBLANK(Tareas!$B121),"-",SUM(
SUMIF(INDIRECT(Equipo!$C$4&amp;"!B10:B1000"),$B125,INDIRECT(Equipo!$C$4&amp;"!"&amp;ADDRESS(10,COLUMN(G$9)-1)&amp;":"&amp;ADDRESS(1000,COLUMN(G$9)-1))),
SUMIF(INDIRECT(Equipo!$D$4&amp;"!B10:B1000"),$B125,INDIRECT(Equipo!$D$4&amp;"!"&amp;ADDRESS(10,COLUMN(G$9)-1)&amp;":"&amp;ADDRESS(1000,COLUMN(G$9)-1))),
SUMIF(INDIRECT(Equipo!$E$4&amp;"!B10:B1000"),$B125,INDIRECT(Equipo!$E$4&amp;"!"&amp;ADDRESS(10,COLUMN(G$9)-1)&amp;":"&amp;ADDRESS(1000,COLUMN(G$9)-1))),
SUMIF(INDIRECT(Equipo!$F$4&amp;"!B10:B1000"),$B125,INDIRECT(Equipo!$F$4&amp;"!"&amp;ADDRESS(10,COLUMN(G$9)-1)&amp;":"&amp;ADDRESS(1000,COLUMN(G$9)-1))),
SUMIF(INDIRECT(Equipo!$G$4&amp;"!B10:B1000"),$B125,INDIRECT(Equipo!$G$4&amp;"!"&amp;ADDRESS(10,COLUMN(G$9)-1)&amp;":"&amp;ADDRESS(1000,COLUMN(G$9)-1)))))</f>
        <v>-</v>
      </c>
      <c r="H125" s="19" t="str">
        <f t="array" ref="H125">IF(ISBLANK(Tareas!$B121),"-",SUM(
SUMIF(INDIRECT(Equipo!$C$4&amp;"!B10:B1000"),$B125,INDIRECT(Equipo!$C$4&amp;"!"&amp;ADDRESS(10,COLUMN(H$9)-1)&amp;":"&amp;ADDRESS(1000,COLUMN(H$9)-1))),
SUMIF(INDIRECT(Equipo!$D$4&amp;"!B10:B1000"),$B125,INDIRECT(Equipo!$D$4&amp;"!"&amp;ADDRESS(10,COLUMN(H$9)-1)&amp;":"&amp;ADDRESS(1000,COLUMN(H$9)-1))),
SUMIF(INDIRECT(Equipo!$E$4&amp;"!B10:B1000"),$B125,INDIRECT(Equipo!$E$4&amp;"!"&amp;ADDRESS(10,COLUMN(H$9)-1)&amp;":"&amp;ADDRESS(1000,COLUMN(H$9)-1))),
SUMIF(INDIRECT(Equipo!$F$4&amp;"!B10:B1000"),$B125,INDIRECT(Equipo!$F$4&amp;"!"&amp;ADDRESS(10,COLUMN(H$9)-1)&amp;":"&amp;ADDRESS(1000,COLUMN(H$9)-1))),
SUMIF(INDIRECT(Equipo!$G$4&amp;"!B10:B1000"),$B125,INDIRECT(Equipo!$G$4&amp;"!"&amp;ADDRESS(10,COLUMN(H$9)-1)&amp;":"&amp;ADDRESS(1000,COLUMN(H$9)-1)))))</f>
        <v>-</v>
      </c>
      <c r="I125" s="19" t="str">
        <f t="array" ref="I125">IF(ISBLANK(Tareas!$B121),"-",SUM(
SUMIF(INDIRECT(Equipo!$C$4&amp;"!B10:B1000"),$B125,INDIRECT(Equipo!$C$4&amp;"!"&amp;ADDRESS(10,COLUMN(I$9)-1)&amp;":"&amp;ADDRESS(1000,COLUMN(I$9)-1))),
SUMIF(INDIRECT(Equipo!$D$4&amp;"!B10:B1000"),$B125,INDIRECT(Equipo!$D$4&amp;"!"&amp;ADDRESS(10,COLUMN(I$9)-1)&amp;":"&amp;ADDRESS(1000,COLUMN(I$9)-1))),
SUMIF(INDIRECT(Equipo!$E$4&amp;"!B10:B1000"),$B125,INDIRECT(Equipo!$E$4&amp;"!"&amp;ADDRESS(10,COLUMN(I$9)-1)&amp;":"&amp;ADDRESS(1000,COLUMN(I$9)-1))),
SUMIF(INDIRECT(Equipo!$F$4&amp;"!B10:B1000"),$B125,INDIRECT(Equipo!$F$4&amp;"!"&amp;ADDRESS(10,COLUMN(I$9)-1)&amp;":"&amp;ADDRESS(1000,COLUMN(I$9)-1))),
SUMIF(INDIRECT(Equipo!$G$4&amp;"!B10:B1000"),$B125,INDIRECT(Equipo!$G$4&amp;"!"&amp;ADDRESS(10,COLUMN(I$9)-1)&amp;":"&amp;ADDRESS(1000,COLUMN(I$9)-1)))))</f>
        <v>-</v>
      </c>
      <c r="J125" s="19" t="str">
        <f t="array" ref="J125">IF(ISBLANK(Tareas!$B121),"-",SUM(
SUMIF(INDIRECT(Equipo!$C$4&amp;"!B10:B1000"),$B125,INDIRECT(Equipo!$C$4&amp;"!"&amp;ADDRESS(10,COLUMN(J$9)-1)&amp;":"&amp;ADDRESS(1000,COLUMN(J$9)-1))),
SUMIF(INDIRECT(Equipo!$D$4&amp;"!B10:B1000"),$B125,INDIRECT(Equipo!$D$4&amp;"!"&amp;ADDRESS(10,COLUMN(J$9)-1)&amp;":"&amp;ADDRESS(1000,COLUMN(J$9)-1))),
SUMIF(INDIRECT(Equipo!$E$4&amp;"!B10:B1000"),$B125,INDIRECT(Equipo!$E$4&amp;"!"&amp;ADDRESS(10,COLUMN(J$9)-1)&amp;":"&amp;ADDRESS(1000,COLUMN(J$9)-1))),
SUMIF(INDIRECT(Equipo!$F$4&amp;"!B10:B1000"),$B125,INDIRECT(Equipo!$F$4&amp;"!"&amp;ADDRESS(10,COLUMN(J$9)-1)&amp;":"&amp;ADDRESS(1000,COLUMN(J$9)-1))),
SUMIF(INDIRECT(Equipo!$G$4&amp;"!B10:B1000"),$B125,INDIRECT(Equipo!$G$4&amp;"!"&amp;ADDRESS(10,COLUMN(J$9)-1)&amp;":"&amp;ADDRESS(1000,COLUMN(J$9)-1)))))</f>
        <v>-</v>
      </c>
      <c r="K125" s="19" t="str">
        <f t="array" ref="K125">IF(ISBLANK(Tareas!$B121),"-",SUM(
SUMIF(INDIRECT(Equipo!$C$4&amp;"!B10:B1000"),$B125,INDIRECT(Equipo!$C$4&amp;"!"&amp;ADDRESS(10,COLUMN(K$9)-1)&amp;":"&amp;ADDRESS(1000,COLUMN(K$9)-1))),
SUMIF(INDIRECT(Equipo!$D$4&amp;"!B10:B1000"),$B125,INDIRECT(Equipo!$D$4&amp;"!"&amp;ADDRESS(10,COLUMN(K$9)-1)&amp;":"&amp;ADDRESS(1000,COLUMN(K$9)-1))),
SUMIF(INDIRECT(Equipo!$E$4&amp;"!B10:B1000"),$B125,INDIRECT(Equipo!$E$4&amp;"!"&amp;ADDRESS(10,COLUMN(K$9)-1)&amp;":"&amp;ADDRESS(1000,COLUMN(K$9)-1))),
SUMIF(INDIRECT(Equipo!$F$4&amp;"!B10:B1000"),$B125,INDIRECT(Equipo!$F$4&amp;"!"&amp;ADDRESS(10,COLUMN(K$9)-1)&amp;":"&amp;ADDRESS(1000,COLUMN(K$9)-1))),
SUMIF(INDIRECT(Equipo!$G$4&amp;"!B10:B1000"),$B125,INDIRECT(Equipo!$G$4&amp;"!"&amp;ADDRESS(10,COLUMN(K$9)-1)&amp;":"&amp;ADDRESS(1000,COLUMN(K$9)-1)))))</f>
        <v>-</v>
      </c>
    </row>
    <row r="126" ht="15.75" customHeight="1">
      <c r="B126" s="1" t="str">
        <f>IF(ISBLANK(Tareas!B122)," - ",Tareas!B122)</f>
        <v> - </v>
      </c>
      <c r="D126" s="19" t="str">
        <f t="array" ref="D126">IF(ISBLANK(Tareas!$B122),"-",SUM(
SUMIF(INDIRECT(Equipo!$C$4&amp;"!B10:B1000"),$B126,INDIRECT(Equipo!$C$4&amp;"!"&amp;ADDRESS(10,COLUMN(D$9)-1)&amp;":"&amp;ADDRESS(1000,COLUMN(D$9)-1))),
SUMIF(INDIRECT(Equipo!$D$4&amp;"!B10:B1000"),$B126,INDIRECT(Equipo!$D$4&amp;"!"&amp;ADDRESS(10,COLUMN(D$9)-1)&amp;":"&amp;ADDRESS(1000,COLUMN(D$9)-1))),
SUMIF(INDIRECT(Equipo!$E$4&amp;"!B10:B1000"),$B126,INDIRECT(Equipo!$E$4&amp;"!"&amp;ADDRESS(10,COLUMN(D$9)-1)&amp;":"&amp;ADDRESS(1000,COLUMN(D$9)-1))),
SUMIF(INDIRECT(Equipo!$F$4&amp;"!B10:B1000"),$B126,INDIRECT(Equipo!$F$4&amp;"!"&amp;ADDRESS(10,COLUMN(D$9)-1)&amp;":"&amp;ADDRESS(1000,COLUMN(D$9)-1))),
SUMIF(INDIRECT(Equipo!$G$4&amp;"!B10:B1000"),$B126,INDIRECT(Equipo!$G$4&amp;"!"&amp;ADDRESS(10,COLUMN(D$9)-1)&amp;":"&amp;ADDRESS(1000,COLUMN(D$9)-1)))))</f>
        <v>-</v>
      </c>
      <c r="E126" s="19" t="str">
        <f t="array" ref="E126">IF(ISBLANK(Tareas!$B122),"-",SUM(
SUMIF(INDIRECT(Equipo!$C$4&amp;"!B10:B1000"),$B126,INDIRECT(Equipo!$C$4&amp;"!"&amp;ADDRESS(10,COLUMN(E$9)-1)&amp;":"&amp;ADDRESS(1000,COLUMN(E$9)-1))),
SUMIF(INDIRECT(Equipo!$D$4&amp;"!B10:B1000"),$B126,INDIRECT(Equipo!$D$4&amp;"!"&amp;ADDRESS(10,COLUMN(E$9)-1)&amp;":"&amp;ADDRESS(1000,COLUMN(E$9)-1))),
SUMIF(INDIRECT(Equipo!$E$4&amp;"!B10:B1000"),$B126,INDIRECT(Equipo!$E$4&amp;"!"&amp;ADDRESS(10,COLUMN(E$9)-1)&amp;":"&amp;ADDRESS(1000,COLUMN(E$9)-1))),
SUMIF(INDIRECT(Equipo!$F$4&amp;"!B10:B1000"),$B126,INDIRECT(Equipo!$F$4&amp;"!"&amp;ADDRESS(10,COLUMN(E$9)-1)&amp;":"&amp;ADDRESS(1000,COLUMN(E$9)-1))),
SUMIF(INDIRECT(Equipo!$G$4&amp;"!B10:B1000"),$B126,INDIRECT(Equipo!$G$4&amp;"!"&amp;ADDRESS(10,COLUMN(E$9)-1)&amp;":"&amp;ADDRESS(1000,COLUMN(E$9)-1)))))</f>
        <v>-</v>
      </c>
      <c r="F126" s="19" t="str">
        <f t="array" ref="F126">IF(ISBLANK(Tareas!$B122),"-",SUM(
SUMIF(INDIRECT(Equipo!$C$4&amp;"!B10:B1000"),$B126,INDIRECT(Equipo!$C$4&amp;"!"&amp;ADDRESS(10,COLUMN(F$9)-1)&amp;":"&amp;ADDRESS(1000,COLUMN(F$9)-1))),
SUMIF(INDIRECT(Equipo!$D$4&amp;"!B10:B1000"),$B126,INDIRECT(Equipo!$D$4&amp;"!"&amp;ADDRESS(10,COLUMN(F$9)-1)&amp;":"&amp;ADDRESS(1000,COLUMN(F$9)-1))),
SUMIF(INDIRECT(Equipo!$E$4&amp;"!B10:B1000"),$B126,INDIRECT(Equipo!$E$4&amp;"!"&amp;ADDRESS(10,COLUMN(F$9)-1)&amp;":"&amp;ADDRESS(1000,COLUMN(F$9)-1))),
SUMIF(INDIRECT(Equipo!$F$4&amp;"!B10:B1000"),$B126,INDIRECT(Equipo!$F$4&amp;"!"&amp;ADDRESS(10,COLUMN(F$9)-1)&amp;":"&amp;ADDRESS(1000,COLUMN(F$9)-1))),
SUMIF(INDIRECT(Equipo!$G$4&amp;"!B10:B1000"),$B126,INDIRECT(Equipo!$G$4&amp;"!"&amp;ADDRESS(10,COLUMN(F$9)-1)&amp;":"&amp;ADDRESS(1000,COLUMN(F$9)-1)))))</f>
        <v>-</v>
      </c>
      <c r="G126" s="19" t="str">
        <f t="array" ref="G126">IF(ISBLANK(Tareas!$B122),"-",SUM(
SUMIF(INDIRECT(Equipo!$C$4&amp;"!B10:B1000"),$B126,INDIRECT(Equipo!$C$4&amp;"!"&amp;ADDRESS(10,COLUMN(G$9)-1)&amp;":"&amp;ADDRESS(1000,COLUMN(G$9)-1))),
SUMIF(INDIRECT(Equipo!$D$4&amp;"!B10:B1000"),$B126,INDIRECT(Equipo!$D$4&amp;"!"&amp;ADDRESS(10,COLUMN(G$9)-1)&amp;":"&amp;ADDRESS(1000,COLUMN(G$9)-1))),
SUMIF(INDIRECT(Equipo!$E$4&amp;"!B10:B1000"),$B126,INDIRECT(Equipo!$E$4&amp;"!"&amp;ADDRESS(10,COLUMN(G$9)-1)&amp;":"&amp;ADDRESS(1000,COLUMN(G$9)-1))),
SUMIF(INDIRECT(Equipo!$F$4&amp;"!B10:B1000"),$B126,INDIRECT(Equipo!$F$4&amp;"!"&amp;ADDRESS(10,COLUMN(G$9)-1)&amp;":"&amp;ADDRESS(1000,COLUMN(G$9)-1))),
SUMIF(INDIRECT(Equipo!$G$4&amp;"!B10:B1000"),$B126,INDIRECT(Equipo!$G$4&amp;"!"&amp;ADDRESS(10,COLUMN(G$9)-1)&amp;":"&amp;ADDRESS(1000,COLUMN(G$9)-1)))))</f>
        <v>-</v>
      </c>
      <c r="H126" s="19" t="str">
        <f t="array" ref="H126">IF(ISBLANK(Tareas!$B122),"-",SUM(
SUMIF(INDIRECT(Equipo!$C$4&amp;"!B10:B1000"),$B126,INDIRECT(Equipo!$C$4&amp;"!"&amp;ADDRESS(10,COLUMN(H$9)-1)&amp;":"&amp;ADDRESS(1000,COLUMN(H$9)-1))),
SUMIF(INDIRECT(Equipo!$D$4&amp;"!B10:B1000"),$B126,INDIRECT(Equipo!$D$4&amp;"!"&amp;ADDRESS(10,COLUMN(H$9)-1)&amp;":"&amp;ADDRESS(1000,COLUMN(H$9)-1))),
SUMIF(INDIRECT(Equipo!$E$4&amp;"!B10:B1000"),$B126,INDIRECT(Equipo!$E$4&amp;"!"&amp;ADDRESS(10,COLUMN(H$9)-1)&amp;":"&amp;ADDRESS(1000,COLUMN(H$9)-1))),
SUMIF(INDIRECT(Equipo!$F$4&amp;"!B10:B1000"),$B126,INDIRECT(Equipo!$F$4&amp;"!"&amp;ADDRESS(10,COLUMN(H$9)-1)&amp;":"&amp;ADDRESS(1000,COLUMN(H$9)-1))),
SUMIF(INDIRECT(Equipo!$G$4&amp;"!B10:B1000"),$B126,INDIRECT(Equipo!$G$4&amp;"!"&amp;ADDRESS(10,COLUMN(H$9)-1)&amp;":"&amp;ADDRESS(1000,COLUMN(H$9)-1)))))</f>
        <v>-</v>
      </c>
      <c r="I126" s="19" t="str">
        <f t="array" ref="I126">IF(ISBLANK(Tareas!$B122),"-",SUM(
SUMIF(INDIRECT(Equipo!$C$4&amp;"!B10:B1000"),$B126,INDIRECT(Equipo!$C$4&amp;"!"&amp;ADDRESS(10,COLUMN(I$9)-1)&amp;":"&amp;ADDRESS(1000,COLUMN(I$9)-1))),
SUMIF(INDIRECT(Equipo!$D$4&amp;"!B10:B1000"),$B126,INDIRECT(Equipo!$D$4&amp;"!"&amp;ADDRESS(10,COLUMN(I$9)-1)&amp;":"&amp;ADDRESS(1000,COLUMN(I$9)-1))),
SUMIF(INDIRECT(Equipo!$E$4&amp;"!B10:B1000"),$B126,INDIRECT(Equipo!$E$4&amp;"!"&amp;ADDRESS(10,COLUMN(I$9)-1)&amp;":"&amp;ADDRESS(1000,COLUMN(I$9)-1))),
SUMIF(INDIRECT(Equipo!$F$4&amp;"!B10:B1000"),$B126,INDIRECT(Equipo!$F$4&amp;"!"&amp;ADDRESS(10,COLUMN(I$9)-1)&amp;":"&amp;ADDRESS(1000,COLUMN(I$9)-1))),
SUMIF(INDIRECT(Equipo!$G$4&amp;"!B10:B1000"),$B126,INDIRECT(Equipo!$G$4&amp;"!"&amp;ADDRESS(10,COLUMN(I$9)-1)&amp;":"&amp;ADDRESS(1000,COLUMN(I$9)-1)))))</f>
        <v>-</v>
      </c>
      <c r="J126" s="19" t="str">
        <f t="array" ref="J126">IF(ISBLANK(Tareas!$B122),"-",SUM(
SUMIF(INDIRECT(Equipo!$C$4&amp;"!B10:B1000"),$B126,INDIRECT(Equipo!$C$4&amp;"!"&amp;ADDRESS(10,COLUMN(J$9)-1)&amp;":"&amp;ADDRESS(1000,COLUMN(J$9)-1))),
SUMIF(INDIRECT(Equipo!$D$4&amp;"!B10:B1000"),$B126,INDIRECT(Equipo!$D$4&amp;"!"&amp;ADDRESS(10,COLUMN(J$9)-1)&amp;":"&amp;ADDRESS(1000,COLUMN(J$9)-1))),
SUMIF(INDIRECT(Equipo!$E$4&amp;"!B10:B1000"),$B126,INDIRECT(Equipo!$E$4&amp;"!"&amp;ADDRESS(10,COLUMN(J$9)-1)&amp;":"&amp;ADDRESS(1000,COLUMN(J$9)-1))),
SUMIF(INDIRECT(Equipo!$F$4&amp;"!B10:B1000"),$B126,INDIRECT(Equipo!$F$4&amp;"!"&amp;ADDRESS(10,COLUMN(J$9)-1)&amp;":"&amp;ADDRESS(1000,COLUMN(J$9)-1))),
SUMIF(INDIRECT(Equipo!$G$4&amp;"!B10:B1000"),$B126,INDIRECT(Equipo!$G$4&amp;"!"&amp;ADDRESS(10,COLUMN(J$9)-1)&amp;":"&amp;ADDRESS(1000,COLUMN(J$9)-1)))))</f>
        <v>-</v>
      </c>
      <c r="K126" s="19" t="str">
        <f t="array" ref="K126">IF(ISBLANK(Tareas!$B122),"-",SUM(
SUMIF(INDIRECT(Equipo!$C$4&amp;"!B10:B1000"),$B126,INDIRECT(Equipo!$C$4&amp;"!"&amp;ADDRESS(10,COLUMN(K$9)-1)&amp;":"&amp;ADDRESS(1000,COLUMN(K$9)-1))),
SUMIF(INDIRECT(Equipo!$D$4&amp;"!B10:B1000"),$B126,INDIRECT(Equipo!$D$4&amp;"!"&amp;ADDRESS(10,COLUMN(K$9)-1)&amp;":"&amp;ADDRESS(1000,COLUMN(K$9)-1))),
SUMIF(INDIRECT(Equipo!$E$4&amp;"!B10:B1000"),$B126,INDIRECT(Equipo!$E$4&amp;"!"&amp;ADDRESS(10,COLUMN(K$9)-1)&amp;":"&amp;ADDRESS(1000,COLUMN(K$9)-1))),
SUMIF(INDIRECT(Equipo!$F$4&amp;"!B10:B1000"),$B126,INDIRECT(Equipo!$F$4&amp;"!"&amp;ADDRESS(10,COLUMN(K$9)-1)&amp;":"&amp;ADDRESS(1000,COLUMN(K$9)-1))),
SUMIF(INDIRECT(Equipo!$G$4&amp;"!B10:B1000"),$B126,INDIRECT(Equipo!$G$4&amp;"!"&amp;ADDRESS(10,COLUMN(K$9)-1)&amp;":"&amp;ADDRESS(1000,COLUMN(K$9)-1)))))</f>
        <v>-</v>
      </c>
    </row>
    <row r="127" ht="15.75" customHeight="1">
      <c r="B127" s="1" t="str">
        <f>IF(ISBLANK(Tareas!B123)," - ",Tareas!B123)</f>
        <v> - </v>
      </c>
      <c r="D127" s="19" t="str">
        <f t="array" ref="D127">IF(ISBLANK(Tareas!$B123),"-",SUM(
SUMIF(INDIRECT(Equipo!$C$4&amp;"!B10:B1000"),$B127,INDIRECT(Equipo!$C$4&amp;"!"&amp;ADDRESS(10,COLUMN(D$9)-1)&amp;":"&amp;ADDRESS(1000,COLUMN(D$9)-1))),
SUMIF(INDIRECT(Equipo!$D$4&amp;"!B10:B1000"),$B127,INDIRECT(Equipo!$D$4&amp;"!"&amp;ADDRESS(10,COLUMN(D$9)-1)&amp;":"&amp;ADDRESS(1000,COLUMN(D$9)-1))),
SUMIF(INDIRECT(Equipo!$E$4&amp;"!B10:B1000"),$B127,INDIRECT(Equipo!$E$4&amp;"!"&amp;ADDRESS(10,COLUMN(D$9)-1)&amp;":"&amp;ADDRESS(1000,COLUMN(D$9)-1))),
SUMIF(INDIRECT(Equipo!$F$4&amp;"!B10:B1000"),$B127,INDIRECT(Equipo!$F$4&amp;"!"&amp;ADDRESS(10,COLUMN(D$9)-1)&amp;":"&amp;ADDRESS(1000,COLUMN(D$9)-1))),
SUMIF(INDIRECT(Equipo!$G$4&amp;"!B10:B1000"),$B127,INDIRECT(Equipo!$G$4&amp;"!"&amp;ADDRESS(10,COLUMN(D$9)-1)&amp;":"&amp;ADDRESS(1000,COLUMN(D$9)-1)))))</f>
        <v>-</v>
      </c>
      <c r="E127" s="19" t="str">
        <f t="array" ref="E127">IF(ISBLANK(Tareas!$B123),"-",SUM(
SUMIF(INDIRECT(Equipo!$C$4&amp;"!B10:B1000"),$B127,INDIRECT(Equipo!$C$4&amp;"!"&amp;ADDRESS(10,COLUMN(E$9)-1)&amp;":"&amp;ADDRESS(1000,COLUMN(E$9)-1))),
SUMIF(INDIRECT(Equipo!$D$4&amp;"!B10:B1000"),$B127,INDIRECT(Equipo!$D$4&amp;"!"&amp;ADDRESS(10,COLUMN(E$9)-1)&amp;":"&amp;ADDRESS(1000,COLUMN(E$9)-1))),
SUMIF(INDIRECT(Equipo!$E$4&amp;"!B10:B1000"),$B127,INDIRECT(Equipo!$E$4&amp;"!"&amp;ADDRESS(10,COLUMN(E$9)-1)&amp;":"&amp;ADDRESS(1000,COLUMN(E$9)-1))),
SUMIF(INDIRECT(Equipo!$F$4&amp;"!B10:B1000"),$B127,INDIRECT(Equipo!$F$4&amp;"!"&amp;ADDRESS(10,COLUMN(E$9)-1)&amp;":"&amp;ADDRESS(1000,COLUMN(E$9)-1))),
SUMIF(INDIRECT(Equipo!$G$4&amp;"!B10:B1000"),$B127,INDIRECT(Equipo!$G$4&amp;"!"&amp;ADDRESS(10,COLUMN(E$9)-1)&amp;":"&amp;ADDRESS(1000,COLUMN(E$9)-1)))))</f>
        <v>-</v>
      </c>
      <c r="F127" s="19" t="str">
        <f t="array" ref="F127">IF(ISBLANK(Tareas!$B123),"-",SUM(
SUMIF(INDIRECT(Equipo!$C$4&amp;"!B10:B1000"),$B127,INDIRECT(Equipo!$C$4&amp;"!"&amp;ADDRESS(10,COLUMN(F$9)-1)&amp;":"&amp;ADDRESS(1000,COLUMN(F$9)-1))),
SUMIF(INDIRECT(Equipo!$D$4&amp;"!B10:B1000"),$B127,INDIRECT(Equipo!$D$4&amp;"!"&amp;ADDRESS(10,COLUMN(F$9)-1)&amp;":"&amp;ADDRESS(1000,COLUMN(F$9)-1))),
SUMIF(INDIRECT(Equipo!$E$4&amp;"!B10:B1000"),$B127,INDIRECT(Equipo!$E$4&amp;"!"&amp;ADDRESS(10,COLUMN(F$9)-1)&amp;":"&amp;ADDRESS(1000,COLUMN(F$9)-1))),
SUMIF(INDIRECT(Equipo!$F$4&amp;"!B10:B1000"),$B127,INDIRECT(Equipo!$F$4&amp;"!"&amp;ADDRESS(10,COLUMN(F$9)-1)&amp;":"&amp;ADDRESS(1000,COLUMN(F$9)-1))),
SUMIF(INDIRECT(Equipo!$G$4&amp;"!B10:B1000"),$B127,INDIRECT(Equipo!$G$4&amp;"!"&amp;ADDRESS(10,COLUMN(F$9)-1)&amp;":"&amp;ADDRESS(1000,COLUMN(F$9)-1)))))</f>
        <v>-</v>
      </c>
      <c r="G127" s="19" t="str">
        <f t="array" ref="G127">IF(ISBLANK(Tareas!$B123),"-",SUM(
SUMIF(INDIRECT(Equipo!$C$4&amp;"!B10:B1000"),$B127,INDIRECT(Equipo!$C$4&amp;"!"&amp;ADDRESS(10,COLUMN(G$9)-1)&amp;":"&amp;ADDRESS(1000,COLUMN(G$9)-1))),
SUMIF(INDIRECT(Equipo!$D$4&amp;"!B10:B1000"),$B127,INDIRECT(Equipo!$D$4&amp;"!"&amp;ADDRESS(10,COLUMN(G$9)-1)&amp;":"&amp;ADDRESS(1000,COLUMN(G$9)-1))),
SUMIF(INDIRECT(Equipo!$E$4&amp;"!B10:B1000"),$B127,INDIRECT(Equipo!$E$4&amp;"!"&amp;ADDRESS(10,COLUMN(G$9)-1)&amp;":"&amp;ADDRESS(1000,COLUMN(G$9)-1))),
SUMIF(INDIRECT(Equipo!$F$4&amp;"!B10:B1000"),$B127,INDIRECT(Equipo!$F$4&amp;"!"&amp;ADDRESS(10,COLUMN(G$9)-1)&amp;":"&amp;ADDRESS(1000,COLUMN(G$9)-1))),
SUMIF(INDIRECT(Equipo!$G$4&amp;"!B10:B1000"),$B127,INDIRECT(Equipo!$G$4&amp;"!"&amp;ADDRESS(10,COLUMN(G$9)-1)&amp;":"&amp;ADDRESS(1000,COLUMN(G$9)-1)))))</f>
        <v>-</v>
      </c>
      <c r="H127" s="19" t="str">
        <f t="array" ref="H127">IF(ISBLANK(Tareas!$B123),"-",SUM(
SUMIF(INDIRECT(Equipo!$C$4&amp;"!B10:B1000"),$B127,INDIRECT(Equipo!$C$4&amp;"!"&amp;ADDRESS(10,COLUMN(H$9)-1)&amp;":"&amp;ADDRESS(1000,COLUMN(H$9)-1))),
SUMIF(INDIRECT(Equipo!$D$4&amp;"!B10:B1000"),$B127,INDIRECT(Equipo!$D$4&amp;"!"&amp;ADDRESS(10,COLUMN(H$9)-1)&amp;":"&amp;ADDRESS(1000,COLUMN(H$9)-1))),
SUMIF(INDIRECT(Equipo!$E$4&amp;"!B10:B1000"),$B127,INDIRECT(Equipo!$E$4&amp;"!"&amp;ADDRESS(10,COLUMN(H$9)-1)&amp;":"&amp;ADDRESS(1000,COLUMN(H$9)-1))),
SUMIF(INDIRECT(Equipo!$F$4&amp;"!B10:B1000"),$B127,INDIRECT(Equipo!$F$4&amp;"!"&amp;ADDRESS(10,COLUMN(H$9)-1)&amp;":"&amp;ADDRESS(1000,COLUMN(H$9)-1))),
SUMIF(INDIRECT(Equipo!$G$4&amp;"!B10:B1000"),$B127,INDIRECT(Equipo!$G$4&amp;"!"&amp;ADDRESS(10,COLUMN(H$9)-1)&amp;":"&amp;ADDRESS(1000,COLUMN(H$9)-1)))))</f>
        <v>-</v>
      </c>
      <c r="I127" s="19" t="str">
        <f t="array" ref="I127">IF(ISBLANK(Tareas!$B123),"-",SUM(
SUMIF(INDIRECT(Equipo!$C$4&amp;"!B10:B1000"),$B127,INDIRECT(Equipo!$C$4&amp;"!"&amp;ADDRESS(10,COLUMN(I$9)-1)&amp;":"&amp;ADDRESS(1000,COLUMN(I$9)-1))),
SUMIF(INDIRECT(Equipo!$D$4&amp;"!B10:B1000"),$B127,INDIRECT(Equipo!$D$4&amp;"!"&amp;ADDRESS(10,COLUMN(I$9)-1)&amp;":"&amp;ADDRESS(1000,COLUMN(I$9)-1))),
SUMIF(INDIRECT(Equipo!$E$4&amp;"!B10:B1000"),$B127,INDIRECT(Equipo!$E$4&amp;"!"&amp;ADDRESS(10,COLUMN(I$9)-1)&amp;":"&amp;ADDRESS(1000,COLUMN(I$9)-1))),
SUMIF(INDIRECT(Equipo!$F$4&amp;"!B10:B1000"),$B127,INDIRECT(Equipo!$F$4&amp;"!"&amp;ADDRESS(10,COLUMN(I$9)-1)&amp;":"&amp;ADDRESS(1000,COLUMN(I$9)-1))),
SUMIF(INDIRECT(Equipo!$G$4&amp;"!B10:B1000"),$B127,INDIRECT(Equipo!$G$4&amp;"!"&amp;ADDRESS(10,COLUMN(I$9)-1)&amp;":"&amp;ADDRESS(1000,COLUMN(I$9)-1)))))</f>
        <v>-</v>
      </c>
      <c r="J127" s="19" t="str">
        <f t="array" ref="J127">IF(ISBLANK(Tareas!$B123),"-",SUM(
SUMIF(INDIRECT(Equipo!$C$4&amp;"!B10:B1000"),$B127,INDIRECT(Equipo!$C$4&amp;"!"&amp;ADDRESS(10,COLUMN(J$9)-1)&amp;":"&amp;ADDRESS(1000,COLUMN(J$9)-1))),
SUMIF(INDIRECT(Equipo!$D$4&amp;"!B10:B1000"),$B127,INDIRECT(Equipo!$D$4&amp;"!"&amp;ADDRESS(10,COLUMN(J$9)-1)&amp;":"&amp;ADDRESS(1000,COLUMN(J$9)-1))),
SUMIF(INDIRECT(Equipo!$E$4&amp;"!B10:B1000"),$B127,INDIRECT(Equipo!$E$4&amp;"!"&amp;ADDRESS(10,COLUMN(J$9)-1)&amp;":"&amp;ADDRESS(1000,COLUMN(J$9)-1))),
SUMIF(INDIRECT(Equipo!$F$4&amp;"!B10:B1000"),$B127,INDIRECT(Equipo!$F$4&amp;"!"&amp;ADDRESS(10,COLUMN(J$9)-1)&amp;":"&amp;ADDRESS(1000,COLUMN(J$9)-1))),
SUMIF(INDIRECT(Equipo!$G$4&amp;"!B10:B1000"),$B127,INDIRECT(Equipo!$G$4&amp;"!"&amp;ADDRESS(10,COLUMN(J$9)-1)&amp;":"&amp;ADDRESS(1000,COLUMN(J$9)-1)))))</f>
        <v>-</v>
      </c>
      <c r="K127" s="19" t="str">
        <f t="array" ref="K127">IF(ISBLANK(Tareas!$B123),"-",SUM(
SUMIF(INDIRECT(Equipo!$C$4&amp;"!B10:B1000"),$B127,INDIRECT(Equipo!$C$4&amp;"!"&amp;ADDRESS(10,COLUMN(K$9)-1)&amp;":"&amp;ADDRESS(1000,COLUMN(K$9)-1))),
SUMIF(INDIRECT(Equipo!$D$4&amp;"!B10:B1000"),$B127,INDIRECT(Equipo!$D$4&amp;"!"&amp;ADDRESS(10,COLUMN(K$9)-1)&amp;":"&amp;ADDRESS(1000,COLUMN(K$9)-1))),
SUMIF(INDIRECT(Equipo!$E$4&amp;"!B10:B1000"),$B127,INDIRECT(Equipo!$E$4&amp;"!"&amp;ADDRESS(10,COLUMN(K$9)-1)&amp;":"&amp;ADDRESS(1000,COLUMN(K$9)-1))),
SUMIF(INDIRECT(Equipo!$F$4&amp;"!B10:B1000"),$B127,INDIRECT(Equipo!$F$4&amp;"!"&amp;ADDRESS(10,COLUMN(K$9)-1)&amp;":"&amp;ADDRESS(1000,COLUMN(K$9)-1))),
SUMIF(INDIRECT(Equipo!$G$4&amp;"!B10:B1000"),$B127,INDIRECT(Equipo!$G$4&amp;"!"&amp;ADDRESS(10,COLUMN(K$9)-1)&amp;":"&amp;ADDRESS(1000,COLUMN(K$9)-1)))))</f>
        <v>-</v>
      </c>
    </row>
    <row r="128" ht="15.75" customHeight="1">
      <c r="B128" s="1" t="str">
        <f>IF(ISBLANK(Tareas!B124)," - ",Tareas!B124)</f>
        <v> - </v>
      </c>
      <c r="D128" s="19" t="str">
        <f t="array" ref="D128">IF(ISBLANK(Tareas!$B124),"-",SUM(
SUMIF(INDIRECT(Equipo!$C$4&amp;"!B10:B1000"),$B128,INDIRECT(Equipo!$C$4&amp;"!"&amp;ADDRESS(10,COLUMN(D$9)-1)&amp;":"&amp;ADDRESS(1000,COLUMN(D$9)-1))),
SUMIF(INDIRECT(Equipo!$D$4&amp;"!B10:B1000"),$B128,INDIRECT(Equipo!$D$4&amp;"!"&amp;ADDRESS(10,COLUMN(D$9)-1)&amp;":"&amp;ADDRESS(1000,COLUMN(D$9)-1))),
SUMIF(INDIRECT(Equipo!$E$4&amp;"!B10:B1000"),$B128,INDIRECT(Equipo!$E$4&amp;"!"&amp;ADDRESS(10,COLUMN(D$9)-1)&amp;":"&amp;ADDRESS(1000,COLUMN(D$9)-1))),
SUMIF(INDIRECT(Equipo!$F$4&amp;"!B10:B1000"),$B128,INDIRECT(Equipo!$F$4&amp;"!"&amp;ADDRESS(10,COLUMN(D$9)-1)&amp;":"&amp;ADDRESS(1000,COLUMN(D$9)-1))),
SUMIF(INDIRECT(Equipo!$G$4&amp;"!B10:B1000"),$B128,INDIRECT(Equipo!$G$4&amp;"!"&amp;ADDRESS(10,COLUMN(D$9)-1)&amp;":"&amp;ADDRESS(1000,COLUMN(D$9)-1)))))</f>
        <v>-</v>
      </c>
      <c r="E128" s="19" t="str">
        <f t="array" ref="E128">IF(ISBLANK(Tareas!$B124),"-",SUM(
SUMIF(INDIRECT(Equipo!$C$4&amp;"!B10:B1000"),$B128,INDIRECT(Equipo!$C$4&amp;"!"&amp;ADDRESS(10,COLUMN(E$9)-1)&amp;":"&amp;ADDRESS(1000,COLUMN(E$9)-1))),
SUMIF(INDIRECT(Equipo!$D$4&amp;"!B10:B1000"),$B128,INDIRECT(Equipo!$D$4&amp;"!"&amp;ADDRESS(10,COLUMN(E$9)-1)&amp;":"&amp;ADDRESS(1000,COLUMN(E$9)-1))),
SUMIF(INDIRECT(Equipo!$E$4&amp;"!B10:B1000"),$B128,INDIRECT(Equipo!$E$4&amp;"!"&amp;ADDRESS(10,COLUMN(E$9)-1)&amp;":"&amp;ADDRESS(1000,COLUMN(E$9)-1))),
SUMIF(INDIRECT(Equipo!$F$4&amp;"!B10:B1000"),$B128,INDIRECT(Equipo!$F$4&amp;"!"&amp;ADDRESS(10,COLUMN(E$9)-1)&amp;":"&amp;ADDRESS(1000,COLUMN(E$9)-1))),
SUMIF(INDIRECT(Equipo!$G$4&amp;"!B10:B1000"),$B128,INDIRECT(Equipo!$G$4&amp;"!"&amp;ADDRESS(10,COLUMN(E$9)-1)&amp;":"&amp;ADDRESS(1000,COLUMN(E$9)-1)))))</f>
        <v>-</v>
      </c>
      <c r="F128" s="19" t="str">
        <f t="array" ref="F128">IF(ISBLANK(Tareas!$B124),"-",SUM(
SUMIF(INDIRECT(Equipo!$C$4&amp;"!B10:B1000"),$B128,INDIRECT(Equipo!$C$4&amp;"!"&amp;ADDRESS(10,COLUMN(F$9)-1)&amp;":"&amp;ADDRESS(1000,COLUMN(F$9)-1))),
SUMIF(INDIRECT(Equipo!$D$4&amp;"!B10:B1000"),$B128,INDIRECT(Equipo!$D$4&amp;"!"&amp;ADDRESS(10,COLUMN(F$9)-1)&amp;":"&amp;ADDRESS(1000,COLUMN(F$9)-1))),
SUMIF(INDIRECT(Equipo!$E$4&amp;"!B10:B1000"),$B128,INDIRECT(Equipo!$E$4&amp;"!"&amp;ADDRESS(10,COLUMN(F$9)-1)&amp;":"&amp;ADDRESS(1000,COLUMN(F$9)-1))),
SUMIF(INDIRECT(Equipo!$F$4&amp;"!B10:B1000"),$B128,INDIRECT(Equipo!$F$4&amp;"!"&amp;ADDRESS(10,COLUMN(F$9)-1)&amp;":"&amp;ADDRESS(1000,COLUMN(F$9)-1))),
SUMIF(INDIRECT(Equipo!$G$4&amp;"!B10:B1000"),$B128,INDIRECT(Equipo!$G$4&amp;"!"&amp;ADDRESS(10,COLUMN(F$9)-1)&amp;":"&amp;ADDRESS(1000,COLUMN(F$9)-1)))))</f>
        <v>-</v>
      </c>
      <c r="G128" s="19" t="str">
        <f t="array" ref="G128">IF(ISBLANK(Tareas!$B124),"-",SUM(
SUMIF(INDIRECT(Equipo!$C$4&amp;"!B10:B1000"),$B128,INDIRECT(Equipo!$C$4&amp;"!"&amp;ADDRESS(10,COLUMN(G$9)-1)&amp;":"&amp;ADDRESS(1000,COLUMN(G$9)-1))),
SUMIF(INDIRECT(Equipo!$D$4&amp;"!B10:B1000"),$B128,INDIRECT(Equipo!$D$4&amp;"!"&amp;ADDRESS(10,COLUMN(G$9)-1)&amp;":"&amp;ADDRESS(1000,COLUMN(G$9)-1))),
SUMIF(INDIRECT(Equipo!$E$4&amp;"!B10:B1000"),$B128,INDIRECT(Equipo!$E$4&amp;"!"&amp;ADDRESS(10,COLUMN(G$9)-1)&amp;":"&amp;ADDRESS(1000,COLUMN(G$9)-1))),
SUMIF(INDIRECT(Equipo!$F$4&amp;"!B10:B1000"),$B128,INDIRECT(Equipo!$F$4&amp;"!"&amp;ADDRESS(10,COLUMN(G$9)-1)&amp;":"&amp;ADDRESS(1000,COLUMN(G$9)-1))),
SUMIF(INDIRECT(Equipo!$G$4&amp;"!B10:B1000"),$B128,INDIRECT(Equipo!$G$4&amp;"!"&amp;ADDRESS(10,COLUMN(G$9)-1)&amp;":"&amp;ADDRESS(1000,COLUMN(G$9)-1)))))</f>
        <v>-</v>
      </c>
      <c r="H128" s="19" t="str">
        <f t="array" ref="H128">IF(ISBLANK(Tareas!$B124),"-",SUM(
SUMIF(INDIRECT(Equipo!$C$4&amp;"!B10:B1000"),$B128,INDIRECT(Equipo!$C$4&amp;"!"&amp;ADDRESS(10,COLUMN(H$9)-1)&amp;":"&amp;ADDRESS(1000,COLUMN(H$9)-1))),
SUMIF(INDIRECT(Equipo!$D$4&amp;"!B10:B1000"),$B128,INDIRECT(Equipo!$D$4&amp;"!"&amp;ADDRESS(10,COLUMN(H$9)-1)&amp;":"&amp;ADDRESS(1000,COLUMN(H$9)-1))),
SUMIF(INDIRECT(Equipo!$E$4&amp;"!B10:B1000"),$B128,INDIRECT(Equipo!$E$4&amp;"!"&amp;ADDRESS(10,COLUMN(H$9)-1)&amp;":"&amp;ADDRESS(1000,COLUMN(H$9)-1))),
SUMIF(INDIRECT(Equipo!$F$4&amp;"!B10:B1000"),$B128,INDIRECT(Equipo!$F$4&amp;"!"&amp;ADDRESS(10,COLUMN(H$9)-1)&amp;":"&amp;ADDRESS(1000,COLUMN(H$9)-1))),
SUMIF(INDIRECT(Equipo!$G$4&amp;"!B10:B1000"),$B128,INDIRECT(Equipo!$G$4&amp;"!"&amp;ADDRESS(10,COLUMN(H$9)-1)&amp;":"&amp;ADDRESS(1000,COLUMN(H$9)-1)))))</f>
        <v>-</v>
      </c>
      <c r="I128" s="19" t="str">
        <f t="array" ref="I128">IF(ISBLANK(Tareas!$B124),"-",SUM(
SUMIF(INDIRECT(Equipo!$C$4&amp;"!B10:B1000"),$B128,INDIRECT(Equipo!$C$4&amp;"!"&amp;ADDRESS(10,COLUMN(I$9)-1)&amp;":"&amp;ADDRESS(1000,COLUMN(I$9)-1))),
SUMIF(INDIRECT(Equipo!$D$4&amp;"!B10:B1000"),$B128,INDIRECT(Equipo!$D$4&amp;"!"&amp;ADDRESS(10,COLUMN(I$9)-1)&amp;":"&amp;ADDRESS(1000,COLUMN(I$9)-1))),
SUMIF(INDIRECT(Equipo!$E$4&amp;"!B10:B1000"),$B128,INDIRECT(Equipo!$E$4&amp;"!"&amp;ADDRESS(10,COLUMN(I$9)-1)&amp;":"&amp;ADDRESS(1000,COLUMN(I$9)-1))),
SUMIF(INDIRECT(Equipo!$F$4&amp;"!B10:B1000"),$B128,INDIRECT(Equipo!$F$4&amp;"!"&amp;ADDRESS(10,COLUMN(I$9)-1)&amp;":"&amp;ADDRESS(1000,COLUMN(I$9)-1))),
SUMIF(INDIRECT(Equipo!$G$4&amp;"!B10:B1000"),$B128,INDIRECT(Equipo!$G$4&amp;"!"&amp;ADDRESS(10,COLUMN(I$9)-1)&amp;":"&amp;ADDRESS(1000,COLUMN(I$9)-1)))))</f>
        <v>-</v>
      </c>
      <c r="J128" s="19" t="str">
        <f t="array" ref="J128">IF(ISBLANK(Tareas!$B124),"-",SUM(
SUMIF(INDIRECT(Equipo!$C$4&amp;"!B10:B1000"),$B128,INDIRECT(Equipo!$C$4&amp;"!"&amp;ADDRESS(10,COLUMN(J$9)-1)&amp;":"&amp;ADDRESS(1000,COLUMN(J$9)-1))),
SUMIF(INDIRECT(Equipo!$D$4&amp;"!B10:B1000"),$B128,INDIRECT(Equipo!$D$4&amp;"!"&amp;ADDRESS(10,COLUMN(J$9)-1)&amp;":"&amp;ADDRESS(1000,COLUMN(J$9)-1))),
SUMIF(INDIRECT(Equipo!$E$4&amp;"!B10:B1000"),$B128,INDIRECT(Equipo!$E$4&amp;"!"&amp;ADDRESS(10,COLUMN(J$9)-1)&amp;":"&amp;ADDRESS(1000,COLUMN(J$9)-1))),
SUMIF(INDIRECT(Equipo!$F$4&amp;"!B10:B1000"),$B128,INDIRECT(Equipo!$F$4&amp;"!"&amp;ADDRESS(10,COLUMN(J$9)-1)&amp;":"&amp;ADDRESS(1000,COLUMN(J$9)-1))),
SUMIF(INDIRECT(Equipo!$G$4&amp;"!B10:B1000"),$B128,INDIRECT(Equipo!$G$4&amp;"!"&amp;ADDRESS(10,COLUMN(J$9)-1)&amp;":"&amp;ADDRESS(1000,COLUMN(J$9)-1)))))</f>
        <v>-</v>
      </c>
      <c r="K128" s="19" t="str">
        <f t="array" ref="K128">IF(ISBLANK(Tareas!$B124),"-",SUM(
SUMIF(INDIRECT(Equipo!$C$4&amp;"!B10:B1000"),$B128,INDIRECT(Equipo!$C$4&amp;"!"&amp;ADDRESS(10,COLUMN(K$9)-1)&amp;":"&amp;ADDRESS(1000,COLUMN(K$9)-1))),
SUMIF(INDIRECT(Equipo!$D$4&amp;"!B10:B1000"),$B128,INDIRECT(Equipo!$D$4&amp;"!"&amp;ADDRESS(10,COLUMN(K$9)-1)&amp;":"&amp;ADDRESS(1000,COLUMN(K$9)-1))),
SUMIF(INDIRECT(Equipo!$E$4&amp;"!B10:B1000"),$B128,INDIRECT(Equipo!$E$4&amp;"!"&amp;ADDRESS(10,COLUMN(K$9)-1)&amp;":"&amp;ADDRESS(1000,COLUMN(K$9)-1))),
SUMIF(INDIRECT(Equipo!$F$4&amp;"!B10:B1000"),$B128,INDIRECT(Equipo!$F$4&amp;"!"&amp;ADDRESS(10,COLUMN(K$9)-1)&amp;":"&amp;ADDRESS(1000,COLUMN(K$9)-1))),
SUMIF(INDIRECT(Equipo!$G$4&amp;"!B10:B1000"),$B128,INDIRECT(Equipo!$G$4&amp;"!"&amp;ADDRESS(10,COLUMN(K$9)-1)&amp;":"&amp;ADDRESS(1000,COLUMN(K$9)-1)))))</f>
        <v>-</v>
      </c>
    </row>
    <row r="129" ht="15.75" customHeight="1">
      <c r="B129" s="1" t="str">
        <f>IF(ISBLANK(Tareas!B125)," - ",Tareas!B125)</f>
        <v> - </v>
      </c>
      <c r="D129" s="19" t="str">
        <f t="array" ref="D129">IF(ISBLANK(Tareas!$B125),"-",SUM(
SUMIF(INDIRECT(Equipo!$C$4&amp;"!B10:B1000"),$B129,INDIRECT(Equipo!$C$4&amp;"!"&amp;ADDRESS(10,COLUMN(D$9)-1)&amp;":"&amp;ADDRESS(1000,COLUMN(D$9)-1))),
SUMIF(INDIRECT(Equipo!$D$4&amp;"!B10:B1000"),$B129,INDIRECT(Equipo!$D$4&amp;"!"&amp;ADDRESS(10,COLUMN(D$9)-1)&amp;":"&amp;ADDRESS(1000,COLUMN(D$9)-1))),
SUMIF(INDIRECT(Equipo!$E$4&amp;"!B10:B1000"),$B129,INDIRECT(Equipo!$E$4&amp;"!"&amp;ADDRESS(10,COLUMN(D$9)-1)&amp;":"&amp;ADDRESS(1000,COLUMN(D$9)-1))),
SUMIF(INDIRECT(Equipo!$F$4&amp;"!B10:B1000"),$B129,INDIRECT(Equipo!$F$4&amp;"!"&amp;ADDRESS(10,COLUMN(D$9)-1)&amp;":"&amp;ADDRESS(1000,COLUMN(D$9)-1))),
SUMIF(INDIRECT(Equipo!$G$4&amp;"!B10:B1000"),$B129,INDIRECT(Equipo!$G$4&amp;"!"&amp;ADDRESS(10,COLUMN(D$9)-1)&amp;":"&amp;ADDRESS(1000,COLUMN(D$9)-1)))))</f>
        <v>-</v>
      </c>
      <c r="E129" s="19" t="str">
        <f t="array" ref="E129">IF(ISBLANK(Tareas!$B125),"-",SUM(
SUMIF(INDIRECT(Equipo!$C$4&amp;"!B10:B1000"),$B129,INDIRECT(Equipo!$C$4&amp;"!"&amp;ADDRESS(10,COLUMN(E$9)-1)&amp;":"&amp;ADDRESS(1000,COLUMN(E$9)-1))),
SUMIF(INDIRECT(Equipo!$D$4&amp;"!B10:B1000"),$B129,INDIRECT(Equipo!$D$4&amp;"!"&amp;ADDRESS(10,COLUMN(E$9)-1)&amp;":"&amp;ADDRESS(1000,COLUMN(E$9)-1))),
SUMIF(INDIRECT(Equipo!$E$4&amp;"!B10:B1000"),$B129,INDIRECT(Equipo!$E$4&amp;"!"&amp;ADDRESS(10,COLUMN(E$9)-1)&amp;":"&amp;ADDRESS(1000,COLUMN(E$9)-1))),
SUMIF(INDIRECT(Equipo!$F$4&amp;"!B10:B1000"),$B129,INDIRECT(Equipo!$F$4&amp;"!"&amp;ADDRESS(10,COLUMN(E$9)-1)&amp;":"&amp;ADDRESS(1000,COLUMN(E$9)-1))),
SUMIF(INDIRECT(Equipo!$G$4&amp;"!B10:B1000"),$B129,INDIRECT(Equipo!$G$4&amp;"!"&amp;ADDRESS(10,COLUMN(E$9)-1)&amp;":"&amp;ADDRESS(1000,COLUMN(E$9)-1)))))</f>
        <v>-</v>
      </c>
      <c r="F129" s="19" t="str">
        <f t="array" ref="F129">IF(ISBLANK(Tareas!$B125),"-",SUM(
SUMIF(INDIRECT(Equipo!$C$4&amp;"!B10:B1000"),$B129,INDIRECT(Equipo!$C$4&amp;"!"&amp;ADDRESS(10,COLUMN(F$9)-1)&amp;":"&amp;ADDRESS(1000,COLUMN(F$9)-1))),
SUMIF(INDIRECT(Equipo!$D$4&amp;"!B10:B1000"),$B129,INDIRECT(Equipo!$D$4&amp;"!"&amp;ADDRESS(10,COLUMN(F$9)-1)&amp;":"&amp;ADDRESS(1000,COLUMN(F$9)-1))),
SUMIF(INDIRECT(Equipo!$E$4&amp;"!B10:B1000"),$B129,INDIRECT(Equipo!$E$4&amp;"!"&amp;ADDRESS(10,COLUMN(F$9)-1)&amp;":"&amp;ADDRESS(1000,COLUMN(F$9)-1))),
SUMIF(INDIRECT(Equipo!$F$4&amp;"!B10:B1000"),$B129,INDIRECT(Equipo!$F$4&amp;"!"&amp;ADDRESS(10,COLUMN(F$9)-1)&amp;":"&amp;ADDRESS(1000,COLUMN(F$9)-1))),
SUMIF(INDIRECT(Equipo!$G$4&amp;"!B10:B1000"),$B129,INDIRECT(Equipo!$G$4&amp;"!"&amp;ADDRESS(10,COLUMN(F$9)-1)&amp;":"&amp;ADDRESS(1000,COLUMN(F$9)-1)))))</f>
        <v>-</v>
      </c>
      <c r="G129" s="19" t="str">
        <f t="array" ref="G129">IF(ISBLANK(Tareas!$B125),"-",SUM(
SUMIF(INDIRECT(Equipo!$C$4&amp;"!B10:B1000"),$B129,INDIRECT(Equipo!$C$4&amp;"!"&amp;ADDRESS(10,COLUMN(G$9)-1)&amp;":"&amp;ADDRESS(1000,COLUMN(G$9)-1))),
SUMIF(INDIRECT(Equipo!$D$4&amp;"!B10:B1000"),$B129,INDIRECT(Equipo!$D$4&amp;"!"&amp;ADDRESS(10,COLUMN(G$9)-1)&amp;":"&amp;ADDRESS(1000,COLUMN(G$9)-1))),
SUMIF(INDIRECT(Equipo!$E$4&amp;"!B10:B1000"),$B129,INDIRECT(Equipo!$E$4&amp;"!"&amp;ADDRESS(10,COLUMN(G$9)-1)&amp;":"&amp;ADDRESS(1000,COLUMN(G$9)-1))),
SUMIF(INDIRECT(Equipo!$F$4&amp;"!B10:B1000"),$B129,INDIRECT(Equipo!$F$4&amp;"!"&amp;ADDRESS(10,COLUMN(G$9)-1)&amp;":"&amp;ADDRESS(1000,COLUMN(G$9)-1))),
SUMIF(INDIRECT(Equipo!$G$4&amp;"!B10:B1000"),$B129,INDIRECT(Equipo!$G$4&amp;"!"&amp;ADDRESS(10,COLUMN(G$9)-1)&amp;":"&amp;ADDRESS(1000,COLUMN(G$9)-1)))))</f>
        <v>-</v>
      </c>
      <c r="H129" s="19" t="str">
        <f t="array" ref="H129">IF(ISBLANK(Tareas!$B125),"-",SUM(
SUMIF(INDIRECT(Equipo!$C$4&amp;"!B10:B1000"),$B129,INDIRECT(Equipo!$C$4&amp;"!"&amp;ADDRESS(10,COLUMN(H$9)-1)&amp;":"&amp;ADDRESS(1000,COLUMN(H$9)-1))),
SUMIF(INDIRECT(Equipo!$D$4&amp;"!B10:B1000"),$B129,INDIRECT(Equipo!$D$4&amp;"!"&amp;ADDRESS(10,COLUMN(H$9)-1)&amp;":"&amp;ADDRESS(1000,COLUMN(H$9)-1))),
SUMIF(INDIRECT(Equipo!$E$4&amp;"!B10:B1000"),$B129,INDIRECT(Equipo!$E$4&amp;"!"&amp;ADDRESS(10,COLUMN(H$9)-1)&amp;":"&amp;ADDRESS(1000,COLUMN(H$9)-1))),
SUMIF(INDIRECT(Equipo!$F$4&amp;"!B10:B1000"),$B129,INDIRECT(Equipo!$F$4&amp;"!"&amp;ADDRESS(10,COLUMN(H$9)-1)&amp;":"&amp;ADDRESS(1000,COLUMN(H$9)-1))),
SUMIF(INDIRECT(Equipo!$G$4&amp;"!B10:B1000"),$B129,INDIRECT(Equipo!$G$4&amp;"!"&amp;ADDRESS(10,COLUMN(H$9)-1)&amp;":"&amp;ADDRESS(1000,COLUMN(H$9)-1)))))</f>
        <v>-</v>
      </c>
      <c r="I129" s="19" t="str">
        <f t="array" ref="I129">IF(ISBLANK(Tareas!$B125),"-",SUM(
SUMIF(INDIRECT(Equipo!$C$4&amp;"!B10:B1000"),$B129,INDIRECT(Equipo!$C$4&amp;"!"&amp;ADDRESS(10,COLUMN(I$9)-1)&amp;":"&amp;ADDRESS(1000,COLUMN(I$9)-1))),
SUMIF(INDIRECT(Equipo!$D$4&amp;"!B10:B1000"),$B129,INDIRECT(Equipo!$D$4&amp;"!"&amp;ADDRESS(10,COLUMN(I$9)-1)&amp;":"&amp;ADDRESS(1000,COLUMN(I$9)-1))),
SUMIF(INDIRECT(Equipo!$E$4&amp;"!B10:B1000"),$B129,INDIRECT(Equipo!$E$4&amp;"!"&amp;ADDRESS(10,COLUMN(I$9)-1)&amp;":"&amp;ADDRESS(1000,COLUMN(I$9)-1))),
SUMIF(INDIRECT(Equipo!$F$4&amp;"!B10:B1000"),$B129,INDIRECT(Equipo!$F$4&amp;"!"&amp;ADDRESS(10,COLUMN(I$9)-1)&amp;":"&amp;ADDRESS(1000,COLUMN(I$9)-1))),
SUMIF(INDIRECT(Equipo!$G$4&amp;"!B10:B1000"),$B129,INDIRECT(Equipo!$G$4&amp;"!"&amp;ADDRESS(10,COLUMN(I$9)-1)&amp;":"&amp;ADDRESS(1000,COLUMN(I$9)-1)))))</f>
        <v>-</v>
      </c>
      <c r="J129" s="19" t="str">
        <f t="array" ref="J129">IF(ISBLANK(Tareas!$B125),"-",SUM(
SUMIF(INDIRECT(Equipo!$C$4&amp;"!B10:B1000"),$B129,INDIRECT(Equipo!$C$4&amp;"!"&amp;ADDRESS(10,COLUMN(J$9)-1)&amp;":"&amp;ADDRESS(1000,COLUMN(J$9)-1))),
SUMIF(INDIRECT(Equipo!$D$4&amp;"!B10:B1000"),$B129,INDIRECT(Equipo!$D$4&amp;"!"&amp;ADDRESS(10,COLUMN(J$9)-1)&amp;":"&amp;ADDRESS(1000,COLUMN(J$9)-1))),
SUMIF(INDIRECT(Equipo!$E$4&amp;"!B10:B1000"),$B129,INDIRECT(Equipo!$E$4&amp;"!"&amp;ADDRESS(10,COLUMN(J$9)-1)&amp;":"&amp;ADDRESS(1000,COLUMN(J$9)-1))),
SUMIF(INDIRECT(Equipo!$F$4&amp;"!B10:B1000"),$B129,INDIRECT(Equipo!$F$4&amp;"!"&amp;ADDRESS(10,COLUMN(J$9)-1)&amp;":"&amp;ADDRESS(1000,COLUMN(J$9)-1))),
SUMIF(INDIRECT(Equipo!$G$4&amp;"!B10:B1000"),$B129,INDIRECT(Equipo!$G$4&amp;"!"&amp;ADDRESS(10,COLUMN(J$9)-1)&amp;":"&amp;ADDRESS(1000,COLUMN(J$9)-1)))))</f>
        <v>-</v>
      </c>
      <c r="K129" s="19" t="str">
        <f t="array" ref="K129">IF(ISBLANK(Tareas!$B125),"-",SUM(
SUMIF(INDIRECT(Equipo!$C$4&amp;"!B10:B1000"),$B129,INDIRECT(Equipo!$C$4&amp;"!"&amp;ADDRESS(10,COLUMN(K$9)-1)&amp;":"&amp;ADDRESS(1000,COLUMN(K$9)-1))),
SUMIF(INDIRECT(Equipo!$D$4&amp;"!B10:B1000"),$B129,INDIRECT(Equipo!$D$4&amp;"!"&amp;ADDRESS(10,COLUMN(K$9)-1)&amp;":"&amp;ADDRESS(1000,COLUMN(K$9)-1))),
SUMIF(INDIRECT(Equipo!$E$4&amp;"!B10:B1000"),$B129,INDIRECT(Equipo!$E$4&amp;"!"&amp;ADDRESS(10,COLUMN(K$9)-1)&amp;":"&amp;ADDRESS(1000,COLUMN(K$9)-1))),
SUMIF(INDIRECT(Equipo!$F$4&amp;"!B10:B1000"),$B129,INDIRECT(Equipo!$F$4&amp;"!"&amp;ADDRESS(10,COLUMN(K$9)-1)&amp;":"&amp;ADDRESS(1000,COLUMN(K$9)-1))),
SUMIF(INDIRECT(Equipo!$G$4&amp;"!B10:B1000"),$B129,INDIRECT(Equipo!$G$4&amp;"!"&amp;ADDRESS(10,COLUMN(K$9)-1)&amp;":"&amp;ADDRESS(1000,COLUMN(K$9)-1)))))</f>
        <v>-</v>
      </c>
    </row>
    <row r="130" ht="15.75" customHeight="1">
      <c r="B130" s="1" t="str">
        <f>IF(ISBLANK(Tareas!B126)," - ",Tareas!B126)</f>
        <v> - </v>
      </c>
      <c r="D130" s="19" t="str">
        <f t="array" ref="D130">IF(ISBLANK(Tareas!$B126),"-",SUM(
SUMIF(INDIRECT(Equipo!$C$4&amp;"!B10:B1000"),$B130,INDIRECT(Equipo!$C$4&amp;"!"&amp;ADDRESS(10,COLUMN(D$9)-1)&amp;":"&amp;ADDRESS(1000,COLUMN(D$9)-1))),
SUMIF(INDIRECT(Equipo!$D$4&amp;"!B10:B1000"),$B130,INDIRECT(Equipo!$D$4&amp;"!"&amp;ADDRESS(10,COLUMN(D$9)-1)&amp;":"&amp;ADDRESS(1000,COLUMN(D$9)-1))),
SUMIF(INDIRECT(Equipo!$E$4&amp;"!B10:B1000"),$B130,INDIRECT(Equipo!$E$4&amp;"!"&amp;ADDRESS(10,COLUMN(D$9)-1)&amp;":"&amp;ADDRESS(1000,COLUMN(D$9)-1))),
SUMIF(INDIRECT(Equipo!$F$4&amp;"!B10:B1000"),$B130,INDIRECT(Equipo!$F$4&amp;"!"&amp;ADDRESS(10,COLUMN(D$9)-1)&amp;":"&amp;ADDRESS(1000,COLUMN(D$9)-1))),
SUMIF(INDIRECT(Equipo!$G$4&amp;"!B10:B1000"),$B130,INDIRECT(Equipo!$G$4&amp;"!"&amp;ADDRESS(10,COLUMN(D$9)-1)&amp;":"&amp;ADDRESS(1000,COLUMN(D$9)-1)))))</f>
        <v>-</v>
      </c>
      <c r="E130" s="19" t="str">
        <f t="array" ref="E130">IF(ISBLANK(Tareas!$B126),"-",SUM(
SUMIF(INDIRECT(Equipo!$C$4&amp;"!B10:B1000"),$B130,INDIRECT(Equipo!$C$4&amp;"!"&amp;ADDRESS(10,COLUMN(E$9)-1)&amp;":"&amp;ADDRESS(1000,COLUMN(E$9)-1))),
SUMIF(INDIRECT(Equipo!$D$4&amp;"!B10:B1000"),$B130,INDIRECT(Equipo!$D$4&amp;"!"&amp;ADDRESS(10,COLUMN(E$9)-1)&amp;":"&amp;ADDRESS(1000,COLUMN(E$9)-1))),
SUMIF(INDIRECT(Equipo!$E$4&amp;"!B10:B1000"),$B130,INDIRECT(Equipo!$E$4&amp;"!"&amp;ADDRESS(10,COLUMN(E$9)-1)&amp;":"&amp;ADDRESS(1000,COLUMN(E$9)-1))),
SUMIF(INDIRECT(Equipo!$F$4&amp;"!B10:B1000"),$B130,INDIRECT(Equipo!$F$4&amp;"!"&amp;ADDRESS(10,COLUMN(E$9)-1)&amp;":"&amp;ADDRESS(1000,COLUMN(E$9)-1))),
SUMIF(INDIRECT(Equipo!$G$4&amp;"!B10:B1000"),$B130,INDIRECT(Equipo!$G$4&amp;"!"&amp;ADDRESS(10,COLUMN(E$9)-1)&amp;":"&amp;ADDRESS(1000,COLUMN(E$9)-1)))))</f>
        <v>-</v>
      </c>
      <c r="F130" s="19" t="str">
        <f t="array" ref="F130">IF(ISBLANK(Tareas!$B126),"-",SUM(
SUMIF(INDIRECT(Equipo!$C$4&amp;"!B10:B1000"),$B130,INDIRECT(Equipo!$C$4&amp;"!"&amp;ADDRESS(10,COLUMN(F$9)-1)&amp;":"&amp;ADDRESS(1000,COLUMN(F$9)-1))),
SUMIF(INDIRECT(Equipo!$D$4&amp;"!B10:B1000"),$B130,INDIRECT(Equipo!$D$4&amp;"!"&amp;ADDRESS(10,COLUMN(F$9)-1)&amp;":"&amp;ADDRESS(1000,COLUMN(F$9)-1))),
SUMIF(INDIRECT(Equipo!$E$4&amp;"!B10:B1000"),$B130,INDIRECT(Equipo!$E$4&amp;"!"&amp;ADDRESS(10,COLUMN(F$9)-1)&amp;":"&amp;ADDRESS(1000,COLUMN(F$9)-1))),
SUMIF(INDIRECT(Equipo!$F$4&amp;"!B10:B1000"),$B130,INDIRECT(Equipo!$F$4&amp;"!"&amp;ADDRESS(10,COLUMN(F$9)-1)&amp;":"&amp;ADDRESS(1000,COLUMN(F$9)-1))),
SUMIF(INDIRECT(Equipo!$G$4&amp;"!B10:B1000"),$B130,INDIRECT(Equipo!$G$4&amp;"!"&amp;ADDRESS(10,COLUMN(F$9)-1)&amp;":"&amp;ADDRESS(1000,COLUMN(F$9)-1)))))</f>
        <v>-</v>
      </c>
      <c r="G130" s="19" t="str">
        <f t="array" ref="G130">IF(ISBLANK(Tareas!$B126),"-",SUM(
SUMIF(INDIRECT(Equipo!$C$4&amp;"!B10:B1000"),$B130,INDIRECT(Equipo!$C$4&amp;"!"&amp;ADDRESS(10,COLUMN(G$9)-1)&amp;":"&amp;ADDRESS(1000,COLUMN(G$9)-1))),
SUMIF(INDIRECT(Equipo!$D$4&amp;"!B10:B1000"),$B130,INDIRECT(Equipo!$D$4&amp;"!"&amp;ADDRESS(10,COLUMN(G$9)-1)&amp;":"&amp;ADDRESS(1000,COLUMN(G$9)-1))),
SUMIF(INDIRECT(Equipo!$E$4&amp;"!B10:B1000"),$B130,INDIRECT(Equipo!$E$4&amp;"!"&amp;ADDRESS(10,COLUMN(G$9)-1)&amp;":"&amp;ADDRESS(1000,COLUMN(G$9)-1))),
SUMIF(INDIRECT(Equipo!$F$4&amp;"!B10:B1000"),$B130,INDIRECT(Equipo!$F$4&amp;"!"&amp;ADDRESS(10,COLUMN(G$9)-1)&amp;":"&amp;ADDRESS(1000,COLUMN(G$9)-1))),
SUMIF(INDIRECT(Equipo!$G$4&amp;"!B10:B1000"),$B130,INDIRECT(Equipo!$G$4&amp;"!"&amp;ADDRESS(10,COLUMN(G$9)-1)&amp;":"&amp;ADDRESS(1000,COLUMN(G$9)-1)))))</f>
        <v>-</v>
      </c>
      <c r="H130" s="19" t="str">
        <f t="array" ref="H130">IF(ISBLANK(Tareas!$B126),"-",SUM(
SUMIF(INDIRECT(Equipo!$C$4&amp;"!B10:B1000"),$B130,INDIRECT(Equipo!$C$4&amp;"!"&amp;ADDRESS(10,COLUMN(H$9)-1)&amp;":"&amp;ADDRESS(1000,COLUMN(H$9)-1))),
SUMIF(INDIRECT(Equipo!$D$4&amp;"!B10:B1000"),$B130,INDIRECT(Equipo!$D$4&amp;"!"&amp;ADDRESS(10,COLUMN(H$9)-1)&amp;":"&amp;ADDRESS(1000,COLUMN(H$9)-1))),
SUMIF(INDIRECT(Equipo!$E$4&amp;"!B10:B1000"),$B130,INDIRECT(Equipo!$E$4&amp;"!"&amp;ADDRESS(10,COLUMN(H$9)-1)&amp;":"&amp;ADDRESS(1000,COLUMN(H$9)-1))),
SUMIF(INDIRECT(Equipo!$F$4&amp;"!B10:B1000"),$B130,INDIRECT(Equipo!$F$4&amp;"!"&amp;ADDRESS(10,COLUMN(H$9)-1)&amp;":"&amp;ADDRESS(1000,COLUMN(H$9)-1))),
SUMIF(INDIRECT(Equipo!$G$4&amp;"!B10:B1000"),$B130,INDIRECT(Equipo!$G$4&amp;"!"&amp;ADDRESS(10,COLUMN(H$9)-1)&amp;":"&amp;ADDRESS(1000,COLUMN(H$9)-1)))))</f>
        <v>-</v>
      </c>
      <c r="I130" s="19" t="str">
        <f t="array" ref="I130">IF(ISBLANK(Tareas!$B126),"-",SUM(
SUMIF(INDIRECT(Equipo!$C$4&amp;"!B10:B1000"),$B130,INDIRECT(Equipo!$C$4&amp;"!"&amp;ADDRESS(10,COLUMN(I$9)-1)&amp;":"&amp;ADDRESS(1000,COLUMN(I$9)-1))),
SUMIF(INDIRECT(Equipo!$D$4&amp;"!B10:B1000"),$B130,INDIRECT(Equipo!$D$4&amp;"!"&amp;ADDRESS(10,COLUMN(I$9)-1)&amp;":"&amp;ADDRESS(1000,COLUMN(I$9)-1))),
SUMIF(INDIRECT(Equipo!$E$4&amp;"!B10:B1000"),$B130,INDIRECT(Equipo!$E$4&amp;"!"&amp;ADDRESS(10,COLUMN(I$9)-1)&amp;":"&amp;ADDRESS(1000,COLUMN(I$9)-1))),
SUMIF(INDIRECT(Equipo!$F$4&amp;"!B10:B1000"),$B130,INDIRECT(Equipo!$F$4&amp;"!"&amp;ADDRESS(10,COLUMN(I$9)-1)&amp;":"&amp;ADDRESS(1000,COLUMN(I$9)-1))),
SUMIF(INDIRECT(Equipo!$G$4&amp;"!B10:B1000"),$B130,INDIRECT(Equipo!$G$4&amp;"!"&amp;ADDRESS(10,COLUMN(I$9)-1)&amp;":"&amp;ADDRESS(1000,COLUMN(I$9)-1)))))</f>
        <v>-</v>
      </c>
      <c r="J130" s="19" t="str">
        <f t="array" ref="J130">IF(ISBLANK(Tareas!$B126),"-",SUM(
SUMIF(INDIRECT(Equipo!$C$4&amp;"!B10:B1000"),$B130,INDIRECT(Equipo!$C$4&amp;"!"&amp;ADDRESS(10,COLUMN(J$9)-1)&amp;":"&amp;ADDRESS(1000,COLUMN(J$9)-1))),
SUMIF(INDIRECT(Equipo!$D$4&amp;"!B10:B1000"),$B130,INDIRECT(Equipo!$D$4&amp;"!"&amp;ADDRESS(10,COLUMN(J$9)-1)&amp;":"&amp;ADDRESS(1000,COLUMN(J$9)-1))),
SUMIF(INDIRECT(Equipo!$E$4&amp;"!B10:B1000"),$B130,INDIRECT(Equipo!$E$4&amp;"!"&amp;ADDRESS(10,COLUMN(J$9)-1)&amp;":"&amp;ADDRESS(1000,COLUMN(J$9)-1))),
SUMIF(INDIRECT(Equipo!$F$4&amp;"!B10:B1000"),$B130,INDIRECT(Equipo!$F$4&amp;"!"&amp;ADDRESS(10,COLUMN(J$9)-1)&amp;":"&amp;ADDRESS(1000,COLUMN(J$9)-1))),
SUMIF(INDIRECT(Equipo!$G$4&amp;"!B10:B1000"),$B130,INDIRECT(Equipo!$G$4&amp;"!"&amp;ADDRESS(10,COLUMN(J$9)-1)&amp;":"&amp;ADDRESS(1000,COLUMN(J$9)-1)))))</f>
        <v>-</v>
      </c>
      <c r="K130" s="19" t="str">
        <f t="array" ref="K130">IF(ISBLANK(Tareas!$B126),"-",SUM(
SUMIF(INDIRECT(Equipo!$C$4&amp;"!B10:B1000"),$B130,INDIRECT(Equipo!$C$4&amp;"!"&amp;ADDRESS(10,COLUMN(K$9)-1)&amp;":"&amp;ADDRESS(1000,COLUMN(K$9)-1))),
SUMIF(INDIRECT(Equipo!$D$4&amp;"!B10:B1000"),$B130,INDIRECT(Equipo!$D$4&amp;"!"&amp;ADDRESS(10,COLUMN(K$9)-1)&amp;":"&amp;ADDRESS(1000,COLUMN(K$9)-1))),
SUMIF(INDIRECT(Equipo!$E$4&amp;"!B10:B1000"),$B130,INDIRECT(Equipo!$E$4&amp;"!"&amp;ADDRESS(10,COLUMN(K$9)-1)&amp;":"&amp;ADDRESS(1000,COLUMN(K$9)-1))),
SUMIF(INDIRECT(Equipo!$F$4&amp;"!B10:B1000"),$B130,INDIRECT(Equipo!$F$4&amp;"!"&amp;ADDRESS(10,COLUMN(K$9)-1)&amp;":"&amp;ADDRESS(1000,COLUMN(K$9)-1))),
SUMIF(INDIRECT(Equipo!$G$4&amp;"!B10:B1000"),$B130,INDIRECT(Equipo!$G$4&amp;"!"&amp;ADDRESS(10,COLUMN(K$9)-1)&amp;":"&amp;ADDRESS(1000,COLUMN(K$9)-1)))))</f>
        <v>-</v>
      </c>
    </row>
    <row r="131" ht="15.75" customHeight="1">
      <c r="B131" s="1" t="str">
        <f>IF(ISBLANK(Tareas!B127)," - ",Tareas!B127)</f>
        <v> - </v>
      </c>
      <c r="D131" s="19" t="str">
        <f t="array" ref="D131">IF(ISBLANK(Tareas!$B127),"-",SUM(
SUMIF(INDIRECT(Equipo!$C$4&amp;"!B10:B1000"),$B131,INDIRECT(Equipo!$C$4&amp;"!"&amp;ADDRESS(10,COLUMN(D$9)-1)&amp;":"&amp;ADDRESS(1000,COLUMN(D$9)-1))),
SUMIF(INDIRECT(Equipo!$D$4&amp;"!B10:B1000"),$B131,INDIRECT(Equipo!$D$4&amp;"!"&amp;ADDRESS(10,COLUMN(D$9)-1)&amp;":"&amp;ADDRESS(1000,COLUMN(D$9)-1))),
SUMIF(INDIRECT(Equipo!$E$4&amp;"!B10:B1000"),$B131,INDIRECT(Equipo!$E$4&amp;"!"&amp;ADDRESS(10,COLUMN(D$9)-1)&amp;":"&amp;ADDRESS(1000,COLUMN(D$9)-1))),
SUMIF(INDIRECT(Equipo!$F$4&amp;"!B10:B1000"),$B131,INDIRECT(Equipo!$F$4&amp;"!"&amp;ADDRESS(10,COLUMN(D$9)-1)&amp;":"&amp;ADDRESS(1000,COLUMN(D$9)-1))),
SUMIF(INDIRECT(Equipo!$G$4&amp;"!B10:B1000"),$B131,INDIRECT(Equipo!$G$4&amp;"!"&amp;ADDRESS(10,COLUMN(D$9)-1)&amp;":"&amp;ADDRESS(1000,COLUMN(D$9)-1)))))</f>
        <v>-</v>
      </c>
      <c r="E131" s="19" t="str">
        <f t="array" ref="E131">IF(ISBLANK(Tareas!$B127),"-",SUM(
SUMIF(INDIRECT(Equipo!$C$4&amp;"!B10:B1000"),$B131,INDIRECT(Equipo!$C$4&amp;"!"&amp;ADDRESS(10,COLUMN(E$9)-1)&amp;":"&amp;ADDRESS(1000,COLUMN(E$9)-1))),
SUMIF(INDIRECT(Equipo!$D$4&amp;"!B10:B1000"),$B131,INDIRECT(Equipo!$D$4&amp;"!"&amp;ADDRESS(10,COLUMN(E$9)-1)&amp;":"&amp;ADDRESS(1000,COLUMN(E$9)-1))),
SUMIF(INDIRECT(Equipo!$E$4&amp;"!B10:B1000"),$B131,INDIRECT(Equipo!$E$4&amp;"!"&amp;ADDRESS(10,COLUMN(E$9)-1)&amp;":"&amp;ADDRESS(1000,COLUMN(E$9)-1))),
SUMIF(INDIRECT(Equipo!$F$4&amp;"!B10:B1000"),$B131,INDIRECT(Equipo!$F$4&amp;"!"&amp;ADDRESS(10,COLUMN(E$9)-1)&amp;":"&amp;ADDRESS(1000,COLUMN(E$9)-1))),
SUMIF(INDIRECT(Equipo!$G$4&amp;"!B10:B1000"),$B131,INDIRECT(Equipo!$G$4&amp;"!"&amp;ADDRESS(10,COLUMN(E$9)-1)&amp;":"&amp;ADDRESS(1000,COLUMN(E$9)-1)))))</f>
        <v>-</v>
      </c>
      <c r="F131" s="19" t="str">
        <f t="array" ref="F131">IF(ISBLANK(Tareas!$B127),"-",SUM(
SUMIF(INDIRECT(Equipo!$C$4&amp;"!B10:B1000"),$B131,INDIRECT(Equipo!$C$4&amp;"!"&amp;ADDRESS(10,COLUMN(F$9)-1)&amp;":"&amp;ADDRESS(1000,COLUMN(F$9)-1))),
SUMIF(INDIRECT(Equipo!$D$4&amp;"!B10:B1000"),$B131,INDIRECT(Equipo!$D$4&amp;"!"&amp;ADDRESS(10,COLUMN(F$9)-1)&amp;":"&amp;ADDRESS(1000,COLUMN(F$9)-1))),
SUMIF(INDIRECT(Equipo!$E$4&amp;"!B10:B1000"),$B131,INDIRECT(Equipo!$E$4&amp;"!"&amp;ADDRESS(10,COLUMN(F$9)-1)&amp;":"&amp;ADDRESS(1000,COLUMN(F$9)-1))),
SUMIF(INDIRECT(Equipo!$F$4&amp;"!B10:B1000"),$B131,INDIRECT(Equipo!$F$4&amp;"!"&amp;ADDRESS(10,COLUMN(F$9)-1)&amp;":"&amp;ADDRESS(1000,COLUMN(F$9)-1))),
SUMIF(INDIRECT(Equipo!$G$4&amp;"!B10:B1000"),$B131,INDIRECT(Equipo!$G$4&amp;"!"&amp;ADDRESS(10,COLUMN(F$9)-1)&amp;":"&amp;ADDRESS(1000,COLUMN(F$9)-1)))))</f>
        <v>-</v>
      </c>
      <c r="G131" s="19" t="str">
        <f t="array" ref="G131">IF(ISBLANK(Tareas!$B127),"-",SUM(
SUMIF(INDIRECT(Equipo!$C$4&amp;"!B10:B1000"),$B131,INDIRECT(Equipo!$C$4&amp;"!"&amp;ADDRESS(10,COLUMN(G$9)-1)&amp;":"&amp;ADDRESS(1000,COLUMN(G$9)-1))),
SUMIF(INDIRECT(Equipo!$D$4&amp;"!B10:B1000"),$B131,INDIRECT(Equipo!$D$4&amp;"!"&amp;ADDRESS(10,COLUMN(G$9)-1)&amp;":"&amp;ADDRESS(1000,COLUMN(G$9)-1))),
SUMIF(INDIRECT(Equipo!$E$4&amp;"!B10:B1000"),$B131,INDIRECT(Equipo!$E$4&amp;"!"&amp;ADDRESS(10,COLUMN(G$9)-1)&amp;":"&amp;ADDRESS(1000,COLUMN(G$9)-1))),
SUMIF(INDIRECT(Equipo!$F$4&amp;"!B10:B1000"),$B131,INDIRECT(Equipo!$F$4&amp;"!"&amp;ADDRESS(10,COLUMN(G$9)-1)&amp;":"&amp;ADDRESS(1000,COLUMN(G$9)-1))),
SUMIF(INDIRECT(Equipo!$G$4&amp;"!B10:B1000"),$B131,INDIRECT(Equipo!$G$4&amp;"!"&amp;ADDRESS(10,COLUMN(G$9)-1)&amp;":"&amp;ADDRESS(1000,COLUMN(G$9)-1)))))</f>
        <v>-</v>
      </c>
      <c r="H131" s="19" t="str">
        <f t="array" ref="H131">IF(ISBLANK(Tareas!$B127),"-",SUM(
SUMIF(INDIRECT(Equipo!$C$4&amp;"!B10:B1000"),$B131,INDIRECT(Equipo!$C$4&amp;"!"&amp;ADDRESS(10,COLUMN(H$9)-1)&amp;":"&amp;ADDRESS(1000,COLUMN(H$9)-1))),
SUMIF(INDIRECT(Equipo!$D$4&amp;"!B10:B1000"),$B131,INDIRECT(Equipo!$D$4&amp;"!"&amp;ADDRESS(10,COLUMN(H$9)-1)&amp;":"&amp;ADDRESS(1000,COLUMN(H$9)-1))),
SUMIF(INDIRECT(Equipo!$E$4&amp;"!B10:B1000"),$B131,INDIRECT(Equipo!$E$4&amp;"!"&amp;ADDRESS(10,COLUMN(H$9)-1)&amp;":"&amp;ADDRESS(1000,COLUMN(H$9)-1))),
SUMIF(INDIRECT(Equipo!$F$4&amp;"!B10:B1000"),$B131,INDIRECT(Equipo!$F$4&amp;"!"&amp;ADDRESS(10,COLUMN(H$9)-1)&amp;":"&amp;ADDRESS(1000,COLUMN(H$9)-1))),
SUMIF(INDIRECT(Equipo!$G$4&amp;"!B10:B1000"),$B131,INDIRECT(Equipo!$G$4&amp;"!"&amp;ADDRESS(10,COLUMN(H$9)-1)&amp;":"&amp;ADDRESS(1000,COLUMN(H$9)-1)))))</f>
        <v>-</v>
      </c>
      <c r="I131" s="19" t="str">
        <f t="array" ref="I131">IF(ISBLANK(Tareas!$B127),"-",SUM(
SUMIF(INDIRECT(Equipo!$C$4&amp;"!B10:B1000"),$B131,INDIRECT(Equipo!$C$4&amp;"!"&amp;ADDRESS(10,COLUMN(I$9)-1)&amp;":"&amp;ADDRESS(1000,COLUMN(I$9)-1))),
SUMIF(INDIRECT(Equipo!$D$4&amp;"!B10:B1000"),$B131,INDIRECT(Equipo!$D$4&amp;"!"&amp;ADDRESS(10,COLUMN(I$9)-1)&amp;":"&amp;ADDRESS(1000,COLUMN(I$9)-1))),
SUMIF(INDIRECT(Equipo!$E$4&amp;"!B10:B1000"),$B131,INDIRECT(Equipo!$E$4&amp;"!"&amp;ADDRESS(10,COLUMN(I$9)-1)&amp;":"&amp;ADDRESS(1000,COLUMN(I$9)-1))),
SUMIF(INDIRECT(Equipo!$F$4&amp;"!B10:B1000"),$B131,INDIRECT(Equipo!$F$4&amp;"!"&amp;ADDRESS(10,COLUMN(I$9)-1)&amp;":"&amp;ADDRESS(1000,COLUMN(I$9)-1))),
SUMIF(INDIRECT(Equipo!$G$4&amp;"!B10:B1000"),$B131,INDIRECT(Equipo!$G$4&amp;"!"&amp;ADDRESS(10,COLUMN(I$9)-1)&amp;":"&amp;ADDRESS(1000,COLUMN(I$9)-1)))))</f>
        <v>-</v>
      </c>
      <c r="J131" s="19" t="str">
        <f t="array" ref="J131">IF(ISBLANK(Tareas!$B127),"-",SUM(
SUMIF(INDIRECT(Equipo!$C$4&amp;"!B10:B1000"),$B131,INDIRECT(Equipo!$C$4&amp;"!"&amp;ADDRESS(10,COLUMN(J$9)-1)&amp;":"&amp;ADDRESS(1000,COLUMN(J$9)-1))),
SUMIF(INDIRECT(Equipo!$D$4&amp;"!B10:B1000"),$B131,INDIRECT(Equipo!$D$4&amp;"!"&amp;ADDRESS(10,COLUMN(J$9)-1)&amp;":"&amp;ADDRESS(1000,COLUMN(J$9)-1))),
SUMIF(INDIRECT(Equipo!$E$4&amp;"!B10:B1000"),$B131,INDIRECT(Equipo!$E$4&amp;"!"&amp;ADDRESS(10,COLUMN(J$9)-1)&amp;":"&amp;ADDRESS(1000,COLUMN(J$9)-1))),
SUMIF(INDIRECT(Equipo!$F$4&amp;"!B10:B1000"),$B131,INDIRECT(Equipo!$F$4&amp;"!"&amp;ADDRESS(10,COLUMN(J$9)-1)&amp;":"&amp;ADDRESS(1000,COLUMN(J$9)-1))),
SUMIF(INDIRECT(Equipo!$G$4&amp;"!B10:B1000"),$B131,INDIRECT(Equipo!$G$4&amp;"!"&amp;ADDRESS(10,COLUMN(J$9)-1)&amp;":"&amp;ADDRESS(1000,COLUMN(J$9)-1)))))</f>
        <v>-</v>
      </c>
      <c r="K131" s="19" t="str">
        <f t="array" ref="K131">IF(ISBLANK(Tareas!$B127),"-",SUM(
SUMIF(INDIRECT(Equipo!$C$4&amp;"!B10:B1000"),$B131,INDIRECT(Equipo!$C$4&amp;"!"&amp;ADDRESS(10,COLUMN(K$9)-1)&amp;":"&amp;ADDRESS(1000,COLUMN(K$9)-1))),
SUMIF(INDIRECT(Equipo!$D$4&amp;"!B10:B1000"),$B131,INDIRECT(Equipo!$D$4&amp;"!"&amp;ADDRESS(10,COLUMN(K$9)-1)&amp;":"&amp;ADDRESS(1000,COLUMN(K$9)-1))),
SUMIF(INDIRECT(Equipo!$E$4&amp;"!B10:B1000"),$B131,INDIRECT(Equipo!$E$4&amp;"!"&amp;ADDRESS(10,COLUMN(K$9)-1)&amp;":"&amp;ADDRESS(1000,COLUMN(K$9)-1))),
SUMIF(INDIRECT(Equipo!$F$4&amp;"!B10:B1000"),$B131,INDIRECT(Equipo!$F$4&amp;"!"&amp;ADDRESS(10,COLUMN(K$9)-1)&amp;":"&amp;ADDRESS(1000,COLUMN(K$9)-1))),
SUMIF(INDIRECT(Equipo!$G$4&amp;"!B10:B1000"),$B131,INDIRECT(Equipo!$G$4&amp;"!"&amp;ADDRESS(10,COLUMN(K$9)-1)&amp;":"&amp;ADDRESS(1000,COLUMN(K$9)-1)))))</f>
        <v>-</v>
      </c>
    </row>
    <row r="132" ht="15.75" customHeight="1">
      <c r="B132" s="1" t="str">
        <f>IF(ISBLANK(Tareas!B128)," - ",Tareas!B128)</f>
        <v> - </v>
      </c>
      <c r="D132" s="19" t="str">
        <f t="array" ref="D132">IF(ISBLANK(Tareas!$B128),"-",SUM(
SUMIF(INDIRECT(Equipo!$C$4&amp;"!B10:B1000"),$B132,INDIRECT(Equipo!$C$4&amp;"!"&amp;ADDRESS(10,COLUMN(D$9)-1)&amp;":"&amp;ADDRESS(1000,COLUMN(D$9)-1))),
SUMIF(INDIRECT(Equipo!$D$4&amp;"!B10:B1000"),$B132,INDIRECT(Equipo!$D$4&amp;"!"&amp;ADDRESS(10,COLUMN(D$9)-1)&amp;":"&amp;ADDRESS(1000,COLUMN(D$9)-1))),
SUMIF(INDIRECT(Equipo!$E$4&amp;"!B10:B1000"),$B132,INDIRECT(Equipo!$E$4&amp;"!"&amp;ADDRESS(10,COLUMN(D$9)-1)&amp;":"&amp;ADDRESS(1000,COLUMN(D$9)-1))),
SUMIF(INDIRECT(Equipo!$F$4&amp;"!B10:B1000"),$B132,INDIRECT(Equipo!$F$4&amp;"!"&amp;ADDRESS(10,COLUMN(D$9)-1)&amp;":"&amp;ADDRESS(1000,COLUMN(D$9)-1))),
SUMIF(INDIRECT(Equipo!$G$4&amp;"!B10:B1000"),$B132,INDIRECT(Equipo!$G$4&amp;"!"&amp;ADDRESS(10,COLUMN(D$9)-1)&amp;":"&amp;ADDRESS(1000,COLUMN(D$9)-1)))))</f>
        <v>-</v>
      </c>
      <c r="E132" s="19" t="str">
        <f t="array" ref="E132">IF(ISBLANK(Tareas!$B128),"-",SUM(
SUMIF(INDIRECT(Equipo!$C$4&amp;"!B10:B1000"),$B132,INDIRECT(Equipo!$C$4&amp;"!"&amp;ADDRESS(10,COLUMN(E$9)-1)&amp;":"&amp;ADDRESS(1000,COLUMN(E$9)-1))),
SUMIF(INDIRECT(Equipo!$D$4&amp;"!B10:B1000"),$B132,INDIRECT(Equipo!$D$4&amp;"!"&amp;ADDRESS(10,COLUMN(E$9)-1)&amp;":"&amp;ADDRESS(1000,COLUMN(E$9)-1))),
SUMIF(INDIRECT(Equipo!$E$4&amp;"!B10:B1000"),$B132,INDIRECT(Equipo!$E$4&amp;"!"&amp;ADDRESS(10,COLUMN(E$9)-1)&amp;":"&amp;ADDRESS(1000,COLUMN(E$9)-1))),
SUMIF(INDIRECT(Equipo!$F$4&amp;"!B10:B1000"),$B132,INDIRECT(Equipo!$F$4&amp;"!"&amp;ADDRESS(10,COLUMN(E$9)-1)&amp;":"&amp;ADDRESS(1000,COLUMN(E$9)-1))),
SUMIF(INDIRECT(Equipo!$G$4&amp;"!B10:B1000"),$B132,INDIRECT(Equipo!$G$4&amp;"!"&amp;ADDRESS(10,COLUMN(E$9)-1)&amp;":"&amp;ADDRESS(1000,COLUMN(E$9)-1)))))</f>
        <v>-</v>
      </c>
      <c r="F132" s="19" t="str">
        <f t="array" ref="F132">IF(ISBLANK(Tareas!$B128),"-",SUM(
SUMIF(INDIRECT(Equipo!$C$4&amp;"!B10:B1000"),$B132,INDIRECT(Equipo!$C$4&amp;"!"&amp;ADDRESS(10,COLUMN(F$9)-1)&amp;":"&amp;ADDRESS(1000,COLUMN(F$9)-1))),
SUMIF(INDIRECT(Equipo!$D$4&amp;"!B10:B1000"),$B132,INDIRECT(Equipo!$D$4&amp;"!"&amp;ADDRESS(10,COLUMN(F$9)-1)&amp;":"&amp;ADDRESS(1000,COLUMN(F$9)-1))),
SUMIF(INDIRECT(Equipo!$E$4&amp;"!B10:B1000"),$B132,INDIRECT(Equipo!$E$4&amp;"!"&amp;ADDRESS(10,COLUMN(F$9)-1)&amp;":"&amp;ADDRESS(1000,COLUMN(F$9)-1))),
SUMIF(INDIRECT(Equipo!$F$4&amp;"!B10:B1000"),$B132,INDIRECT(Equipo!$F$4&amp;"!"&amp;ADDRESS(10,COLUMN(F$9)-1)&amp;":"&amp;ADDRESS(1000,COLUMN(F$9)-1))),
SUMIF(INDIRECT(Equipo!$G$4&amp;"!B10:B1000"),$B132,INDIRECT(Equipo!$G$4&amp;"!"&amp;ADDRESS(10,COLUMN(F$9)-1)&amp;":"&amp;ADDRESS(1000,COLUMN(F$9)-1)))))</f>
        <v>-</v>
      </c>
      <c r="G132" s="19" t="str">
        <f t="array" ref="G132">IF(ISBLANK(Tareas!$B128),"-",SUM(
SUMIF(INDIRECT(Equipo!$C$4&amp;"!B10:B1000"),$B132,INDIRECT(Equipo!$C$4&amp;"!"&amp;ADDRESS(10,COLUMN(G$9)-1)&amp;":"&amp;ADDRESS(1000,COLUMN(G$9)-1))),
SUMIF(INDIRECT(Equipo!$D$4&amp;"!B10:B1000"),$B132,INDIRECT(Equipo!$D$4&amp;"!"&amp;ADDRESS(10,COLUMN(G$9)-1)&amp;":"&amp;ADDRESS(1000,COLUMN(G$9)-1))),
SUMIF(INDIRECT(Equipo!$E$4&amp;"!B10:B1000"),$B132,INDIRECT(Equipo!$E$4&amp;"!"&amp;ADDRESS(10,COLUMN(G$9)-1)&amp;":"&amp;ADDRESS(1000,COLUMN(G$9)-1))),
SUMIF(INDIRECT(Equipo!$F$4&amp;"!B10:B1000"),$B132,INDIRECT(Equipo!$F$4&amp;"!"&amp;ADDRESS(10,COLUMN(G$9)-1)&amp;":"&amp;ADDRESS(1000,COLUMN(G$9)-1))),
SUMIF(INDIRECT(Equipo!$G$4&amp;"!B10:B1000"),$B132,INDIRECT(Equipo!$G$4&amp;"!"&amp;ADDRESS(10,COLUMN(G$9)-1)&amp;":"&amp;ADDRESS(1000,COLUMN(G$9)-1)))))</f>
        <v>-</v>
      </c>
      <c r="H132" s="19" t="str">
        <f t="array" ref="H132">IF(ISBLANK(Tareas!$B128),"-",SUM(
SUMIF(INDIRECT(Equipo!$C$4&amp;"!B10:B1000"),$B132,INDIRECT(Equipo!$C$4&amp;"!"&amp;ADDRESS(10,COLUMN(H$9)-1)&amp;":"&amp;ADDRESS(1000,COLUMN(H$9)-1))),
SUMIF(INDIRECT(Equipo!$D$4&amp;"!B10:B1000"),$B132,INDIRECT(Equipo!$D$4&amp;"!"&amp;ADDRESS(10,COLUMN(H$9)-1)&amp;":"&amp;ADDRESS(1000,COLUMN(H$9)-1))),
SUMIF(INDIRECT(Equipo!$E$4&amp;"!B10:B1000"),$B132,INDIRECT(Equipo!$E$4&amp;"!"&amp;ADDRESS(10,COLUMN(H$9)-1)&amp;":"&amp;ADDRESS(1000,COLUMN(H$9)-1))),
SUMIF(INDIRECT(Equipo!$F$4&amp;"!B10:B1000"),$B132,INDIRECT(Equipo!$F$4&amp;"!"&amp;ADDRESS(10,COLUMN(H$9)-1)&amp;":"&amp;ADDRESS(1000,COLUMN(H$9)-1))),
SUMIF(INDIRECT(Equipo!$G$4&amp;"!B10:B1000"),$B132,INDIRECT(Equipo!$G$4&amp;"!"&amp;ADDRESS(10,COLUMN(H$9)-1)&amp;":"&amp;ADDRESS(1000,COLUMN(H$9)-1)))))</f>
        <v>-</v>
      </c>
      <c r="I132" s="19" t="str">
        <f t="array" ref="I132">IF(ISBLANK(Tareas!$B128),"-",SUM(
SUMIF(INDIRECT(Equipo!$C$4&amp;"!B10:B1000"),$B132,INDIRECT(Equipo!$C$4&amp;"!"&amp;ADDRESS(10,COLUMN(I$9)-1)&amp;":"&amp;ADDRESS(1000,COLUMN(I$9)-1))),
SUMIF(INDIRECT(Equipo!$D$4&amp;"!B10:B1000"),$B132,INDIRECT(Equipo!$D$4&amp;"!"&amp;ADDRESS(10,COLUMN(I$9)-1)&amp;":"&amp;ADDRESS(1000,COLUMN(I$9)-1))),
SUMIF(INDIRECT(Equipo!$E$4&amp;"!B10:B1000"),$B132,INDIRECT(Equipo!$E$4&amp;"!"&amp;ADDRESS(10,COLUMN(I$9)-1)&amp;":"&amp;ADDRESS(1000,COLUMN(I$9)-1))),
SUMIF(INDIRECT(Equipo!$F$4&amp;"!B10:B1000"),$B132,INDIRECT(Equipo!$F$4&amp;"!"&amp;ADDRESS(10,COLUMN(I$9)-1)&amp;":"&amp;ADDRESS(1000,COLUMN(I$9)-1))),
SUMIF(INDIRECT(Equipo!$G$4&amp;"!B10:B1000"),$B132,INDIRECT(Equipo!$G$4&amp;"!"&amp;ADDRESS(10,COLUMN(I$9)-1)&amp;":"&amp;ADDRESS(1000,COLUMN(I$9)-1)))))</f>
        <v>-</v>
      </c>
      <c r="J132" s="19" t="str">
        <f t="array" ref="J132">IF(ISBLANK(Tareas!$B128),"-",SUM(
SUMIF(INDIRECT(Equipo!$C$4&amp;"!B10:B1000"),$B132,INDIRECT(Equipo!$C$4&amp;"!"&amp;ADDRESS(10,COLUMN(J$9)-1)&amp;":"&amp;ADDRESS(1000,COLUMN(J$9)-1))),
SUMIF(INDIRECT(Equipo!$D$4&amp;"!B10:B1000"),$B132,INDIRECT(Equipo!$D$4&amp;"!"&amp;ADDRESS(10,COLUMN(J$9)-1)&amp;":"&amp;ADDRESS(1000,COLUMN(J$9)-1))),
SUMIF(INDIRECT(Equipo!$E$4&amp;"!B10:B1000"),$B132,INDIRECT(Equipo!$E$4&amp;"!"&amp;ADDRESS(10,COLUMN(J$9)-1)&amp;":"&amp;ADDRESS(1000,COLUMN(J$9)-1))),
SUMIF(INDIRECT(Equipo!$F$4&amp;"!B10:B1000"),$B132,INDIRECT(Equipo!$F$4&amp;"!"&amp;ADDRESS(10,COLUMN(J$9)-1)&amp;":"&amp;ADDRESS(1000,COLUMN(J$9)-1))),
SUMIF(INDIRECT(Equipo!$G$4&amp;"!B10:B1000"),$B132,INDIRECT(Equipo!$G$4&amp;"!"&amp;ADDRESS(10,COLUMN(J$9)-1)&amp;":"&amp;ADDRESS(1000,COLUMN(J$9)-1)))))</f>
        <v>-</v>
      </c>
      <c r="K132" s="19" t="str">
        <f t="array" ref="K132">IF(ISBLANK(Tareas!$B128),"-",SUM(
SUMIF(INDIRECT(Equipo!$C$4&amp;"!B10:B1000"),$B132,INDIRECT(Equipo!$C$4&amp;"!"&amp;ADDRESS(10,COLUMN(K$9)-1)&amp;":"&amp;ADDRESS(1000,COLUMN(K$9)-1))),
SUMIF(INDIRECT(Equipo!$D$4&amp;"!B10:B1000"),$B132,INDIRECT(Equipo!$D$4&amp;"!"&amp;ADDRESS(10,COLUMN(K$9)-1)&amp;":"&amp;ADDRESS(1000,COLUMN(K$9)-1))),
SUMIF(INDIRECT(Equipo!$E$4&amp;"!B10:B1000"),$B132,INDIRECT(Equipo!$E$4&amp;"!"&amp;ADDRESS(10,COLUMN(K$9)-1)&amp;":"&amp;ADDRESS(1000,COLUMN(K$9)-1))),
SUMIF(INDIRECT(Equipo!$F$4&amp;"!B10:B1000"),$B132,INDIRECT(Equipo!$F$4&amp;"!"&amp;ADDRESS(10,COLUMN(K$9)-1)&amp;":"&amp;ADDRESS(1000,COLUMN(K$9)-1))),
SUMIF(INDIRECT(Equipo!$G$4&amp;"!B10:B1000"),$B132,INDIRECT(Equipo!$G$4&amp;"!"&amp;ADDRESS(10,COLUMN(K$9)-1)&amp;":"&amp;ADDRESS(1000,COLUMN(K$9)-1)))))</f>
        <v>-</v>
      </c>
    </row>
    <row r="133" ht="15.75" customHeight="1">
      <c r="B133" s="1" t="str">
        <f>IF(ISBLANK(Tareas!B129)," - ",Tareas!B129)</f>
        <v> - </v>
      </c>
      <c r="D133" s="19" t="str">
        <f t="array" ref="D133">IF(ISBLANK(Tareas!$B129),"-",SUM(
SUMIF(INDIRECT(Equipo!$C$4&amp;"!B10:B1000"),$B133,INDIRECT(Equipo!$C$4&amp;"!"&amp;ADDRESS(10,COLUMN(D$9)-1)&amp;":"&amp;ADDRESS(1000,COLUMN(D$9)-1))),
SUMIF(INDIRECT(Equipo!$D$4&amp;"!B10:B1000"),$B133,INDIRECT(Equipo!$D$4&amp;"!"&amp;ADDRESS(10,COLUMN(D$9)-1)&amp;":"&amp;ADDRESS(1000,COLUMN(D$9)-1))),
SUMIF(INDIRECT(Equipo!$E$4&amp;"!B10:B1000"),$B133,INDIRECT(Equipo!$E$4&amp;"!"&amp;ADDRESS(10,COLUMN(D$9)-1)&amp;":"&amp;ADDRESS(1000,COLUMN(D$9)-1))),
SUMIF(INDIRECT(Equipo!$F$4&amp;"!B10:B1000"),$B133,INDIRECT(Equipo!$F$4&amp;"!"&amp;ADDRESS(10,COLUMN(D$9)-1)&amp;":"&amp;ADDRESS(1000,COLUMN(D$9)-1))),
SUMIF(INDIRECT(Equipo!$G$4&amp;"!B10:B1000"),$B133,INDIRECT(Equipo!$G$4&amp;"!"&amp;ADDRESS(10,COLUMN(D$9)-1)&amp;":"&amp;ADDRESS(1000,COLUMN(D$9)-1)))))</f>
        <v>-</v>
      </c>
      <c r="E133" s="19" t="str">
        <f t="array" ref="E133">IF(ISBLANK(Tareas!$B129),"-",SUM(
SUMIF(INDIRECT(Equipo!$C$4&amp;"!B10:B1000"),$B133,INDIRECT(Equipo!$C$4&amp;"!"&amp;ADDRESS(10,COLUMN(E$9)-1)&amp;":"&amp;ADDRESS(1000,COLUMN(E$9)-1))),
SUMIF(INDIRECT(Equipo!$D$4&amp;"!B10:B1000"),$B133,INDIRECT(Equipo!$D$4&amp;"!"&amp;ADDRESS(10,COLUMN(E$9)-1)&amp;":"&amp;ADDRESS(1000,COLUMN(E$9)-1))),
SUMIF(INDIRECT(Equipo!$E$4&amp;"!B10:B1000"),$B133,INDIRECT(Equipo!$E$4&amp;"!"&amp;ADDRESS(10,COLUMN(E$9)-1)&amp;":"&amp;ADDRESS(1000,COLUMN(E$9)-1))),
SUMIF(INDIRECT(Equipo!$F$4&amp;"!B10:B1000"),$B133,INDIRECT(Equipo!$F$4&amp;"!"&amp;ADDRESS(10,COLUMN(E$9)-1)&amp;":"&amp;ADDRESS(1000,COLUMN(E$9)-1))),
SUMIF(INDIRECT(Equipo!$G$4&amp;"!B10:B1000"),$B133,INDIRECT(Equipo!$G$4&amp;"!"&amp;ADDRESS(10,COLUMN(E$9)-1)&amp;":"&amp;ADDRESS(1000,COLUMN(E$9)-1)))))</f>
        <v>-</v>
      </c>
      <c r="F133" s="19" t="str">
        <f t="array" ref="F133">IF(ISBLANK(Tareas!$B129),"-",SUM(
SUMIF(INDIRECT(Equipo!$C$4&amp;"!B10:B1000"),$B133,INDIRECT(Equipo!$C$4&amp;"!"&amp;ADDRESS(10,COLUMN(F$9)-1)&amp;":"&amp;ADDRESS(1000,COLUMN(F$9)-1))),
SUMIF(INDIRECT(Equipo!$D$4&amp;"!B10:B1000"),$B133,INDIRECT(Equipo!$D$4&amp;"!"&amp;ADDRESS(10,COLUMN(F$9)-1)&amp;":"&amp;ADDRESS(1000,COLUMN(F$9)-1))),
SUMIF(INDIRECT(Equipo!$E$4&amp;"!B10:B1000"),$B133,INDIRECT(Equipo!$E$4&amp;"!"&amp;ADDRESS(10,COLUMN(F$9)-1)&amp;":"&amp;ADDRESS(1000,COLUMN(F$9)-1))),
SUMIF(INDIRECT(Equipo!$F$4&amp;"!B10:B1000"),$B133,INDIRECT(Equipo!$F$4&amp;"!"&amp;ADDRESS(10,COLUMN(F$9)-1)&amp;":"&amp;ADDRESS(1000,COLUMN(F$9)-1))),
SUMIF(INDIRECT(Equipo!$G$4&amp;"!B10:B1000"),$B133,INDIRECT(Equipo!$G$4&amp;"!"&amp;ADDRESS(10,COLUMN(F$9)-1)&amp;":"&amp;ADDRESS(1000,COLUMN(F$9)-1)))))</f>
        <v>-</v>
      </c>
      <c r="G133" s="19" t="str">
        <f t="array" ref="G133">IF(ISBLANK(Tareas!$B129),"-",SUM(
SUMIF(INDIRECT(Equipo!$C$4&amp;"!B10:B1000"),$B133,INDIRECT(Equipo!$C$4&amp;"!"&amp;ADDRESS(10,COLUMN(G$9)-1)&amp;":"&amp;ADDRESS(1000,COLUMN(G$9)-1))),
SUMIF(INDIRECT(Equipo!$D$4&amp;"!B10:B1000"),$B133,INDIRECT(Equipo!$D$4&amp;"!"&amp;ADDRESS(10,COLUMN(G$9)-1)&amp;":"&amp;ADDRESS(1000,COLUMN(G$9)-1))),
SUMIF(INDIRECT(Equipo!$E$4&amp;"!B10:B1000"),$B133,INDIRECT(Equipo!$E$4&amp;"!"&amp;ADDRESS(10,COLUMN(G$9)-1)&amp;":"&amp;ADDRESS(1000,COLUMN(G$9)-1))),
SUMIF(INDIRECT(Equipo!$F$4&amp;"!B10:B1000"),$B133,INDIRECT(Equipo!$F$4&amp;"!"&amp;ADDRESS(10,COLUMN(G$9)-1)&amp;":"&amp;ADDRESS(1000,COLUMN(G$9)-1))),
SUMIF(INDIRECT(Equipo!$G$4&amp;"!B10:B1000"),$B133,INDIRECT(Equipo!$G$4&amp;"!"&amp;ADDRESS(10,COLUMN(G$9)-1)&amp;":"&amp;ADDRESS(1000,COLUMN(G$9)-1)))))</f>
        <v>-</v>
      </c>
      <c r="H133" s="19" t="str">
        <f t="array" ref="H133">IF(ISBLANK(Tareas!$B129),"-",SUM(
SUMIF(INDIRECT(Equipo!$C$4&amp;"!B10:B1000"),$B133,INDIRECT(Equipo!$C$4&amp;"!"&amp;ADDRESS(10,COLUMN(H$9)-1)&amp;":"&amp;ADDRESS(1000,COLUMN(H$9)-1))),
SUMIF(INDIRECT(Equipo!$D$4&amp;"!B10:B1000"),$B133,INDIRECT(Equipo!$D$4&amp;"!"&amp;ADDRESS(10,COLUMN(H$9)-1)&amp;":"&amp;ADDRESS(1000,COLUMN(H$9)-1))),
SUMIF(INDIRECT(Equipo!$E$4&amp;"!B10:B1000"),$B133,INDIRECT(Equipo!$E$4&amp;"!"&amp;ADDRESS(10,COLUMN(H$9)-1)&amp;":"&amp;ADDRESS(1000,COLUMN(H$9)-1))),
SUMIF(INDIRECT(Equipo!$F$4&amp;"!B10:B1000"),$B133,INDIRECT(Equipo!$F$4&amp;"!"&amp;ADDRESS(10,COLUMN(H$9)-1)&amp;":"&amp;ADDRESS(1000,COLUMN(H$9)-1))),
SUMIF(INDIRECT(Equipo!$G$4&amp;"!B10:B1000"),$B133,INDIRECT(Equipo!$G$4&amp;"!"&amp;ADDRESS(10,COLUMN(H$9)-1)&amp;":"&amp;ADDRESS(1000,COLUMN(H$9)-1)))))</f>
        <v>-</v>
      </c>
      <c r="I133" s="19" t="str">
        <f t="array" ref="I133">IF(ISBLANK(Tareas!$B129),"-",SUM(
SUMIF(INDIRECT(Equipo!$C$4&amp;"!B10:B1000"),$B133,INDIRECT(Equipo!$C$4&amp;"!"&amp;ADDRESS(10,COLUMN(I$9)-1)&amp;":"&amp;ADDRESS(1000,COLUMN(I$9)-1))),
SUMIF(INDIRECT(Equipo!$D$4&amp;"!B10:B1000"),$B133,INDIRECT(Equipo!$D$4&amp;"!"&amp;ADDRESS(10,COLUMN(I$9)-1)&amp;":"&amp;ADDRESS(1000,COLUMN(I$9)-1))),
SUMIF(INDIRECT(Equipo!$E$4&amp;"!B10:B1000"),$B133,INDIRECT(Equipo!$E$4&amp;"!"&amp;ADDRESS(10,COLUMN(I$9)-1)&amp;":"&amp;ADDRESS(1000,COLUMN(I$9)-1))),
SUMIF(INDIRECT(Equipo!$F$4&amp;"!B10:B1000"),$B133,INDIRECT(Equipo!$F$4&amp;"!"&amp;ADDRESS(10,COLUMN(I$9)-1)&amp;":"&amp;ADDRESS(1000,COLUMN(I$9)-1))),
SUMIF(INDIRECT(Equipo!$G$4&amp;"!B10:B1000"),$B133,INDIRECT(Equipo!$G$4&amp;"!"&amp;ADDRESS(10,COLUMN(I$9)-1)&amp;":"&amp;ADDRESS(1000,COLUMN(I$9)-1)))))</f>
        <v>-</v>
      </c>
      <c r="J133" s="19" t="str">
        <f t="array" ref="J133">IF(ISBLANK(Tareas!$B129),"-",SUM(
SUMIF(INDIRECT(Equipo!$C$4&amp;"!B10:B1000"),$B133,INDIRECT(Equipo!$C$4&amp;"!"&amp;ADDRESS(10,COLUMN(J$9)-1)&amp;":"&amp;ADDRESS(1000,COLUMN(J$9)-1))),
SUMIF(INDIRECT(Equipo!$D$4&amp;"!B10:B1000"),$B133,INDIRECT(Equipo!$D$4&amp;"!"&amp;ADDRESS(10,COLUMN(J$9)-1)&amp;":"&amp;ADDRESS(1000,COLUMN(J$9)-1))),
SUMIF(INDIRECT(Equipo!$E$4&amp;"!B10:B1000"),$B133,INDIRECT(Equipo!$E$4&amp;"!"&amp;ADDRESS(10,COLUMN(J$9)-1)&amp;":"&amp;ADDRESS(1000,COLUMN(J$9)-1))),
SUMIF(INDIRECT(Equipo!$F$4&amp;"!B10:B1000"),$B133,INDIRECT(Equipo!$F$4&amp;"!"&amp;ADDRESS(10,COLUMN(J$9)-1)&amp;":"&amp;ADDRESS(1000,COLUMN(J$9)-1))),
SUMIF(INDIRECT(Equipo!$G$4&amp;"!B10:B1000"),$B133,INDIRECT(Equipo!$G$4&amp;"!"&amp;ADDRESS(10,COLUMN(J$9)-1)&amp;":"&amp;ADDRESS(1000,COLUMN(J$9)-1)))))</f>
        <v>-</v>
      </c>
      <c r="K133" s="19" t="str">
        <f t="array" ref="K133">IF(ISBLANK(Tareas!$B129),"-",SUM(
SUMIF(INDIRECT(Equipo!$C$4&amp;"!B10:B1000"),$B133,INDIRECT(Equipo!$C$4&amp;"!"&amp;ADDRESS(10,COLUMN(K$9)-1)&amp;":"&amp;ADDRESS(1000,COLUMN(K$9)-1))),
SUMIF(INDIRECT(Equipo!$D$4&amp;"!B10:B1000"),$B133,INDIRECT(Equipo!$D$4&amp;"!"&amp;ADDRESS(10,COLUMN(K$9)-1)&amp;":"&amp;ADDRESS(1000,COLUMN(K$9)-1))),
SUMIF(INDIRECT(Equipo!$E$4&amp;"!B10:B1000"),$B133,INDIRECT(Equipo!$E$4&amp;"!"&amp;ADDRESS(10,COLUMN(K$9)-1)&amp;":"&amp;ADDRESS(1000,COLUMN(K$9)-1))),
SUMIF(INDIRECT(Equipo!$F$4&amp;"!B10:B1000"),$B133,INDIRECT(Equipo!$F$4&amp;"!"&amp;ADDRESS(10,COLUMN(K$9)-1)&amp;":"&amp;ADDRESS(1000,COLUMN(K$9)-1))),
SUMIF(INDIRECT(Equipo!$G$4&amp;"!B10:B1000"),$B133,INDIRECT(Equipo!$G$4&amp;"!"&amp;ADDRESS(10,COLUMN(K$9)-1)&amp;":"&amp;ADDRESS(1000,COLUMN(K$9)-1)))))</f>
        <v>-</v>
      </c>
    </row>
    <row r="134" ht="15.75" customHeight="1">
      <c r="B134" s="1" t="str">
        <f>IF(ISBLANK(Tareas!B130)," - ",Tareas!B130)</f>
        <v> - </v>
      </c>
      <c r="D134" s="19" t="str">
        <f t="array" ref="D134">IF(ISBLANK(Tareas!$B130),"-",SUM(
SUMIF(INDIRECT(Equipo!$C$4&amp;"!B10:B1000"),$B134,INDIRECT(Equipo!$C$4&amp;"!"&amp;ADDRESS(10,COLUMN(D$9)-1)&amp;":"&amp;ADDRESS(1000,COLUMN(D$9)-1))),
SUMIF(INDIRECT(Equipo!$D$4&amp;"!B10:B1000"),$B134,INDIRECT(Equipo!$D$4&amp;"!"&amp;ADDRESS(10,COLUMN(D$9)-1)&amp;":"&amp;ADDRESS(1000,COLUMN(D$9)-1))),
SUMIF(INDIRECT(Equipo!$E$4&amp;"!B10:B1000"),$B134,INDIRECT(Equipo!$E$4&amp;"!"&amp;ADDRESS(10,COLUMN(D$9)-1)&amp;":"&amp;ADDRESS(1000,COLUMN(D$9)-1))),
SUMIF(INDIRECT(Equipo!$F$4&amp;"!B10:B1000"),$B134,INDIRECT(Equipo!$F$4&amp;"!"&amp;ADDRESS(10,COLUMN(D$9)-1)&amp;":"&amp;ADDRESS(1000,COLUMN(D$9)-1))),
SUMIF(INDIRECT(Equipo!$G$4&amp;"!B10:B1000"),$B134,INDIRECT(Equipo!$G$4&amp;"!"&amp;ADDRESS(10,COLUMN(D$9)-1)&amp;":"&amp;ADDRESS(1000,COLUMN(D$9)-1)))))</f>
        <v>-</v>
      </c>
      <c r="E134" s="19" t="str">
        <f t="array" ref="E134">IF(ISBLANK(Tareas!$B130),"-",SUM(
SUMIF(INDIRECT(Equipo!$C$4&amp;"!B10:B1000"),$B134,INDIRECT(Equipo!$C$4&amp;"!"&amp;ADDRESS(10,COLUMN(E$9)-1)&amp;":"&amp;ADDRESS(1000,COLUMN(E$9)-1))),
SUMIF(INDIRECT(Equipo!$D$4&amp;"!B10:B1000"),$B134,INDIRECT(Equipo!$D$4&amp;"!"&amp;ADDRESS(10,COLUMN(E$9)-1)&amp;":"&amp;ADDRESS(1000,COLUMN(E$9)-1))),
SUMIF(INDIRECT(Equipo!$E$4&amp;"!B10:B1000"),$B134,INDIRECT(Equipo!$E$4&amp;"!"&amp;ADDRESS(10,COLUMN(E$9)-1)&amp;":"&amp;ADDRESS(1000,COLUMN(E$9)-1))),
SUMIF(INDIRECT(Equipo!$F$4&amp;"!B10:B1000"),$B134,INDIRECT(Equipo!$F$4&amp;"!"&amp;ADDRESS(10,COLUMN(E$9)-1)&amp;":"&amp;ADDRESS(1000,COLUMN(E$9)-1))),
SUMIF(INDIRECT(Equipo!$G$4&amp;"!B10:B1000"),$B134,INDIRECT(Equipo!$G$4&amp;"!"&amp;ADDRESS(10,COLUMN(E$9)-1)&amp;":"&amp;ADDRESS(1000,COLUMN(E$9)-1)))))</f>
        <v>-</v>
      </c>
      <c r="F134" s="19" t="str">
        <f t="array" ref="F134">IF(ISBLANK(Tareas!$B130),"-",SUM(
SUMIF(INDIRECT(Equipo!$C$4&amp;"!B10:B1000"),$B134,INDIRECT(Equipo!$C$4&amp;"!"&amp;ADDRESS(10,COLUMN(F$9)-1)&amp;":"&amp;ADDRESS(1000,COLUMN(F$9)-1))),
SUMIF(INDIRECT(Equipo!$D$4&amp;"!B10:B1000"),$B134,INDIRECT(Equipo!$D$4&amp;"!"&amp;ADDRESS(10,COLUMN(F$9)-1)&amp;":"&amp;ADDRESS(1000,COLUMN(F$9)-1))),
SUMIF(INDIRECT(Equipo!$E$4&amp;"!B10:B1000"),$B134,INDIRECT(Equipo!$E$4&amp;"!"&amp;ADDRESS(10,COLUMN(F$9)-1)&amp;":"&amp;ADDRESS(1000,COLUMN(F$9)-1))),
SUMIF(INDIRECT(Equipo!$F$4&amp;"!B10:B1000"),$B134,INDIRECT(Equipo!$F$4&amp;"!"&amp;ADDRESS(10,COLUMN(F$9)-1)&amp;":"&amp;ADDRESS(1000,COLUMN(F$9)-1))),
SUMIF(INDIRECT(Equipo!$G$4&amp;"!B10:B1000"),$B134,INDIRECT(Equipo!$G$4&amp;"!"&amp;ADDRESS(10,COLUMN(F$9)-1)&amp;":"&amp;ADDRESS(1000,COLUMN(F$9)-1)))))</f>
        <v>-</v>
      </c>
      <c r="G134" s="19" t="str">
        <f t="array" ref="G134">IF(ISBLANK(Tareas!$B130),"-",SUM(
SUMIF(INDIRECT(Equipo!$C$4&amp;"!B10:B1000"),$B134,INDIRECT(Equipo!$C$4&amp;"!"&amp;ADDRESS(10,COLUMN(G$9)-1)&amp;":"&amp;ADDRESS(1000,COLUMN(G$9)-1))),
SUMIF(INDIRECT(Equipo!$D$4&amp;"!B10:B1000"),$B134,INDIRECT(Equipo!$D$4&amp;"!"&amp;ADDRESS(10,COLUMN(G$9)-1)&amp;":"&amp;ADDRESS(1000,COLUMN(G$9)-1))),
SUMIF(INDIRECT(Equipo!$E$4&amp;"!B10:B1000"),$B134,INDIRECT(Equipo!$E$4&amp;"!"&amp;ADDRESS(10,COLUMN(G$9)-1)&amp;":"&amp;ADDRESS(1000,COLUMN(G$9)-1))),
SUMIF(INDIRECT(Equipo!$F$4&amp;"!B10:B1000"),$B134,INDIRECT(Equipo!$F$4&amp;"!"&amp;ADDRESS(10,COLUMN(G$9)-1)&amp;":"&amp;ADDRESS(1000,COLUMN(G$9)-1))),
SUMIF(INDIRECT(Equipo!$G$4&amp;"!B10:B1000"),$B134,INDIRECT(Equipo!$G$4&amp;"!"&amp;ADDRESS(10,COLUMN(G$9)-1)&amp;":"&amp;ADDRESS(1000,COLUMN(G$9)-1)))))</f>
        <v>-</v>
      </c>
      <c r="H134" s="19" t="str">
        <f t="array" ref="H134">IF(ISBLANK(Tareas!$B130),"-",SUM(
SUMIF(INDIRECT(Equipo!$C$4&amp;"!B10:B1000"),$B134,INDIRECT(Equipo!$C$4&amp;"!"&amp;ADDRESS(10,COLUMN(H$9)-1)&amp;":"&amp;ADDRESS(1000,COLUMN(H$9)-1))),
SUMIF(INDIRECT(Equipo!$D$4&amp;"!B10:B1000"),$B134,INDIRECT(Equipo!$D$4&amp;"!"&amp;ADDRESS(10,COLUMN(H$9)-1)&amp;":"&amp;ADDRESS(1000,COLUMN(H$9)-1))),
SUMIF(INDIRECT(Equipo!$E$4&amp;"!B10:B1000"),$B134,INDIRECT(Equipo!$E$4&amp;"!"&amp;ADDRESS(10,COLUMN(H$9)-1)&amp;":"&amp;ADDRESS(1000,COLUMN(H$9)-1))),
SUMIF(INDIRECT(Equipo!$F$4&amp;"!B10:B1000"),$B134,INDIRECT(Equipo!$F$4&amp;"!"&amp;ADDRESS(10,COLUMN(H$9)-1)&amp;":"&amp;ADDRESS(1000,COLUMN(H$9)-1))),
SUMIF(INDIRECT(Equipo!$G$4&amp;"!B10:B1000"),$B134,INDIRECT(Equipo!$G$4&amp;"!"&amp;ADDRESS(10,COLUMN(H$9)-1)&amp;":"&amp;ADDRESS(1000,COLUMN(H$9)-1)))))</f>
        <v>-</v>
      </c>
      <c r="I134" s="19" t="str">
        <f t="array" ref="I134">IF(ISBLANK(Tareas!$B130),"-",SUM(
SUMIF(INDIRECT(Equipo!$C$4&amp;"!B10:B1000"),$B134,INDIRECT(Equipo!$C$4&amp;"!"&amp;ADDRESS(10,COLUMN(I$9)-1)&amp;":"&amp;ADDRESS(1000,COLUMN(I$9)-1))),
SUMIF(INDIRECT(Equipo!$D$4&amp;"!B10:B1000"),$B134,INDIRECT(Equipo!$D$4&amp;"!"&amp;ADDRESS(10,COLUMN(I$9)-1)&amp;":"&amp;ADDRESS(1000,COLUMN(I$9)-1))),
SUMIF(INDIRECT(Equipo!$E$4&amp;"!B10:B1000"),$B134,INDIRECT(Equipo!$E$4&amp;"!"&amp;ADDRESS(10,COLUMN(I$9)-1)&amp;":"&amp;ADDRESS(1000,COLUMN(I$9)-1))),
SUMIF(INDIRECT(Equipo!$F$4&amp;"!B10:B1000"),$B134,INDIRECT(Equipo!$F$4&amp;"!"&amp;ADDRESS(10,COLUMN(I$9)-1)&amp;":"&amp;ADDRESS(1000,COLUMN(I$9)-1))),
SUMIF(INDIRECT(Equipo!$G$4&amp;"!B10:B1000"),$B134,INDIRECT(Equipo!$G$4&amp;"!"&amp;ADDRESS(10,COLUMN(I$9)-1)&amp;":"&amp;ADDRESS(1000,COLUMN(I$9)-1)))))</f>
        <v>-</v>
      </c>
      <c r="J134" s="19" t="str">
        <f t="array" ref="J134">IF(ISBLANK(Tareas!$B130),"-",SUM(
SUMIF(INDIRECT(Equipo!$C$4&amp;"!B10:B1000"),$B134,INDIRECT(Equipo!$C$4&amp;"!"&amp;ADDRESS(10,COLUMN(J$9)-1)&amp;":"&amp;ADDRESS(1000,COLUMN(J$9)-1))),
SUMIF(INDIRECT(Equipo!$D$4&amp;"!B10:B1000"),$B134,INDIRECT(Equipo!$D$4&amp;"!"&amp;ADDRESS(10,COLUMN(J$9)-1)&amp;":"&amp;ADDRESS(1000,COLUMN(J$9)-1))),
SUMIF(INDIRECT(Equipo!$E$4&amp;"!B10:B1000"),$B134,INDIRECT(Equipo!$E$4&amp;"!"&amp;ADDRESS(10,COLUMN(J$9)-1)&amp;":"&amp;ADDRESS(1000,COLUMN(J$9)-1))),
SUMIF(INDIRECT(Equipo!$F$4&amp;"!B10:B1000"),$B134,INDIRECT(Equipo!$F$4&amp;"!"&amp;ADDRESS(10,COLUMN(J$9)-1)&amp;":"&amp;ADDRESS(1000,COLUMN(J$9)-1))),
SUMIF(INDIRECT(Equipo!$G$4&amp;"!B10:B1000"),$B134,INDIRECT(Equipo!$G$4&amp;"!"&amp;ADDRESS(10,COLUMN(J$9)-1)&amp;":"&amp;ADDRESS(1000,COLUMN(J$9)-1)))))</f>
        <v>-</v>
      </c>
      <c r="K134" s="19" t="str">
        <f t="array" ref="K134">IF(ISBLANK(Tareas!$B130),"-",SUM(
SUMIF(INDIRECT(Equipo!$C$4&amp;"!B10:B1000"),$B134,INDIRECT(Equipo!$C$4&amp;"!"&amp;ADDRESS(10,COLUMN(K$9)-1)&amp;":"&amp;ADDRESS(1000,COLUMN(K$9)-1))),
SUMIF(INDIRECT(Equipo!$D$4&amp;"!B10:B1000"),$B134,INDIRECT(Equipo!$D$4&amp;"!"&amp;ADDRESS(10,COLUMN(K$9)-1)&amp;":"&amp;ADDRESS(1000,COLUMN(K$9)-1))),
SUMIF(INDIRECT(Equipo!$E$4&amp;"!B10:B1000"),$B134,INDIRECT(Equipo!$E$4&amp;"!"&amp;ADDRESS(10,COLUMN(K$9)-1)&amp;":"&amp;ADDRESS(1000,COLUMN(K$9)-1))),
SUMIF(INDIRECT(Equipo!$F$4&amp;"!B10:B1000"),$B134,INDIRECT(Equipo!$F$4&amp;"!"&amp;ADDRESS(10,COLUMN(K$9)-1)&amp;":"&amp;ADDRESS(1000,COLUMN(K$9)-1))),
SUMIF(INDIRECT(Equipo!$G$4&amp;"!B10:B1000"),$B134,INDIRECT(Equipo!$G$4&amp;"!"&amp;ADDRESS(10,COLUMN(K$9)-1)&amp;":"&amp;ADDRESS(1000,COLUMN(K$9)-1)))))</f>
        <v>-</v>
      </c>
    </row>
    <row r="135" ht="15.75" customHeight="1">
      <c r="B135" s="1" t="str">
        <f>IF(ISBLANK(Tareas!B131)," - ",Tareas!B131)</f>
        <v> - </v>
      </c>
      <c r="D135" s="19" t="str">
        <f t="array" ref="D135">IF(ISBLANK(Tareas!$B131),"-",SUM(
SUMIF(INDIRECT(Equipo!$C$4&amp;"!B10:B1000"),$B135,INDIRECT(Equipo!$C$4&amp;"!"&amp;ADDRESS(10,COLUMN(D$9)-1)&amp;":"&amp;ADDRESS(1000,COLUMN(D$9)-1))),
SUMIF(INDIRECT(Equipo!$D$4&amp;"!B10:B1000"),$B135,INDIRECT(Equipo!$D$4&amp;"!"&amp;ADDRESS(10,COLUMN(D$9)-1)&amp;":"&amp;ADDRESS(1000,COLUMN(D$9)-1))),
SUMIF(INDIRECT(Equipo!$E$4&amp;"!B10:B1000"),$B135,INDIRECT(Equipo!$E$4&amp;"!"&amp;ADDRESS(10,COLUMN(D$9)-1)&amp;":"&amp;ADDRESS(1000,COLUMN(D$9)-1))),
SUMIF(INDIRECT(Equipo!$F$4&amp;"!B10:B1000"),$B135,INDIRECT(Equipo!$F$4&amp;"!"&amp;ADDRESS(10,COLUMN(D$9)-1)&amp;":"&amp;ADDRESS(1000,COLUMN(D$9)-1))),
SUMIF(INDIRECT(Equipo!$G$4&amp;"!B10:B1000"),$B135,INDIRECT(Equipo!$G$4&amp;"!"&amp;ADDRESS(10,COLUMN(D$9)-1)&amp;":"&amp;ADDRESS(1000,COLUMN(D$9)-1)))))</f>
        <v>-</v>
      </c>
      <c r="E135" s="19" t="str">
        <f t="array" ref="E135">IF(ISBLANK(Tareas!$B131),"-",SUM(
SUMIF(INDIRECT(Equipo!$C$4&amp;"!B10:B1000"),$B135,INDIRECT(Equipo!$C$4&amp;"!"&amp;ADDRESS(10,COLUMN(E$9)-1)&amp;":"&amp;ADDRESS(1000,COLUMN(E$9)-1))),
SUMIF(INDIRECT(Equipo!$D$4&amp;"!B10:B1000"),$B135,INDIRECT(Equipo!$D$4&amp;"!"&amp;ADDRESS(10,COLUMN(E$9)-1)&amp;":"&amp;ADDRESS(1000,COLUMN(E$9)-1))),
SUMIF(INDIRECT(Equipo!$E$4&amp;"!B10:B1000"),$B135,INDIRECT(Equipo!$E$4&amp;"!"&amp;ADDRESS(10,COLUMN(E$9)-1)&amp;":"&amp;ADDRESS(1000,COLUMN(E$9)-1))),
SUMIF(INDIRECT(Equipo!$F$4&amp;"!B10:B1000"),$B135,INDIRECT(Equipo!$F$4&amp;"!"&amp;ADDRESS(10,COLUMN(E$9)-1)&amp;":"&amp;ADDRESS(1000,COLUMN(E$9)-1))),
SUMIF(INDIRECT(Equipo!$G$4&amp;"!B10:B1000"),$B135,INDIRECT(Equipo!$G$4&amp;"!"&amp;ADDRESS(10,COLUMN(E$9)-1)&amp;":"&amp;ADDRESS(1000,COLUMN(E$9)-1)))))</f>
        <v>-</v>
      </c>
      <c r="F135" s="19" t="str">
        <f t="array" ref="F135">IF(ISBLANK(Tareas!$B131),"-",SUM(
SUMIF(INDIRECT(Equipo!$C$4&amp;"!B10:B1000"),$B135,INDIRECT(Equipo!$C$4&amp;"!"&amp;ADDRESS(10,COLUMN(F$9)-1)&amp;":"&amp;ADDRESS(1000,COLUMN(F$9)-1))),
SUMIF(INDIRECT(Equipo!$D$4&amp;"!B10:B1000"),$B135,INDIRECT(Equipo!$D$4&amp;"!"&amp;ADDRESS(10,COLUMN(F$9)-1)&amp;":"&amp;ADDRESS(1000,COLUMN(F$9)-1))),
SUMIF(INDIRECT(Equipo!$E$4&amp;"!B10:B1000"),$B135,INDIRECT(Equipo!$E$4&amp;"!"&amp;ADDRESS(10,COLUMN(F$9)-1)&amp;":"&amp;ADDRESS(1000,COLUMN(F$9)-1))),
SUMIF(INDIRECT(Equipo!$F$4&amp;"!B10:B1000"),$B135,INDIRECT(Equipo!$F$4&amp;"!"&amp;ADDRESS(10,COLUMN(F$9)-1)&amp;":"&amp;ADDRESS(1000,COLUMN(F$9)-1))),
SUMIF(INDIRECT(Equipo!$G$4&amp;"!B10:B1000"),$B135,INDIRECT(Equipo!$G$4&amp;"!"&amp;ADDRESS(10,COLUMN(F$9)-1)&amp;":"&amp;ADDRESS(1000,COLUMN(F$9)-1)))))</f>
        <v>-</v>
      </c>
      <c r="G135" s="19" t="str">
        <f t="array" ref="G135">IF(ISBLANK(Tareas!$B131),"-",SUM(
SUMIF(INDIRECT(Equipo!$C$4&amp;"!B10:B1000"),$B135,INDIRECT(Equipo!$C$4&amp;"!"&amp;ADDRESS(10,COLUMN(G$9)-1)&amp;":"&amp;ADDRESS(1000,COLUMN(G$9)-1))),
SUMIF(INDIRECT(Equipo!$D$4&amp;"!B10:B1000"),$B135,INDIRECT(Equipo!$D$4&amp;"!"&amp;ADDRESS(10,COLUMN(G$9)-1)&amp;":"&amp;ADDRESS(1000,COLUMN(G$9)-1))),
SUMIF(INDIRECT(Equipo!$E$4&amp;"!B10:B1000"),$B135,INDIRECT(Equipo!$E$4&amp;"!"&amp;ADDRESS(10,COLUMN(G$9)-1)&amp;":"&amp;ADDRESS(1000,COLUMN(G$9)-1))),
SUMIF(INDIRECT(Equipo!$F$4&amp;"!B10:B1000"),$B135,INDIRECT(Equipo!$F$4&amp;"!"&amp;ADDRESS(10,COLUMN(G$9)-1)&amp;":"&amp;ADDRESS(1000,COLUMN(G$9)-1))),
SUMIF(INDIRECT(Equipo!$G$4&amp;"!B10:B1000"),$B135,INDIRECT(Equipo!$G$4&amp;"!"&amp;ADDRESS(10,COLUMN(G$9)-1)&amp;":"&amp;ADDRESS(1000,COLUMN(G$9)-1)))))</f>
        <v>-</v>
      </c>
      <c r="H135" s="19" t="str">
        <f t="array" ref="H135">IF(ISBLANK(Tareas!$B131),"-",SUM(
SUMIF(INDIRECT(Equipo!$C$4&amp;"!B10:B1000"),$B135,INDIRECT(Equipo!$C$4&amp;"!"&amp;ADDRESS(10,COLUMN(H$9)-1)&amp;":"&amp;ADDRESS(1000,COLUMN(H$9)-1))),
SUMIF(INDIRECT(Equipo!$D$4&amp;"!B10:B1000"),$B135,INDIRECT(Equipo!$D$4&amp;"!"&amp;ADDRESS(10,COLUMN(H$9)-1)&amp;":"&amp;ADDRESS(1000,COLUMN(H$9)-1))),
SUMIF(INDIRECT(Equipo!$E$4&amp;"!B10:B1000"),$B135,INDIRECT(Equipo!$E$4&amp;"!"&amp;ADDRESS(10,COLUMN(H$9)-1)&amp;":"&amp;ADDRESS(1000,COLUMN(H$9)-1))),
SUMIF(INDIRECT(Equipo!$F$4&amp;"!B10:B1000"),$B135,INDIRECT(Equipo!$F$4&amp;"!"&amp;ADDRESS(10,COLUMN(H$9)-1)&amp;":"&amp;ADDRESS(1000,COLUMN(H$9)-1))),
SUMIF(INDIRECT(Equipo!$G$4&amp;"!B10:B1000"),$B135,INDIRECT(Equipo!$G$4&amp;"!"&amp;ADDRESS(10,COLUMN(H$9)-1)&amp;":"&amp;ADDRESS(1000,COLUMN(H$9)-1)))))</f>
        <v>-</v>
      </c>
      <c r="I135" s="19" t="str">
        <f t="array" ref="I135">IF(ISBLANK(Tareas!$B131),"-",SUM(
SUMIF(INDIRECT(Equipo!$C$4&amp;"!B10:B1000"),$B135,INDIRECT(Equipo!$C$4&amp;"!"&amp;ADDRESS(10,COLUMN(I$9)-1)&amp;":"&amp;ADDRESS(1000,COLUMN(I$9)-1))),
SUMIF(INDIRECT(Equipo!$D$4&amp;"!B10:B1000"),$B135,INDIRECT(Equipo!$D$4&amp;"!"&amp;ADDRESS(10,COLUMN(I$9)-1)&amp;":"&amp;ADDRESS(1000,COLUMN(I$9)-1))),
SUMIF(INDIRECT(Equipo!$E$4&amp;"!B10:B1000"),$B135,INDIRECT(Equipo!$E$4&amp;"!"&amp;ADDRESS(10,COLUMN(I$9)-1)&amp;":"&amp;ADDRESS(1000,COLUMN(I$9)-1))),
SUMIF(INDIRECT(Equipo!$F$4&amp;"!B10:B1000"),$B135,INDIRECT(Equipo!$F$4&amp;"!"&amp;ADDRESS(10,COLUMN(I$9)-1)&amp;":"&amp;ADDRESS(1000,COLUMN(I$9)-1))),
SUMIF(INDIRECT(Equipo!$G$4&amp;"!B10:B1000"),$B135,INDIRECT(Equipo!$G$4&amp;"!"&amp;ADDRESS(10,COLUMN(I$9)-1)&amp;":"&amp;ADDRESS(1000,COLUMN(I$9)-1)))))</f>
        <v>-</v>
      </c>
      <c r="J135" s="19" t="str">
        <f t="array" ref="J135">IF(ISBLANK(Tareas!$B131),"-",SUM(
SUMIF(INDIRECT(Equipo!$C$4&amp;"!B10:B1000"),$B135,INDIRECT(Equipo!$C$4&amp;"!"&amp;ADDRESS(10,COLUMN(J$9)-1)&amp;":"&amp;ADDRESS(1000,COLUMN(J$9)-1))),
SUMIF(INDIRECT(Equipo!$D$4&amp;"!B10:B1000"),$B135,INDIRECT(Equipo!$D$4&amp;"!"&amp;ADDRESS(10,COLUMN(J$9)-1)&amp;":"&amp;ADDRESS(1000,COLUMN(J$9)-1))),
SUMIF(INDIRECT(Equipo!$E$4&amp;"!B10:B1000"),$B135,INDIRECT(Equipo!$E$4&amp;"!"&amp;ADDRESS(10,COLUMN(J$9)-1)&amp;":"&amp;ADDRESS(1000,COLUMN(J$9)-1))),
SUMIF(INDIRECT(Equipo!$F$4&amp;"!B10:B1000"),$B135,INDIRECT(Equipo!$F$4&amp;"!"&amp;ADDRESS(10,COLUMN(J$9)-1)&amp;":"&amp;ADDRESS(1000,COLUMN(J$9)-1))),
SUMIF(INDIRECT(Equipo!$G$4&amp;"!B10:B1000"),$B135,INDIRECT(Equipo!$G$4&amp;"!"&amp;ADDRESS(10,COLUMN(J$9)-1)&amp;":"&amp;ADDRESS(1000,COLUMN(J$9)-1)))))</f>
        <v>-</v>
      </c>
      <c r="K135" s="19" t="str">
        <f t="array" ref="K135">IF(ISBLANK(Tareas!$B131),"-",SUM(
SUMIF(INDIRECT(Equipo!$C$4&amp;"!B10:B1000"),$B135,INDIRECT(Equipo!$C$4&amp;"!"&amp;ADDRESS(10,COLUMN(K$9)-1)&amp;":"&amp;ADDRESS(1000,COLUMN(K$9)-1))),
SUMIF(INDIRECT(Equipo!$D$4&amp;"!B10:B1000"),$B135,INDIRECT(Equipo!$D$4&amp;"!"&amp;ADDRESS(10,COLUMN(K$9)-1)&amp;":"&amp;ADDRESS(1000,COLUMN(K$9)-1))),
SUMIF(INDIRECT(Equipo!$E$4&amp;"!B10:B1000"),$B135,INDIRECT(Equipo!$E$4&amp;"!"&amp;ADDRESS(10,COLUMN(K$9)-1)&amp;":"&amp;ADDRESS(1000,COLUMN(K$9)-1))),
SUMIF(INDIRECT(Equipo!$F$4&amp;"!B10:B1000"),$B135,INDIRECT(Equipo!$F$4&amp;"!"&amp;ADDRESS(10,COLUMN(K$9)-1)&amp;":"&amp;ADDRESS(1000,COLUMN(K$9)-1))),
SUMIF(INDIRECT(Equipo!$G$4&amp;"!B10:B1000"),$B135,INDIRECT(Equipo!$G$4&amp;"!"&amp;ADDRESS(10,COLUMN(K$9)-1)&amp;":"&amp;ADDRESS(1000,COLUMN(K$9)-1)))))</f>
        <v>-</v>
      </c>
    </row>
    <row r="136" ht="15.75" customHeight="1">
      <c r="B136" s="1" t="str">
        <f>IF(ISBLANK(Tareas!B132)," - ",Tareas!B132)</f>
        <v> - </v>
      </c>
      <c r="D136" s="19" t="str">
        <f t="array" ref="D136">IF(ISBLANK(Tareas!$B132),"-",SUM(
SUMIF(INDIRECT(Equipo!$C$4&amp;"!B10:B1000"),$B136,INDIRECT(Equipo!$C$4&amp;"!"&amp;ADDRESS(10,COLUMN(D$9)-1)&amp;":"&amp;ADDRESS(1000,COLUMN(D$9)-1))),
SUMIF(INDIRECT(Equipo!$D$4&amp;"!B10:B1000"),$B136,INDIRECT(Equipo!$D$4&amp;"!"&amp;ADDRESS(10,COLUMN(D$9)-1)&amp;":"&amp;ADDRESS(1000,COLUMN(D$9)-1))),
SUMIF(INDIRECT(Equipo!$E$4&amp;"!B10:B1000"),$B136,INDIRECT(Equipo!$E$4&amp;"!"&amp;ADDRESS(10,COLUMN(D$9)-1)&amp;":"&amp;ADDRESS(1000,COLUMN(D$9)-1))),
SUMIF(INDIRECT(Equipo!$F$4&amp;"!B10:B1000"),$B136,INDIRECT(Equipo!$F$4&amp;"!"&amp;ADDRESS(10,COLUMN(D$9)-1)&amp;":"&amp;ADDRESS(1000,COLUMN(D$9)-1))),
SUMIF(INDIRECT(Equipo!$G$4&amp;"!B10:B1000"),$B136,INDIRECT(Equipo!$G$4&amp;"!"&amp;ADDRESS(10,COLUMN(D$9)-1)&amp;":"&amp;ADDRESS(1000,COLUMN(D$9)-1)))))</f>
        <v>-</v>
      </c>
      <c r="E136" s="19" t="str">
        <f t="array" ref="E136">IF(ISBLANK(Tareas!$B132),"-",SUM(
SUMIF(INDIRECT(Equipo!$C$4&amp;"!B10:B1000"),$B136,INDIRECT(Equipo!$C$4&amp;"!"&amp;ADDRESS(10,COLUMN(E$9)-1)&amp;":"&amp;ADDRESS(1000,COLUMN(E$9)-1))),
SUMIF(INDIRECT(Equipo!$D$4&amp;"!B10:B1000"),$B136,INDIRECT(Equipo!$D$4&amp;"!"&amp;ADDRESS(10,COLUMN(E$9)-1)&amp;":"&amp;ADDRESS(1000,COLUMN(E$9)-1))),
SUMIF(INDIRECT(Equipo!$E$4&amp;"!B10:B1000"),$B136,INDIRECT(Equipo!$E$4&amp;"!"&amp;ADDRESS(10,COLUMN(E$9)-1)&amp;":"&amp;ADDRESS(1000,COLUMN(E$9)-1))),
SUMIF(INDIRECT(Equipo!$F$4&amp;"!B10:B1000"),$B136,INDIRECT(Equipo!$F$4&amp;"!"&amp;ADDRESS(10,COLUMN(E$9)-1)&amp;":"&amp;ADDRESS(1000,COLUMN(E$9)-1))),
SUMIF(INDIRECT(Equipo!$G$4&amp;"!B10:B1000"),$B136,INDIRECT(Equipo!$G$4&amp;"!"&amp;ADDRESS(10,COLUMN(E$9)-1)&amp;":"&amp;ADDRESS(1000,COLUMN(E$9)-1)))))</f>
        <v>-</v>
      </c>
      <c r="F136" s="19" t="str">
        <f t="array" ref="F136">IF(ISBLANK(Tareas!$B132),"-",SUM(
SUMIF(INDIRECT(Equipo!$C$4&amp;"!B10:B1000"),$B136,INDIRECT(Equipo!$C$4&amp;"!"&amp;ADDRESS(10,COLUMN(F$9)-1)&amp;":"&amp;ADDRESS(1000,COLUMN(F$9)-1))),
SUMIF(INDIRECT(Equipo!$D$4&amp;"!B10:B1000"),$B136,INDIRECT(Equipo!$D$4&amp;"!"&amp;ADDRESS(10,COLUMN(F$9)-1)&amp;":"&amp;ADDRESS(1000,COLUMN(F$9)-1))),
SUMIF(INDIRECT(Equipo!$E$4&amp;"!B10:B1000"),$B136,INDIRECT(Equipo!$E$4&amp;"!"&amp;ADDRESS(10,COLUMN(F$9)-1)&amp;":"&amp;ADDRESS(1000,COLUMN(F$9)-1))),
SUMIF(INDIRECT(Equipo!$F$4&amp;"!B10:B1000"),$B136,INDIRECT(Equipo!$F$4&amp;"!"&amp;ADDRESS(10,COLUMN(F$9)-1)&amp;":"&amp;ADDRESS(1000,COLUMN(F$9)-1))),
SUMIF(INDIRECT(Equipo!$G$4&amp;"!B10:B1000"),$B136,INDIRECT(Equipo!$G$4&amp;"!"&amp;ADDRESS(10,COLUMN(F$9)-1)&amp;":"&amp;ADDRESS(1000,COLUMN(F$9)-1)))))</f>
        <v>-</v>
      </c>
      <c r="G136" s="19" t="str">
        <f t="array" ref="G136">IF(ISBLANK(Tareas!$B132),"-",SUM(
SUMIF(INDIRECT(Equipo!$C$4&amp;"!B10:B1000"),$B136,INDIRECT(Equipo!$C$4&amp;"!"&amp;ADDRESS(10,COLUMN(G$9)-1)&amp;":"&amp;ADDRESS(1000,COLUMN(G$9)-1))),
SUMIF(INDIRECT(Equipo!$D$4&amp;"!B10:B1000"),$B136,INDIRECT(Equipo!$D$4&amp;"!"&amp;ADDRESS(10,COLUMN(G$9)-1)&amp;":"&amp;ADDRESS(1000,COLUMN(G$9)-1))),
SUMIF(INDIRECT(Equipo!$E$4&amp;"!B10:B1000"),$B136,INDIRECT(Equipo!$E$4&amp;"!"&amp;ADDRESS(10,COLUMN(G$9)-1)&amp;":"&amp;ADDRESS(1000,COLUMN(G$9)-1))),
SUMIF(INDIRECT(Equipo!$F$4&amp;"!B10:B1000"),$B136,INDIRECT(Equipo!$F$4&amp;"!"&amp;ADDRESS(10,COLUMN(G$9)-1)&amp;":"&amp;ADDRESS(1000,COLUMN(G$9)-1))),
SUMIF(INDIRECT(Equipo!$G$4&amp;"!B10:B1000"),$B136,INDIRECT(Equipo!$G$4&amp;"!"&amp;ADDRESS(10,COLUMN(G$9)-1)&amp;":"&amp;ADDRESS(1000,COLUMN(G$9)-1)))))</f>
        <v>-</v>
      </c>
      <c r="H136" s="19" t="str">
        <f t="array" ref="H136">IF(ISBLANK(Tareas!$B132),"-",SUM(
SUMIF(INDIRECT(Equipo!$C$4&amp;"!B10:B1000"),$B136,INDIRECT(Equipo!$C$4&amp;"!"&amp;ADDRESS(10,COLUMN(H$9)-1)&amp;":"&amp;ADDRESS(1000,COLUMN(H$9)-1))),
SUMIF(INDIRECT(Equipo!$D$4&amp;"!B10:B1000"),$B136,INDIRECT(Equipo!$D$4&amp;"!"&amp;ADDRESS(10,COLUMN(H$9)-1)&amp;":"&amp;ADDRESS(1000,COLUMN(H$9)-1))),
SUMIF(INDIRECT(Equipo!$E$4&amp;"!B10:B1000"),$B136,INDIRECT(Equipo!$E$4&amp;"!"&amp;ADDRESS(10,COLUMN(H$9)-1)&amp;":"&amp;ADDRESS(1000,COLUMN(H$9)-1))),
SUMIF(INDIRECT(Equipo!$F$4&amp;"!B10:B1000"),$B136,INDIRECT(Equipo!$F$4&amp;"!"&amp;ADDRESS(10,COLUMN(H$9)-1)&amp;":"&amp;ADDRESS(1000,COLUMN(H$9)-1))),
SUMIF(INDIRECT(Equipo!$G$4&amp;"!B10:B1000"),$B136,INDIRECT(Equipo!$G$4&amp;"!"&amp;ADDRESS(10,COLUMN(H$9)-1)&amp;":"&amp;ADDRESS(1000,COLUMN(H$9)-1)))))</f>
        <v>-</v>
      </c>
      <c r="I136" s="19" t="str">
        <f t="array" ref="I136">IF(ISBLANK(Tareas!$B132),"-",SUM(
SUMIF(INDIRECT(Equipo!$C$4&amp;"!B10:B1000"),$B136,INDIRECT(Equipo!$C$4&amp;"!"&amp;ADDRESS(10,COLUMN(I$9)-1)&amp;":"&amp;ADDRESS(1000,COLUMN(I$9)-1))),
SUMIF(INDIRECT(Equipo!$D$4&amp;"!B10:B1000"),$B136,INDIRECT(Equipo!$D$4&amp;"!"&amp;ADDRESS(10,COLUMN(I$9)-1)&amp;":"&amp;ADDRESS(1000,COLUMN(I$9)-1))),
SUMIF(INDIRECT(Equipo!$E$4&amp;"!B10:B1000"),$B136,INDIRECT(Equipo!$E$4&amp;"!"&amp;ADDRESS(10,COLUMN(I$9)-1)&amp;":"&amp;ADDRESS(1000,COLUMN(I$9)-1))),
SUMIF(INDIRECT(Equipo!$F$4&amp;"!B10:B1000"),$B136,INDIRECT(Equipo!$F$4&amp;"!"&amp;ADDRESS(10,COLUMN(I$9)-1)&amp;":"&amp;ADDRESS(1000,COLUMN(I$9)-1))),
SUMIF(INDIRECT(Equipo!$G$4&amp;"!B10:B1000"),$B136,INDIRECT(Equipo!$G$4&amp;"!"&amp;ADDRESS(10,COLUMN(I$9)-1)&amp;":"&amp;ADDRESS(1000,COLUMN(I$9)-1)))))</f>
        <v>-</v>
      </c>
      <c r="J136" s="19" t="str">
        <f t="array" ref="J136">IF(ISBLANK(Tareas!$B132),"-",SUM(
SUMIF(INDIRECT(Equipo!$C$4&amp;"!B10:B1000"),$B136,INDIRECT(Equipo!$C$4&amp;"!"&amp;ADDRESS(10,COLUMN(J$9)-1)&amp;":"&amp;ADDRESS(1000,COLUMN(J$9)-1))),
SUMIF(INDIRECT(Equipo!$D$4&amp;"!B10:B1000"),$B136,INDIRECT(Equipo!$D$4&amp;"!"&amp;ADDRESS(10,COLUMN(J$9)-1)&amp;":"&amp;ADDRESS(1000,COLUMN(J$9)-1))),
SUMIF(INDIRECT(Equipo!$E$4&amp;"!B10:B1000"),$B136,INDIRECT(Equipo!$E$4&amp;"!"&amp;ADDRESS(10,COLUMN(J$9)-1)&amp;":"&amp;ADDRESS(1000,COLUMN(J$9)-1))),
SUMIF(INDIRECT(Equipo!$F$4&amp;"!B10:B1000"),$B136,INDIRECT(Equipo!$F$4&amp;"!"&amp;ADDRESS(10,COLUMN(J$9)-1)&amp;":"&amp;ADDRESS(1000,COLUMN(J$9)-1))),
SUMIF(INDIRECT(Equipo!$G$4&amp;"!B10:B1000"),$B136,INDIRECT(Equipo!$G$4&amp;"!"&amp;ADDRESS(10,COLUMN(J$9)-1)&amp;":"&amp;ADDRESS(1000,COLUMN(J$9)-1)))))</f>
        <v>-</v>
      </c>
      <c r="K136" s="19" t="str">
        <f t="array" ref="K136">IF(ISBLANK(Tareas!$B132),"-",SUM(
SUMIF(INDIRECT(Equipo!$C$4&amp;"!B10:B1000"),$B136,INDIRECT(Equipo!$C$4&amp;"!"&amp;ADDRESS(10,COLUMN(K$9)-1)&amp;":"&amp;ADDRESS(1000,COLUMN(K$9)-1))),
SUMIF(INDIRECT(Equipo!$D$4&amp;"!B10:B1000"),$B136,INDIRECT(Equipo!$D$4&amp;"!"&amp;ADDRESS(10,COLUMN(K$9)-1)&amp;":"&amp;ADDRESS(1000,COLUMN(K$9)-1))),
SUMIF(INDIRECT(Equipo!$E$4&amp;"!B10:B1000"),$B136,INDIRECT(Equipo!$E$4&amp;"!"&amp;ADDRESS(10,COLUMN(K$9)-1)&amp;":"&amp;ADDRESS(1000,COLUMN(K$9)-1))),
SUMIF(INDIRECT(Equipo!$F$4&amp;"!B10:B1000"),$B136,INDIRECT(Equipo!$F$4&amp;"!"&amp;ADDRESS(10,COLUMN(K$9)-1)&amp;":"&amp;ADDRESS(1000,COLUMN(K$9)-1))),
SUMIF(INDIRECT(Equipo!$G$4&amp;"!B10:B1000"),$B136,INDIRECT(Equipo!$G$4&amp;"!"&amp;ADDRESS(10,COLUMN(K$9)-1)&amp;":"&amp;ADDRESS(1000,COLUMN(K$9)-1)))))</f>
        <v>-</v>
      </c>
    </row>
    <row r="137" ht="15.75" customHeight="1">
      <c r="B137" s="1" t="str">
        <f>IF(ISBLANK(Tareas!B133)," - ",Tareas!B133)</f>
        <v> - </v>
      </c>
      <c r="D137" s="19" t="str">
        <f t="array" ref="D137">IF(ISBLANK(Tareas!$B133),"-",SUM(
SUMIF(INDIRECT(Equipo!$C$4&amp;"!B10:B1000"),$B137,INDIRECT(Equipo!$C$4&amp;"!"&amp;ADDRESS(10,COLUMN(D$9)-1)&amp;":"&amp;ADDRESS(1000,COLUMN(D$9)-1))),
SUMIF(INDIRECT(Equipo!$D$4&amp;"!B10:B1000"),$B137,INDIRECT(Equipo!$D$4&amp;"!"&amp;ADDRESS(10,COLUMN(D$9)-1)&amp;":"&amp;ADDRESS(1000,COLUMN(D$9)-1))),
SUMIF(INDIRECT(Equipo!$E$4&amp;"!B10:B1000"),$B137,INDIRECT(Equipo!$E$4&amp;"!"&amp;ADDRESS(10,COLUMN(D$9)-1)&amp;":"&amp;ADDRESS(1000,COLUMN(D$9)-1))),
SUMIF(INDIRECT(Equipo!$F$4&amp;"!B10:B1000"),$B137,INDIRECT(Equipo!$F$4&amp;"!"&amp;ADDRESS(10,COLUMN(D$9)-1)&amp;":"&amp;ADDRESS(1000,COLUMN(D$9)-1))),
SUMIF(INDIRECT(Equipo!$G$4&amp;"!B10:B1000"),$B137,INDIRECT(Equipo!$G$4&amp;"!"&amp;ADDRESS(10,COLUMN(D$9)-1)&amp;":"&amp;ADDRESS(1000,COLUMN(D$9)-1)))))</f>
        <v>-</v>
      </c>
      <c r="E137" s="19" t="str">
        <f t="array" ref="E137">IF(ISBLANK(Tareas!$B133),"-",SUM(
SUMIF(INDIRECT(Equipo!$C$4&amp;"!B10:B1000"),$B137,INDIRECT(Equipo!$C$4&amp;"!"&amp;ADDRESS(10,COLUMN(E$9)-1)&amp;":"&amp;ADDRESS(1000,COLUMN(E$9)-1))),
SUMIF(INDIRECT(Equipo!$D$4&amp;"!B10:B1000"),$B137,INDIRECT(Equipo!$D$4&amp;"!"&amp;ADDRESS(10,COLUMN(E$9)-1)&amp;":"&amp;ADDRESS(1000,COLUMN(E$9)-1))),
SUMIF(INDIRECT(Equipo!$E$4&amp;"!B10:B1000"),$B137,INDIRECT(Equipo!$E$4&amp;"!"&amp;ADDRESS(10,COLUMN(E$9)-1)&amp;":"&amp;ADDRESS(1000,COLUMN(E$9)-1))),
SUMIF(INDIRECT(Equipo!$F$4&amp;"!B10:B1000"),$B137,INDIRECT(Equipo!$F$4&amp;"!"&amp;ADDRESS(10,COLUMN(E$9)-1)&amp;":"&amp;ADDRESS(1000,COLUMN(E$9)-1))),
SUMIF(INDIRECT(Equipo!$G$4&amp;"!B10:B1000"),$B137,INDIRECT(Equipo!$G$4&amp;"!"&amp;ADDRESS(10,COLUMN(E$9)-1)&amp;":"&amp;ADDRESS(1000,COLUMN(E$9)-1)))))</f>
        <v>-</v>
      </c>
      <c r="F137" s="19" t="str">
        <f t="array" ref="F137">IF(ISBLANK(Tareas!$B133),"-",SUM(
SUMIF(INDIRECT(Equipo!$C$4&amp;"!B10:B1000"),$B137,INDIRECT(Equipo!$C$4&amp;"!"&amp;ADDRESS(10,COLUMN(F$9)-1)&amp;":"&amp;ADDRESS(1000,COLUMN(F$9)-1))),
SUMIF(INDIRECT(Equipo!$D$4&amp;"!B10:B1000"),$B137,INDIRECT(Equipo!$D$4&amp;"!"&amp;ADDRESS(10,COLUMN(F$9)-1)&amp;":"&amp;ADDRESS(1000,COLUMN(F$9)-1))),
SUMIF(INDIRECT(Equipo!$E$4&amp;"!B10:B1000"),$B137,INDIRECT(Equipo!$E$4&amp;"!"&amp;ADDRESS(10,COLUMN(F$9)-1)&amp;":"&amp;ADDRESS(1000,COLUMN(F$9)-1))),
SUMIF(INDIRECT(Equipo!$F$4&amp;"!B10:B1000"),$B137,INDIRECT(Equipo!$F$4&amp;"!"&amp;ADDRESS(10,COLUMN(F$9)-1)&amp;":"&amp;ADDRESS(1000,COLUMN(F$9)-1))),
SUMIF(INDIRECT(Equipo!$G$4&amp;"!B10:B1000"),$B137,INDIRECT(Equipo!$G$4&amp;"!"&amp;ADDRESS(10,COLUMN(F$9)-1)&amp;":"&amp;ADDRESS(1000,COLUMN(F$9)-1)))))</f>
        <v>-</v>
      </c>
      <c r="G137" s="19" t="str">
        <f t="array" ref="G137">IF(ISBLANK(Tareas!$B133),"-",SUM(
SUMIF(INDIRECT(Equipo!$C$4&amp;"!B10:B1000"),$B137,INDIRECT(Equipo!$C$4&amp;"!"&amp;ADDRESS(10,COLUMN(G$9)-1)&amp;":"&amp;ADDRESS(1000,COLUMN(G$9)-1))),
SUMIF(INDIRECT(Equipo!$D$4&amp;"!B10:B1000"),$B137,INDIRECT(Equipo!$D$4&amp;"!"&amp;ADDRESS(10,COLUMN(G$9)-1)&amp;":"&amp;ADDRESS(1000,COLUMN(G$9)-1))),
SUMIF(INDIRECT(Equipo!$E$4&amp;"!B10:B1000"),$B137,INDIRECT(Equipo!$E$4&amp;"!"&amp;ADDRESS(10,COLUMN(G$9)-1)&amp;":"&amp;ADDRESS(1000,COLUMN(G$9)-1))),
SUMIF(INDIRECT(Equipo!$F$4&amp;"!B10:B1000"),$B137,INDIRECT(Equipo!$F$4&amp;"!"&amp;ADDRESS(10,COLUMN(G$9)-1)&amp;":"&amp;ADDRESS(1000,COLUMN(G$9)-1))),
SUMIF(INDIRECT(Equipo!$G$4&amp;"!B10:B1000"),$B137,INDIRECT(Equipo!$G$4&amp;"!"&amp;ADDRESS(10,COLUMN(G$9)-1)&amp;":"&amp;ADDRESS(1000,COLUMN(G$9)-1)))))</f>
        <v>-</v>
      </c>
      <c r="H137" s="19" t="str">
        <f t="array" ref="H137">IF(ISBLANK(Tareas!$B133),"-",SUM(
SUMIF(INDIRECT(Equipo!$C$4&amp;"!B10:B1000"),$B137,INDIRECT(Equipo!$C$4&amp;"!"&amp;ADDRESS(10,COLUMN(H$9)-1)&amp;":"&amp;ADDRESS(1000,COLUMN(H$9)-1))),
SUMIF(INDIRECT(Equipo!$D$4&amp;"!B10:B1000"),$B137,INDIRECT(Equipo!$D$4&amp;"!"&amp;ADDRESS(10,COLUMN(H$9)-1)&amp;":"&amp;ADDRESS(1000,COLUMN(H$9)-1))),
SUMIF(INDIRECT(Equipo!$E$4&amp;"!B10:B1000"),$B137,INDIRECT(Equipo!$E$4&amp;"!"&amp;ADDRESS(10,COLUMN(H$9)-1)&amp;":"&amp;ADDRESS(1000,COLUMN(H$9)-1))),
SUMIF(INDIRECT(Equipo!$F$4&amp;"!B10:B1000"),$B137,INDIRECT(Equipo!$F$4&amp;"!"&amp;ADDRESS(10,COLUMN(H$9)-1)&amp;":"&amp;ADDRESS(1000,COLUMN(H$9)-1))),
SUMIF(INDIRECT(Equipo!$G$4&amp;"!B10:B1000"),$B137,INDIRECT(Equipo!$G$4&amp;"!"&amp;ADDRESS(10,COLUMN(H$9)-1)&amp;":"&amp;ADDRESS(1000,COLUMN(H$9)-1)))))</f>
        <v>-</v>
      </c>
      <c r="I137" s="19" t="str">
        <f t="array" ref="I137">IF(ISBLANK(Tareas!$B133),"-",SUM(
SUMIF(INDIRECT(Equipo!$C$4&amp;"!B10:B1000"),$B137,INDIRECT(Equipo!$C$4&amp;"!"&amp;ADDRESS(10,COLUMN(I$9)-1)&amp;":"&amp;ADDRESS(1000,COLUMN(I$9)-1))),
SUMIF(INDIRECT(Equipo!$D$4&amp;"!B10:B1000"),$B137,INDIRECT(Equipo!$D$4&amp;"!"&amp;ADDRESS(10,COLUMN(I$9)-1)&amp;":"&amp;ADDRESS(1000,COLUMN(I$9)-1))),
SUMIF(INDIRECT(Equipo!$E$4&amp;"!B10:B1000"),$B137,INDIRECT(Equipo!$E$4&amp;"!"&amp;ADDRESS(10,COLUMN(I$9)-1)&amp;":"&amp;ADDRESS(1000,COLUMN(I$9)-1))),
SUMIF(INDIRECT(Equipo!$F$4&amp;"!B10:B1000"),$B137,INDIRECT(Equipo!$F$4&amp;"!"&amp;ADDRESS(10,COLUMN(I$9)-1)&amp;":"&amp;ADDRESS(1000,COLUMN(I$9)-1))),
SUMIF(INDIRECT(Equipo!$G$4&amp;"!B10:B1000"),$B137,INDIRECT(Equipo!$G$4&amp;"!"&amp;ADDRESS(10,COLUMN(I$9)-1)&amp;":"&amp;ADDRESS(1000,COLUMN(I$9)-1)))))</f>
        <v>-</v>
      </c>
      <c r="J137" s="19" t="str">
        <f t="array" ref="J137">IF(ISBLANK(Tareas!$B133),"-",SUM(
SUMIF(INDIRECT(Equipo!$C$4&amp;"!B10:B1000"),$B137,INDIRECT(Equipo!$C$4&amp;"!"&amp;ADDRESS(10,COLUMN(J$9)-1)&amp;":"&amp;ADDRESS(1000,COLUMN(J$9)-1))),
SUMIF(INDIRECT(Equipo!$D$4&amp;"!B10:B1000"),$B137,INDIRECT(Equipo!$D$4&amp;"!"&amp;ADDRESS(10,COLUMN(J$9)-1)&amp;":"&amp;ADDRESS(1000,COLUMN(J$9)-1))),
SUMIF(INDIRECT(Equipo!$E$4&amp;"!B10:B1000"),$B137,INDIRECT(Equipo!$E$4&amp;"!"&amp;ADDRESS(10,COLUMN(J$9)-1)&amp;":"&amp;ADDRESS(1000,COLUMN(J$9)-1))),
SUMIF(INDIRECT(Equipo!$F$4&amp;"!B10:B1000"),$B137,INDIRECT(Equipo!$F$4&amp;"!"&amp;ADDRESS(10,COLUMN(J$9)-1)&amp;":"&amp;ADDRESS(1000,COLUMN(J$9)-1))),
SUMIF(INDIRECT(Equipo!$G$4&amp;"!B10:B1000"),$B137,INDIRECT(Equipo!$G$4&amp;"!"&amp;ADDRESS(10,COLUMN(J$9)-1)&amp;":"&amp;ADDRESS(1000,COLUMN(J$9)-1)))))</f>
        <v>-</v>
      </c>
      <c r="K137" s="19" t="str">
        <f t="array" ref="K137">IF(ISBLANK(Tareas!$B133),"-",SUM(
SUMIF(INDIRECT(Equipo!$C$4&amp;"!B10:B1000"),$B137,INDIRECT(Equipo!$C$4&amp;"!"&amp;ADDRESS(10,COLUMN(K$9)-1)&amp;":"&amp;ADDRESS(1000,COLUMN(K$9)-1))),
SUMIF(INDIRECT(Equipo!$D$4&amp;"!B10:B1000"),$B137,INDIRECT(Equipo!$D$4&amp;"!"&amp;ADDRESS(10,COLUMN(K$9)-1)&amp;":"&amp;ADDRESS(1000,COLUMN(K$9)-1))),
SUMIF(INDIRECT(Equipo!$E$4&amp;"!B10:B1000"),$B137,INDIRECT(Equipo!$E$4&amp;"!"&amp;ADDRESS(10,COLUMN(K$9)-1)&amp;":"&amp;ADDRESS(1000,COLUMN(K$9)-1))),
SUMIF(INDIRECT(Equipo!$F$4&amp;"!B10:B1000"),$B137,INDIRECT(Equipo!$F$4&amp;"!"&amp;ADDRESS(10,COLUMN(K$9)-1)&amp;":"&amp;ADDRESS(1000,COLUMN(K$9)-1))),
SUMIF(INDIRECT(Equipo!$G$4&amp;"!B10:B1000"),$B137,INDIRECT(Equipo!$G$4&amp;"!"&amp;ADDRESS(10,COLUMN(K$9)-1)&amp;":"&amp;ADDRESS(1000,COLUMN(K$9)-1)))))</f>
        <v>-</v>
      </c>
    </row>
    <row r="138" ht="15.75" customHeight="1">
      <c r="B138" s="1" t="str">
        <f>IF(ISBLANK(Tareas!B134)," - ",Tareas!B134)</f>
        <v> - </v>
      </c>
      <c r="D138" s="19" t="str">
        <f t="array" ref="D138">IF(ISBLANK(Tareas!$B134),"-",SUM(
SUMIF(INDIRECT(Equipo!$C$4&amp;"!B10:B1000"),$B138,INDIRECT(Equipo!$C$4&amp;"!"&amp;ADDRESS(10,COLUMN(D$9)-1)&amp;":"&amp;ADDRESS(1000,COLUMN(D$9)-1))),
SUMIF(INDIRECT(Equipo!$D$4&amp;"!B10:B1000"),$B138,INDIRECT(Equipo!$D$4&amp;"!"&amp;ADDRESS(10,COLUMN(D$9)-1)&amp;":"&amp;ADDRESS(1000,COLUMN(D$9)-1))),
SUMIF(INDIRECT(Equipo!$E$4&amp;"!B10:B1000"),$B138,INDIRECT(Equipo!$E$4&amp;"!"&amp;ADDRESS(10,COLUMN(D$9)-1)&amp;":"&amp;ADDRESS(1000,COLUMN(D$9)-1))),
SUMIF(INDIRECT(Equipo!$F$4&amp;"!B10:B1000"),$B138,INDIRECT(Equipo!$F$4&amp;"!"&amp;ADDRESS(10,COLUMN(D$9)-1)&amp;":"&amp;ADDRESS(1000,COLUMN(D$9)-1))),
SUMIF(INDIRECT(Equipo!$G$4&amp;"!B10:B1000"),$B138,INDIRECT(Equipo!$G$4&amp;"!"&amp;ADDRESS(10,COLUMN(D$9)-1)&amp;":"&amp;ADDRESS(1000,COLUMN(D$9)-1)))))</f>
        <v>-</v>
      </c>
      <c r="E138" s="19" t="str">
        <f t="array" ref="E138">IF(ISBLANK(Tareas!$B134),"-",SUM(
SUMIF(INDIRECT(Equipo!$C$4&amp;"!B10:B1000"),$B138,INDIRECT(Equipo!$C$4&amp;"!"&amp;ADDRESS(10,COLUMN(E$9)-1)&amp;":"&amp;ADDRESS(1000,COLUMN(E$9)-1))),
SUMIF(INDIRECT(Equipo!$D$4&amp;"!B10:B1000"),$B138,INDIRECT(Equipo!$D$4&amp;"!"&amp;ADDRESS(10,COLUMN(E$9)-1)&amp;":"&amp;ADDRESS(1000,COLUMN(E$9)-1))),
SUMIF(INDIRECT(Equipo!$E$4&amp;"!B10:B1000"),$B138,INDIRECT(Equipo!$E$4&amp;"!"&amp;ADDRESS(10,COLUMN(E$9)-1)&amp;":"&amp;ADDRESS(1000,COLUMN(E$9)-1))),
SUMIF(INDIRECT(Equipo!$F$4&amp;"!B10:B1000"),$B138,INDIRECT(Equipo!$F$4&amp;"!"&amp;ADDRESS(10,COLUMN(E$9)-1)&amp;":"&amp;ADDRESS(1000,COLUMN(E$9)-1))),
SUMIF(INDIRECT(Equipo!$G$4&amp;"!B10:B1000"),$B138,INDIRECT(Equipo!$G$4&amp;"!"&amp;ADDRESS(10,COLUMN(E$9)-1)&amp;":"&amp;ADDRESS(1000,COLUMN(E$9)-1)))))</f>
        <v>-</v>
      </c>
      <c r="F138" s="19" t="str">
        <f t="array" ref="F138">IF(ISBLANK(Tareas!$B134),"-",SUM(
SUMIF(INDIRECT(Equipo!$C$4&amp;"!B10:B1000"),$B138,INDIRECT(Equipo!$C$4&amp;"!"&amp;ADDRESS(10,COLUMN(F$9)-1)&amp;":"&amp;ADDRESS(1000,COLUMN(F$9)-1))),
SUMIF(INDIRECT(Equipo!$D$4&amp;"!B10:B1000"),$B138,INDIRECT(Equipo!$D$4&amp;"!"&amp;ADDRESS(10,COLUMN(F$9)-1)&amp;":"&amp;ADDRESS(1000,COLUMN(F$9)-1))),
SUMIF(INDIRECT(Equipo!$E$4&amp;"!B10:B1000"),$B138,INDIRECT(Equipo!$E$4&amp;"!"&amp;ADDRESS(10,COLUMN(F$9)-1)&amp;":"&amp;ADDRESS(1000,COLUMN(F$9)-1))),
SUMIF(INDIRECT(Equipo!$F$4&amp;"!B10:B1000"),$B138,INDIRECT(Equipo!$F$4&amp;"!"&amp;ADDRESS(10,COLUMN(F$9)-1)&amp;":"&amp;ADDRESS(1000,COLUMN(F$9)-1))),
SUMIF(INDIRECT(Equipo!$G$4&amp;"!B10:B1000"),$B138,INDIRECT(Equipo!$G$4&amp;"!"&amp;ADDRESS(10,COLUMN(F$9)-1)&amp;":"&amp;ADDRESS(1000,COLUMN(F$9)-1)))))</f>
        <v>-</v>
      </c>
      <c r="G138" s="19" t="str">
        <f t="array" ref="G138">IF(ISBLANK(Tareas!$B134),"-",SUM(
SUMIF(INDIRECT(Equipo!$C$4&amp;"!B10:B1000"),$B138,INDIRECT(Equipo!$C$4&amp;"!"&amp;ADDRESS(10,COLUMN(G$9)-1)&amp;":"&amp;ADDRESS(1000,COLUMN(G$9)-1))),
SUMIF(INDIRECT(Equipo!$D$4&amp;"!B10:B1000"),$B138,INDIRECT(Equipo!$D$4&amp;"!"&amp;ADDRESS(10,COLUMN(G$9)-1)&amp;":"&amp;ADDRESS(1000,COLUMN(G$9)-1))),
SUMIF(INDIRECT(Equipo!$E$4&amp;"!B10:B1000"),$B138,INDIRECT(Equipo!$E$4&amp;"!"&amp;ADDRESS(10,COLUMN(G$9)-1)&amp;":"&amp;ADDRESS(1000,COLUMN(G$9)-1))),
SUMIF(INDIRECT(Equipo!$F$4&amp;"!B10:B1000"),$B138,INDIRECT(Equipo!$F$4&amp;"!"&amp;ADDRESS(10,COLUMN(G$9)-1)&amp;":"&amp;ADDRESS(1000,COLUMN(G$9)-1))),
SUMIF(INDIRECT(Equipo!$G$4&amp;"!B10:B1000"),$B138,INDIRECT(Equipo!$G$4&amp;"!"&amp;ADDRESS(10,COLUMN(G$9)-1)&amp;":"&amp;ADDRESS(1000,COLUMN(G$9)-1)))))</f>
        <v>-</v>
      </c>
      <c r="H138" s="19" t="str">
        <f t="array" ref="H138">IF(ISBLANK(Tareas!$B134),"-",SUM(
SUMIF(INDIRECT(Equipo!$C$4&amp;"!B10:B1000"),$B138,INDIRECT(Equipo!$C$4&amp;"!"&amp;ADDRESS(10,COLUMN(H$9)-1)&amp;":"&amp;ADDRESS(1000,COLUMN(H$9)-1))),
SUMIF(INDIRECT(Equipo!$D$4&amp;"!B10:B1000"),$B138,INDIRECT(Equipo!$D$4&amp;"!"&amp;ADDRESS(10,COLUMN(H$9)-1)&amp;":"&amp;ADDRESS(1000,COLUMN(H$9)-1))),
SUMIF(INDIRECT(Equipo!$E$4&amp;"!B10:B1000"),$B138,INDIRECT(Equipo!$E$4&amp;"!"&amp;ADDRESS(10,COLUMN(H$9)-1)&amp;":"&amp;ADDRESS(1000,COLUMN(H$9)-1))),
SUMIF(INDIRECT(Equipo!$F$4&amp;"!B10:B1000"),$B138,INDIRECT(Equipo!$F$4&amp;"!"&amp;ADDRESS(10,COLUMN(H$9)-1)&amp;":"&amp;ADDRESS(1000,COLUMN(H$9)-1))),
SUMIF(INDIRECT(Equipo!$G$4&amp;"!B10:B1000"),$B138,INDIRECT(Equipo!$G$4&amp;"!"&amp;ADDRESS(10,COLUMN(H$9)-1)&amp;":"&amp;ADDRESS(1000,COLUMN(H$9)-1)))))</f>
        <v>-</v>
      </c>
      <c r="I138" s="19" t="str">
        <f t="array" ref="I138">IF(ISBLANK(Tareas!$B134),"-",SUM(
SUMIF(INDIRECT(Equipo!$C$4&amp;"!B10:B1000"),$B138,INDIRECT(Equipo!$C$4&amp;"!"&amp;ADDRESS(10,COLUMN(I$9)-1)&amp;":"&amp;ADDRESS(1000,COLUMN(I$9)-1))),
SUMIF(INDIRECT(Equipo!$D$4&amp;"!B10:B1000"),$B138,INDIRECT(Equipo!$D$4&amp;"!"&amp;ADDRESS(10,COLUMN(I$9)-1)&amp;":"&amp;ADDRESS(1000,COLUMN(I$9)-1))),
SUMIF(INDIRECT(Equipo!$E$4&amp;"!B10:B1000"),$B138,INDIRECT(Equipo!$E$4&amp;"!"&amp;ADDRESS(10,COLUMN(I$9)-1)&amp;":"&amp;ADDRESS(1000,COLUMN(I$9)-1))),
SUMIF(INDIRECT(Equipo!$F$4&amp;"!B10:B1000"),$B138,INDIRECT(Equipo!$F$4&amp;"!"&amp;ADDRESS(10,COLUMN(I$9)-1)&amp;":"&amp;ADDRESS(1000,COLUMN(I$9)-1))),
SUMIF(INDIRECT(Equipo!$G$4&amp;"!B10:B1000"),$B138,INDIRECT(Equipo!$G$4&amp;"!"&amp;ADDRESS(10,COLUMN(I$9)-1)&amp;":"&amp;ADDRESS(1000,COLUMN(I$9)-1)))))</f>
        <v>-</v>
      </c>
      <c r="J138" s="19" t="str">
        <f t="array" ref="J138">IF(ISBLANK(Tareas!$B134),"-",SUM(
SUMIF(INDIRECT(Equipo!$C$4&amp;"!B10:B1000"),$B138,INDIRECT(Equipo!$C$4&amp;"!"&amp;ADDRESS(10,COLUMN(J$9)-1)&amp;":"&amp;ADDRESS(1000,COLUMN(J$9)-1))),
SUMIF(INDIRECT(Equipo!$D$4&amp;"!B10:B1000"),$B138,INDIRECT(Equipo!$D$4&amp;"!"&amp;ADDRESS(10,COLUMN(J$9)-1)&amp;":"&amp;ADDRESS(1000,COLUMN(J$9)-1))),
SUMIF(INDIRECT(Equipo!$E$4&amp;"!B10:B1000"),$B138,INDIRECT(Equipo!$E$4&amp;"!"&amp;ADDRESS(10,COLUMN(J$9)-1)&amp;":"&amp;ADDRESS(1000,COLUMN(J$9)-1))),
SUMIF(INDIRECT(Equipo!$F$4&amp;"!B10:B1000"),$B138,INDIRECT(Equipo!$F$4&amp;"!"&amp;ADDRESS(10,COLUMN(J$9)-1)&amp;":"&amp;ADDRESS(1000,COLUMN(J$9)-1))),
SUMIF(INDIRECT(Equipo!$G$4&amp;"!B10:B1000"),$B138,INDIRECT(Equipo!$G$4&amp;"!"&amp;ADDRESS(10,COLUMN(J$9)-1)&amp;":"&amp;ADDRESS(1000,COLUMN(J$9)-1)))))</f>
        <v>-</v>
      </c>
      <c r="K138" s="19" t="str">
        <f t="array" ref="K138">IF(ISBLANK(Tareas!$B134),"-",SUM(
SUMIF(INDIRECT(Equipo!$C$4&amp;"!B10:B1000"),$B138,INDIRECT(Equipo!$C$4&amp;"!"&amp;ADDRESS(10,COLUMN(K$9)-1)&amp;":"&amp;ADDRESS(1000,COLUMN(K$9)-1))),
SUMIF(INDIRECT(Equipo!$D$4&amp;"!B10:B1000"),$B138,INDIRECT(Equipo!$D$4&amp;"!"&amp;ADDRESS(10,COLUMN(K$9)-1)&amp;":"&amp;ADDRESS(1000,COLUMN(K$9)-1))),
SUMIF(INDIRECT(Equipo!$E$4&amp;"!B10:B1000"),$B138,INDIRECT(Equipo!$E$4&amp;"!"&amp;ADDRESS(10,COLUMN(K$9)-1)&amp;":"&amp;ADDRESS(1000,COLUMN(K$9)-1))),
SUMIF(INDIRECT(Equipo!$F$4&amp;"!B10:B1000"),$B138,INDIRECT(Equipo!$F$4&amp;"!"&amp;ADDRESS(10,COLUMN(K$9)-1)&amp;":"&amp;ADDRESS(1000,COLUMN(K$9)-1))),
SUMIF(INDIRECT(Equipo!$G$4&amp;"!B10:B1000"),$B138,INDIRECT(Equipo!$G$4&amp;"!"&amp;ADDRESS(10,COLUMN(K$9)-1)&amp;":"&amp;ADDRESS(1000,COLUMN(K$9)-1)))))</f>
        <v>-</v>
      </c>
    </row>
    <row r="139" ht="15.75" customHeight="1">
      <c r="B139" s="1" t="str">
        <f>IF(ISBLANK(Tareas!B135)," - ",Tareas!B135)</f>
        <v> - </v>
      </c>
      <c r="D139" s="19" t="str">
        <f t="array" ref="D139">IF(ISBLANK(Tareas!$B135),"-",SUM(
SUMIF(INDIRECT(Equipo!$C$4&amp;"!B10:B1000"),$B139,INDIRECT(Equipo!$C$4&amp;"!"&amp;ADDRESS(10,COLUMN(D$9)-1)&amp;":"&amp;ADDRESS(1000,COLUMN(D$9)-1))),
SUMIF(INDIRECT(Equipo!$D$4&amp;"!B10:B1000"),$B139,INDIRECT(Equipo!$D$4&amp;"!"&amp;ADDRESS(10,COLUMN(D$9)-1)&amp;":"&amp;ADDRESS(1000,COLUMN(D$9)-1))),
SUMIF(INDIRECT(Equipo!$E$4&amp;"!B10:B1000"),$B139,INDIRECT(Equipo!$E$4&amp;"!"&amp;ADDRESS(10,COLUMN(D$9)-1)&amp;":"&amp;ADDRESS(1000,COLUMN(D$9)-1))),
SUMIF(INDIRECT(Equipo!$F$4&amp;"!B10:B1000"),$B139,INDIRECT(Equipo!$F$4&amp;"!"&amp;ADDRESS(10,COLUMN(D$9)-1)&amp;":"&amp;ADDRESS(1000,COLUMN(D$9)-1))),
SUMIF(INDIRECT(Equipo!$G$4&amp;"!B10:B1000"),$B139,INDIRECT(Equipo!$G$4&amp;"!"&amp;ADDRESS(10,COLUMN(D$9)-1)&amp;":"&amp;ADDRESS(1000,COLUMN(D$9)-1)))))</f>
        <v>-</v>
      </c>
      <c r="E139" s="19" t="str">
        <f t="array" ref="E139">IF(ISBLANK(Tareas!$B135),"-",SUM(
SUMIF(INDIRECT(Equipo!$C$4&amp;"!B10:B1000"),$B139,INDIRECT(Equipo!$C$4&amp;"!"&amp;ADDRESS(10,COLUMN(E$9)-1)&amp;":"&amp;ADDRESS(1000,COLUMN(E$9)-1))),
SUMIF(INDIRECT(Equipo!$D$4&amp;"!B10:B1000"),$B139,INDIRECT(Equipo!$D$4&amp;"!"&amp;ADDRESS(10,COLUMN(E$9)-1)&amp;":"&amp;ADDRESS(1000,COLUMN(E$9)-1))),
SUMIF(INDIRECT(Equipo!$E$4&amp;"!B10:B1000"),$B139,INDIRECT(Equipo!$E$4&amp;"!"&amp;ADDRESS(10,COLUMN(E$9)-1)&amp;":"&amp;ADDRESS(1000,COLUMN(E$9)-1))),
SUMIF(INDIRECT(Equipo!$F$4&amp;"!B10:B1000"),$B139,INDIRECT(Equipo!$F$4&amp;"!"&amp;ADDRESS(10,COLUMN(E$9)-1)&amp;":"&amp;ADDRESS(1000,COLUMN(E$9)-1))),
SUMIF(INDIRECT(Equipo!$G$4&amp;"!B10:B1000"),$B139,INDIRECT(Equipo!$G$4&amp;"!"&amp;ADDRESS(10,COLUMN(E$9)-1)&amp;":"&amp;ADDRESS(1000,COLUMN(E$9)-1)))))</f>
        <v>-</v>
      </c>
      <c r="F139" s="19" t="str">
        <f t="array" ref="F139">IF(ISBLANK(Tareas!$B135),"-",SUM(
SUMIF(INDIRECT(Equipo!$C$4&amp;"!B10:B1000"),$B139,INDIRECT(Equipo!$C$4&amp;"!"&amp;ADDRESS(10,COLUMN(F$9)-1)&amp;":"&amp;ADDRESS(1000,COLUMN(F$9)-1))),
SUMIF(INDIRECT(Equipo!$D$4&amp;"!B10:B1000"),$B139,INDIRECT(Equipo!$D$4&amp;"!"&amp;ADDRESS(10,COLUMN(F$9)-1)&amp;":"&amp;ADDRESS(1000,COLUMN(F$9)-1))),
SUMIF(INDIRECT(Equipo!$E$4&amp;"!B10:B1000"),$B139,INDIRECT(Equipo!$E$4&amp;"!"&amp;ADDRESS(10,COLUMN(F$9)-1)&amp;":"&amp;ADDRESS(1000,COLUMN(F$9)-1))),
SUMIF(INDIRECT(Equipo!$F$4&amp;"!B10:B1000"),$B139,INDIRECT(Equipo!$F$4&amp;"!"&amp;ADDRESS(10,COLUMN(F$9)-1)&amp;":"&amp;ADDRESS(1000,COLUMN(F$9)-1))),
SUMIF(INDIRECT(Equipo!$G$4&amp;"!B10:B1000"),$B139,INDIRECT(Equipo!$G$4&amp;"!"&amp;ADDRESS(10,COLUMN(F$9)-1)&amp;":"&amp;ADDRESS(1000,COLUMN(F$9)-1)))))</f>
        <v>-</v>
      </c>
      <c r="G139" s="19" t="str">
        <f t="array" ref="G139">IF(ISBLANK(Tareas!$B135),"-",SUM(
SUMIF(INDIRECT(Equipo!$C$4&amp;"!B10:B1000"),$B139,INDIRECT(Equipo!$C$4&amp;"!"&amp;ADDRESS(10,COLUMN(G$9)-1)&amp;":"&amp;ADDRESS(1000,COLUMN(G$9)-1))),
SUMIF(INDIRECT(Equipo!$D$4&amp;"!B10:B1000"),$B139,INDIRECT(Equipo!$D$4&amp;"!"&amp;ADDRESS(10,COLUMN(G$9)-1)&amp;":"&amp;ADDRESS(1000,COLUMN(G$9)-1))),
SUMIF(INDIRECT(Equipo!$E$4&amp;"!B10:B1000"),$B139,INDIRECT(Equipo!$E$4&amp;"!"&amp;ADDRESS(10,COLUMN(G$9)-1)&amp;":"&amp;ADDRESS(1000,COLUMN(G$9)-1))),
SUMIF(INDIRECT(Equipo!$F$4&amp;"!B10:B1000"),$B139,INDIRECT(Equipo!$F$4&amp;"!"&amp;ADDRESS(10,COLUMN(G$9)-1)&amp;":"&amp;ADDRESS(1000,COLUMN(G$9)-1))),
SUMIF(INDIRECT(Equipo!$G$4&amp;"!B10:B1000"),$B139,INDIRECT(Equipo!$G$4&amp;"!"&amp;ADDRESS(10,COLUMN(G$9)-1)&amp;":"&amp;ADDRESS(1000,COLUMN(G$9)-1)))))</f>
        <v>-</v>
      </c>
      <c r="H139" s="19" t="str">
        <f t="array" ref="H139">IF(ISBLANK(Tareas!$B135),"-",SUM(
SUMIF(INDIRECT(Equipo!$C$4&amp;"!B10:B1000"),$B139,INDIRECT(Equipo!$C$4&amp;"!"&amp;ADDRESS(10,COLUMN(H$9)-1)&amp;":"&amp;ADDRESS(1000,COLUMN(H$9)-1))),
SUMIF(INDIRECT(Equipo!$D$4&amp;"!B10:B1000"),$B139,INDIRECT(Equipo!$D$4&amp;"!"&amp;ADDRESS(10,COLUMN(H$9)-1)&amp;":"&amp;ADDRESS(1000,COLUMN(H$9)-1))),
SUMIF(INDIRECT(Equipo!$E$4&amp;"!B10:B1000"),$B139,INDIRECT(Equipo!$E$4&amp;"!"&amp;ADDRESS(10,COLUMN(H$9)-1)&amp;":"&amp;ADDRESS(1000,COLUMN(H$9)-1))),
SUMIF(INDIRECT(Equipo!$F$4&amp;"!B10:B1000"),$B139,INDIRECT(Equipo!$F$4&amp;"!"&amp;ADDRESS(10,COLUMN(H$9)-1)&amp;":"&amp;ADDRESS(1000,COLUMN(H$9)-1))),
SUMIF(INDIRECT(Equipo!$G$4&amp;"!B10:B1000"),$B139,INDIRECT(Equipo!$G$4&amp;"!"&amp;ADDRESS(10,COLUMN(H$9)-1)&amp;":"&amp;ADDRESS(1000,COLUMN(H$9)-1)))))</f>
        <v>-</v>
      </c>
      <c r="I139" s="19" t="str">
        <f t="array" ref="I139">IF(ISBLANK(Tareas!$B135),"-",SUM(
SUMIF(INDIRECT(Equipo!$C$4&amp;"!B10:B1000"),$B139,INDIRECT(Equipo!$C$4&amp;"!"&amp;ADDRESS(10,COLUMN(I$9)-1)&amp;":"&amp;ADDRESS(1000,COLUMN(I$9)-1))),
SUMIF(INDIRECT(Equipo!$D$4&amp;"!B10:B1000"),$B139,INDIRECT(Equipo!$D$4&amp;"!"&amp;ADDRESS(10,COLUMN(I$9)-1)&amp;":"&amp;ADDRESS(1000,COLUMN(I$9)-1))),
SUMIF(INDIRECT(Equipo!$E$4&amp;"!B10:B1000"),$B139,INDIRECT(Equipo!$E$4&amp;"!"&amp;ADDRESS(10,COLUMN(I$9)-1)&amp;":"&amp;ADDRESS(1000,COLUMN(I$9)-1))),
SUMIF(INDIRECT(Equipo!$F$4&amp;"!B10:B1000"),$B139,INDIRECT(Equipo!$F$4&amp;"!"&amp;ADDRESS(10,COLUMN(I$9)-1)&amp;":"&amp;ADDRESS(1000,COLUMN(I$9)-1))),
SUMIF(INDIRECT(Equipo!$G$4&amp;"!B10:B1000"),$B139,INDIRECT(Equipo!$G$4&amp;"!"&amp;ADDRESS(10,COLUMN(I$9)-1)&amp;":"&amp;ADDRESS(1000,COLUMN(I$9)-1)))))</f>
        <v>-</v>
      </c>
      <c r="J139" s="19" t="str">
        <f t="array" ref="J139">IF(ISBLANK(Tareas!$B135),"-",SUM(
SUMIF(INDIRECT(Equipo!$C$4&amp;"!B10:B1000"),$B139,INDIRECT(Equipo!$C$4&amp;"!"&amp;ADDRESS(10,COLUMN(J$9)-1)&amp;":"&amp;ADDRESS(1000,COLUMN(J$9)-1))),
SUMIF(INDIRECT(Equipo!$D$4&amp;"!B10:B1000"),$B139,INDIRECT(Equipo!$D$4&amp;"!"&amp;ADDRESS(10,COLUMN(J$9)-1)&amp;":"&amp;ADDRESS(1000,COLUMN(J$9)-1))),
SUMIF(INDIRECT(Equipo!$E$4&amp;"!B10:B1000"),$B139,INDIRECT(Equipo!$E$4&amp;"!"&amp;ADDRESS(10,COLUMN(J$9)-1)&amp;":"&amp;ADDRESS(1000,COLUMN(J$9)-1))),
SUMIF(INDIRECT(Equipo!$F$4&amp;"!B10:B1000"),$B139,INDIRECT(Equipo!$F$4&amp;"!"&amp;ADDRESS(10,COLUMN(J$9)-1)&amp;":"&amp;ADDRESS(1000,COLUMN(J$9)-1))),
SUMIF(INDIRECT(Equipo!$G$4&amp;"!B10:B1000"),$B139,INDIRECT(Equipo!$G$4&amp;"!"&amp;ADDRESS(10,COLUMN(J$9)-1)&amp;":"&amp;ADDRESS(1000,COLUMN(J$9)-1)))))</f>
        <v>-</v>
      </c>
      <c r="K139" s="19" t="str">
        <f t="array" ref="K139">IF(ISBLANK(Tareas!$B135),"-",SUM(
SUMIF(INDIRECT(Equipo!$C$4&amp;"!B10:B1000"),$B139,INDIRECT(Equipo!$C$4&amp;"!"&amp;ADDRESS(10,COLUMN(K$9)-1)&amp;":"&amp;ADDRESS(1000,COLUMN(K$9)-1))),
SUMIF(INDIRECT(Equipo!$D$4&amp;"!B10:B1000"),$B139,INDIRECT(Equipo!$D$4&amp;"!"&amp;ADDRESS(10,COLUMN(K$9)-1)&amp;":"&amp;ADDRESS(1000,COLUMN(K$9)-1))),
SUMIF(INDIRECT(Equipo!$E$4&amp;"!B10:B1000"),$B139,INDIRECT(Equipo!$E$4&amp;"!"&amp;ADDRESS(10,COLUMN(K$9)-1)&amp;":"&amp;ADDRESS(1000,COLUMN(K$9)-1))),
SUMIF(INDIRECT(Equipo!$F$4&amp;"!B10:B1000"),$B139,INDIRECT(Equipo!$F$4&amp;"!"&amp;ADDRESS(10,COLUMN(K$9)-1)&amp;":"&amp;ADDRESS(1000,COLUMN(K$9)-1))),
SUMIF(INDIRECT(Equipo!$G$4&amp;"!B10:B1000"),$B139,INDIRECT(Equipo!$G$4&amp;"!"&amp;ADDRESS(10,COLUMN(K$9)-1)&amp;":"&amp;ADDRESS(1000,COLUMN(K$9)-1)))))</f>
        <v>-</v>
      </c>
    </row>
    <row r="140" ht="15.75" customHeight="1">
      <c r="B140" s="1" t="str">
        <f>IF(ISBLANK(Tareas!B136)," - ",Tareas!B136)</f>
        <v> - </v>
      </c>
      <c r="D140" s="19" t="str">
        <f t="array" ref="D140">IF(ISBLANK(Tareas!$B136),"-",SUM(
SUMIF(INDIRECT(Equipo!$C$4&amp;"!B10:B1000"),$B140,INDIRECT(Equipo!$C$4&amp;"!"&amp;ADDRESS(10,COLUMN(D$9)-1)&amp;":"&amp;ADDRESS(1000,COLUMN(D$9)-1))),
SUMIF(INDIRECT(Equipo!$D$4&amp;"!B10:B1000"),$B140,INDIRECT(Equipo!$D$4&amp;"!"&amp;ADDRESS(10,COLUMN(D$9)-1)&amp;":"&amp;ADDRESS(1000,COLUMN(D$9)-1))),
SUMIF(INDIRECT(Equipo!$E$4&amp;"!B10:B1000"),$B140,INDIRECT(Equipo!$E$4&amp;"!"&amp;ADDRESS(10,COLUMN(D$9)-1)&amp;":"&amp;ADDRESS(1000,COLUMN(D$9)-1))),
SUMIF(INDIRECT(Equipo!$F$4&amp;"!B10:B1000"),$B140,INDIRECT(Equipo!$F$4&amp;"!"&amp;ADDRESS(10,COLUMN(D$9)-1)&amp;":"&amp;ADDRESS(1000,COLUMN(D$9)-1))),
SUMIF(INDIRECT(Equipo!$G$4&amp;"!B10:B1000"),$B140,INDIRECT(Equipo!$G$4&amp;"!"&amp;ADDRESS(10,COLUMN(D$9)-1)&amp;":"&amp;ADDRESS(1000,COLUMN(D$9)-1)))))</f>
        <v>-</v>
      </c>
      <c r="E140" s="19" t="str">
        <f t="array" ref="E140">IF(ISBLANK(Tareas!$B136),"-",SUM(
SUMIF(INDIRECT(Equipo!$C$4&amp;"!B10:B1000"),$B140,INDIRECT(Equipo!$C$4&amp;"!"&amp;ADDRESS(10,COLUMN(E$9)-1)&amp;":"&amp;ADDRESS(1000,COLUMN(E$9)-1))),
SUMIF(INDIRECT(Equipo!$D$4&amp;"!B10:B1000"),$B140,INDIRECT(Equipo!$D$4&amp;"!"&amp;ADDRESS(10,COLUMN(E$9)-1)&amp;":"&amp;ADDRESS(1000,COLUMN(E$9)-1))),
SUMIF(INDIRECT(Equipo!$E$4&amp;"!B10:B1000"),$B140,INDIRECT(Equipo!$E$4&amp;"!"&amp;ADDRESS(10,COLUMN(E$9)-1)&amp;":"&amp;ADDRESS(1000,COLUMN(E$9)-1))),
SUMIF(INDIRECT(Equipo!$F$4&amp;"!B10:B1000"),$B140,INDIRECT(Equipo!$F$4&amp;"!"&amp;ADDRESS(10,COLUMN(E$9)-1)&amp;":"&amp;ADDRESS(1000,COLUMN(E$9)-1))),
SUMIF(INDIRECT(Equipo!$G$4&amp;"!B10:B1000"),$B140,INDIRECT(Equipo!$G$4&amp;"!"&amp;ADDRESS(10,COLUMN(E$9)-1)&amp;":"&amp;ADDRESS(1000,COLUMN(E$9)-1)))))</f>
        <v>-</v>
      </c>
      <c r="F140" s="19" t="str">
        <f t="array" ref="F140">IF(ISBLANK(Tareas!$B136),"-",SUM(
SUMIF(INDIRECT(Equipo!$C$4&amp;"!B10:B1000"),$B140,INDIRECT(Equipo!$C$4&amp;"!"&amp;ADDRESS(10,COLUMN(F$9)-1)&amp;":"&amp;ADDRESS(1000,COLUMN(F$9)-1))),
SUMIF(INDIRECT(Equipo!$D$4&amp;"!B10:B1000"),$B140,INDIRECT(Equipo!$D$4&amp;"!"&amp;ADDRESS(10,COLUMN(F$9)-1)&amp;":"&amp;ADDRESS(1000,COLUMN(F$9)-1))),
SUMIF(INDIRECT(Equipo!$E$4&amp;"!B10:B1000"),$B140,INDIRECT(Equipo!$E$4&amp;"!"&amp;ADDRESS(10,COLUMN(F$9)-1)&amp;":"&amp;ADDRESS(1000,COLUMN(F$9)-1))),
SUMIF(INDIRECT(Equipo!$F$4&amp;"!B10:B1000"),$B140,INDIRECT(Equipo!$F$4&amp;"!"&amp;ADDRESS(10,COLUMN(F$9)-1)&amp;":"&amp;ADDRESS(1000,COLUMN(F$9)-1))),
SUMIF(INDIRECT(Equipo!$G$4&amp;"!B10:B1000"),$B140,INDIRECT(Equipo!$G$4&amp;"!"&amp;ADDRESS(10,COLUMN(F$9)-1)&amp;":"&amp;ADDRESS(1000,COLUMN(F$9)-1)))))</f>
        <v>-</v>
      </c>
      <c r="G140" s="19" t="str">
        <f t="array" ref="G140">IF(ISBLANK(Tareas!$B136),"-",SUM(
SUMIF(INDIRECT(Equipo!$C$4&amp;"!B10:B1000"),$B140,INDIRECT(Equipo!$C$4&amp;"!"&amp;ADDRESS(10,COLUMN(G$9)-1)&amp;":"&amp;ADDRESS(1000,COLUMN(G$9)-1))),
SUMIF(INDIRECT(Equipo!$D$4&amp;"!B10:B1000"),$B140,INDIRECT(Equipo!$D$4&amp;"!"&amp;ADDRESS(10,COLUMN(G$9)-1)&amp;":"&amp;ADDRESS(1000,COLUMN(G$9)-1))),
SUMIF(INDIRECT(Equipo!$E$4&amp;"!B10:B1000"),$B140,INDIRECT(Equipo!$E$4&amp;"!"&amp;ADDRESS(10,COLUMN(G$9)-1)&amp;":"&amp;ADDRESS(1000,COLUMN(G$9)-1))),
SUMIF(INDIRECT(Equipo!$F$4&amp;"!B10:B1000"),$B140,INDIRECT(Equipo!$F$4&amp;"!"&amp;ADDRESS(10,COLUMN(G$9)-1)&amp;":"&amp;ADDRESS(1000,COLUMN(G$9)-1))),
SUMIF(INDIRECT(Equipo!$G$4&amp;"!B10:B1000"),$B140,INDIRECT(Equipo!$G$4&amp;"!"&amp;ADDRESS(10,COLUMN(G$9)-1)&amp;":"&amp;ADDRESS(1000,COLUMN(G$9)-1)))))</f>
        <v>-</v>
      </c>
      <c r="H140" s="19" t="str">
        <f t="array" ref="H140">IF(ISBLANK(Tareas!$B136),"-",SUM(
SUMIF(INDIRECT(Equipo!$C$4&amp;"!B10:B1000"),$B140,INDIRECT(Equipo!$C$4&amp;"!"&amp;ADDRESS(10,COLUMN(H$9)-1)&amp;":"&amp;ADDRESS(1000,COLUMN(H$9)-1))),
SUMIF(INDIRECT(Equipo!$D$4&amp;"!B10:B1000"),$B140,INDIRECT(Equipo!$D$4&amp;"!"&amp;ADDRESS(10,COLUMN(H$9)-1)&amp;":"&amp;ADDRESS(1000,COLUMN(H$9)-1))),
SUMIF(INDIRECT(Equipo!$E$4&amp;"!B10:B1000"),$B140,INDIRECT(Equipo!$E$4&amp;"!"&amp;ADDRESS(10,COLUMN(H$9)-1)&amp;":"&amp;ADDRESS(1000,COLUMN(H$9)-1))),
SUMIF(INDIRECT(Equipo!$F$4&amp;"!B10:B1000"),$B140,INDIRECT(Equipo!$F$4&amp;"!"&amp;ADDRESS(10,COLUMN(H$9)-1)&amp;":"&amp;ADDRESS(1000,COLUMN(H$9)-1))),
SUMIF(INDIRECT(Equipo!$G$4&amp;"!B10:B1000"),$B140,INDIRECT(Equipo!$G$4&amp;"!"&amp;ADDRESS(10,COLUMN(H$9)-1)&amp;":"&amp;ADDRESS(1000,COLUMN(H$9)-1)))))</f>
        <v>-</v>
      </c>
      <c r="I140" s="19" t="str">
        <f t="array" ref="I140">IF(ISBLANK(Tareas!$B136),"-",SUM(
SUMIF(INDIRECT(Equipo!$C$4&amp;"!B10:B1000"),$B140,INDIRECT(Equipo!$C$4&amp;"!"&amp;ADDRESS(10,COLUMN(I$9)-1)&amp;":"&amp;ADDRESS(1000,COLUMN(I$9)-1))),
SUMIF(INDIRECT(Equipo!$D$4&amp;"!B10:B1000"),$B140,INDIRECT(Equipo!$D$4&amp;"!"&amp;ADDRESS(10,COLUMN(I$9)-1)&amp;":"&amp;ADDRESS(1000,COLUMN(I$9)-1))),
SUMIF(INDIRECT(Equipo!$E$4&amp;"!B10:B1000"),$B140,INDIRECT(Equipo!$E$4&amp;"!"&amp;ADDRESS(10,COLUMN(I$9)-1)&amp;":"&amp;ADDRESS(1000,COLUMN(I$9)-1))),
SUMIF(INDIRECT(Equipo!$F$4&amp;"!B10:B1000"),$B140,INDIRECT(Equipo!$F$4&amp;"!"&amp;ADDRESS(10,COLUMN(I$9)-1)&amp;":"&amp;ADDRESS(1000,COLUMN(I$9)-1))),
SUMIF(INDIRECT(Equipo!$G$4&amp;"!B10:B1000"),$B140,INDIRECT(Equipo!$G$4&amp;"!"&amp;ADDRESS(10,COLUMN(I$9)-1)&amp;":"&amp;ADDRESS(1000,COLUMN(I$9)-1)))))</f>
        <v>-</v>
      </c>
      <c r="J140" s="19" t="str">
        <f t="array" ref="J140">IF(ISBLANK(Tareas!$B136),"-",SUM(
SUMIF(INDIRECT(Equipo!$C$4&amp;"!B10:B1000"),$B140,INDIRECT(Equipo!$C$4&amp;"!"&amp;ADDRESS(10,COLUMN(J$9)-1)&amp;":"&amp;ADDRESS(1000,COLUMN(J$9)-1))),
SUMIF(INDIRECT(Equipo!$D$4&amp;"!B10:B1000"),$B140,INDIRECT(Equipo!$D$4&amp;"!"&amp;ADDRESS(10,COLUMN(J$9)-1)&amp;":"&amp;ADDRESS(1000,COLUMN(J$9)-1))),
SUMIF(INDIRECT(Equipo!$E$4&amp;"!B10:B1000"),$B140,INDIRECT(Equipo!$E$4&amp;"!"&amp;ADDRESS(10,COLUMN(J$9)-1)&amp;":"&amp;ADDRESS(1000,COLUMN(J$9)-1))),
SUMIF(INDIRECT(Equipo!$F$4&amp;"!B10:B1000"),$B140,INDIRECT(Equipo!$F$4&amp;"!"&amp;ADDRESS(10,COLUMN(J$9)-1)&amp;":"&amp;ADDRESS(1000,COLUMN(J$9)-1))),
SUMIF(INDIRECT(Equipo!$G$4&amp;"!B10:B1000"),$B140,INDIRECT(Equipo!$G$4&amp;"!"&amp;ADDRESS(10,COLUMN(J$9)-1)&amp;":"&amp;ADDRESS(1000,COLUMN(J$9)-1)))))</f>
        <v>-</v>
      </c>
      <c r="K140" s="19" t="str">
        <f t="array" ref="K140">IF(ISBLANK(Tareas!$B136),"-",SUM(
SUMIF(INDIRECT(Equipo!$C$4&amp;"!B10:B1000"),$B140,INDIRECT(Equipo!$C$4&amp;"!"&amp;ADDRESS(10,COLUMN(K$9)-1)&amp;":"&amp;ADDRESS(1000,COLUMN(K$9)-1))),
SUMIF(INDIRECT(Equipo!$D$4&amp;"!B10:B1000"),$B140,INDIRECT(Equipo!$D$4&amp;"!"&amp;ADDRESS(10,COLUMN(K$9)-1)&amp;":"&amp;ADDRESS(1000,COLUMN(K$9)-1))),
SUMIF(INDIRECT(Equipo!$E$4&amp;"!B10:B1000"),$B140,INDIRECT(Equipo!$E$4&amp;"!"&amp;ADDRESS(10,COLUMN(K$9)-1)&amp;":"&amp;ADDRESS(1000,COLUMN(K$9)-1))),
SUMIF(INDIRECT(Equipo!$F$4&amp;"!B10:B1000"),$B140,INDIRECT(Equipo!$F$4&amp;"!"&amp;ADDRESS(10,COLUMN(K$9)-1)&amp;":"&amp;ADDRESS(1000,COLUMN(K$9)-1))),
SUMIF(INDIRECT(Equipo!$G$4&amp;"!B10:B1000"),$B140,INDIRECT(Equipo!$G$4&amp;"!"&amp;ADDRESS(10,COLUMN(K$9)-1)&amp;":"&amp;ADDRESS(1000,COLUMN(K$9)-1)))))</f>
        <v>-</v>
      </c>
    </row>
    <row r="141" ht="15.75" customHeight="1">
      <c r="B141" s="1" t="str">
        <f>IF(ISBLANK(Tareas!B137)," - ",Tareas!B137)</f>
        <v> - </v>
      </c>
      <c r="D141" s="19" t="str">
        <f t="array" ref="D141">IF(ISBLANK(Tareas!$B137),"-",SUM(
SUMIF(INDIRECT(Equipo!$C$4&amp;"!B10:B1000"),$B141,INDIRECT(Equipo!$C$4&amp;"!"&amp;ADDRESS(10,COLUMN(D$9)-1)&amp;":"&amp;ADDRESS(1000,COLUMN(D$9)-1))),
SUMIF(INDIRECT(Equipo!$D$4&amp;"!B10:B1000"),$B141,INDIRECT(Equipo!$D$4&amp;"!"&amp;ADDRESS(10,COLUMN(D$9)-1)&amp;":"&amp;ADDRESS(1000,COLUMN(D$9)-1))),
SUMIF(INDIRECT(Equipo!$E$4&amp;"!B10:B1000"),$B141,INDIRECT(Equipo!$E$4&amp;"!"&amp;ADDRESS(10,COLUMN(D$9)-1)&amp;":"&amp;ADDRESS(1000,COLUMN(D$9)-1))),
SUMIF(INDIRECT(Equipo!$F$4&amp;"!B10:B1000"),$B141,INDIRECT(Equipo!$F$4&amp;"!"&amp;ADDRESS(10,COLUMN(D$9)-1)&amp;":"&amp;ADDRESS(1000,COLUMN(D$9)-1))),
SUMIF(INDIRECT(Equipo!$G$4&amp;"!B10:B1000"),$B141,INDIRECT(Equipo!$G$4&amp;"!"&amp;ADDRESS(10,COLUMN(D$9)-1)&amp;":"&amp;ADDRESS(1000,COLUMN(D$9)-1)))))</f>
        <v>-</v>
      </c>
      <c r="E141" s="19" t="str">
        <f t="array" ref="E141">IF(ISBLANK(Tareas!$B137),"-",SUM(
SUMIF(INDIRECT(Equipo!$C$4&amp;"!B10:B1000"),$B141,INDIRECT(Equipo!$C$4&amp;"!"&amp;ADDRESS(10,COLUMN(E$9)-1)&amp;":"&amp;ADDRESS(1000,COLUMN(E$9)-1))),
SUMIF(INDIRECT(Equipo!$D$4&amp;"!B10:B1000"),$B141,INDIRECT(Equipo!$D$4&amp;"!"&amp;ADDRESS(10,COLUMN(E$9)-1)&amp;":"&amp;ADDRESS(1000,COLUMN(E$9)-1))),
SUMIF(INDIRECT(Equipo!$E$4&amp;"!B10:B1000"),$B141,INDIRECT(Equipo!$E$4&amp;"!"&amp;ADDRESS(10,COLUMN(E$9)-1)&amp;":"&amp;ADDRESS(1000,COLUMN(E$9)-1))),
SUMIF(INDIRECT(Equipo!$F$4&amp;"!B10:B1000"),$B141,INDIRECT(Equipo!$F$4&amp;"!"&amp;ADDRESS(10,COLUMN(E$9)-1)&amp;":"&amp;ADDRESS(1000,COLUMN(E$9)-1))),
SUMIF(INDIRECT(Equipo!$G$4&amp;"!B10:B1000"),$B141,INDIRECT(Equipo!$G$4&amp;"!"&amp;ADDRESS(10,COLUMN(E$9)-1)&amp;":"&amp;ADDRESS(1000,COLUMN(E$9)-1)))))</f>
        <v>-</v>
      </c>
      <c r="F141" s="19" t="str">
        <f t="array" ref="F141">IF(ISBLANK(Tareas!$B137),"-",SUM(
SUMIF(INDIRECT(Equipo!$C$4&amp;"!B10:B1000"),$B141,INDIRECT(Equipo!$C$4&amp;"!"&amp;ADDRESS(10,COLUMN(F$9)-1)&amp;":"&amp;ADDRESS(1000,COLUMN(F$9)-1))),
SUMIF(INDIRECT(Equipo!$D$4&amp;"!B10:B1000"),$B141,INDIRECT(Equipo!$D$4&amp;"!"&amp;ADDRESS(10,COLUMN(F$9)-1)&amp;":"&amp;ADDRESS(1000,COLUMN(F$9)-1))),
SUMIF(INDIRECT(Equipo!$E$4&amp;"!B10:B1000"),$B141,INDIRECT(Equipo!$E$4&amp;"!"&amp;ADDRESS(10,COLUMN(F$9)-1)&amp;":"&amp;ADDRESS(1000,COLUMN(F$9)-1))),
SUMIF(INDIRECT(Equipo!$F$4&amp;"!B10:B1000"),$B141,INDIRECT(Equipo!$F$4&amp;"!"&amp;ADDRESS(10,COLUMN(F$9)-1)&amp;":"&amp;ADDRESS(1000,COLUMN(F$9)-1))),
SUMIF(INDIRECT(Equipo!$G$4&amp;"!B10:B1000"),$B141,INDIRECT(Equipo!$G$4&amp;"!"&amp;ADDRESS(10,COLUMN(F$9)-1)&amp;":"&amp;ADDRESS(1000,COLUMN(F$9)-1)))))</f>
        <v>-</v>
      </c>
      <c r="G141" s="19" t="str">
        <f t="array" ref="G141">IF(ISBLANK(Tareas!$B137),"-",SUM(
SUMIF(INDIRECT(Equipo!$C$4&amp;"!B10:B1000"),$B141,INDIRECT(Equipo!$C$4&amp;"!"&amp;ADDRESS(10,COLUMN(G$9)-1)&amp;":"&amp;ADDRESS(1000,COLUMN(G$9)-1))),
SUMIF(INDIRECT(Equipo!$D$4&amp;"!B10:B1000"),$B141,INDIRECT(Equipo!$D$4&amp;"!"&amp;ADDRESS(10,COLUMN(G$9)-1)&amp;":"&amp;ADDRESS(1000,COLUMN(G$9)-1))),
SUMIF(INDIRECT(Equipo!$E$4&amp;"!B10:B1000"),$B141,INDIRECT(Equipo!$E$4&amp;"!"&amp;ADDRESS(10,COLUMN(G$9)-1)&amp;":"&amp;ADDRESS(1000,COLUMN(G$9)-1))),
SUMIF(INDIRECT(Equipo!$F$4&amp;"!B10:B1000"),$B141,INDIRECT(Equipo!$F$4&amp;"!"&amp;ADDRESS(10,COLUMN(G$9)-1)&amp;":"&amp;ADDRESS(1000,COLUMN(G$9)-1))),
SUMIF(INDIRECT(Equipo!$G$4&amp;"!B10:B1000"),$B141,INDIRECT(Equipo!$G$4&amp;"!"&amp;ADDRESS(10,COLUMN(G$9)-1)&amp;":"&amp;ADDRESS(1000,COLUMN(G$9)-1)))))</f>
        <v>-</v>
      </c>
      <c r="H141" s="19" t="str">
        <f t="array" ref="H141">IF(ISBLANK(Tareas!$B137),"-",SUM(
SUMIF(INDIRECT(Equipo!$C$4&amp;"!B10:B1000"),$B141,INDIRECT(Equipo!$C$4&amp;"!"&amp;ADDRESS(10,COLUMN(H$9)-1)&amp;":"&amp;ADDRESS(1000,COLUMN(H$9)-1))),
SUMIF(INDIRECT(Equipo!$D$4&amp;"!B10:B1000"),$B141,INDIRECT(Equipo!$D$4&amp;"!"&amp;ADDRESS(10,COLUMN(H$9)-1)&amp;":"&amp;ADDRESS(1000,COLUMN(H$9)-1))),
SUMIF(INDIRECT(Equipo!$E$4&amp;"!B10:B1000"),$B141,INDIRECT(Equipo!$E$4&amp;"!"&amp;ADDRESS(10,COLUMN(H$9)-1)&amp;":"&amp;ADDRESS(1000,COLUMN(H$9)-1))),
SUMIF(INDIRECT(Equipo!$F$4&amp;"!B10:B1000"),$B141,INDIRECT(Equipo!$F$4&amp;"!"&amp;ADDRESS(10,COLUMN(H$9)-1)&amp;":"&amp;ADDRESS(1000,COLUMN(H$9)-1))),
SUMIF(INDIRECT(Equipo!$G$4&amp;"!B10:B1000"),$B141,INDIRECT(Equipo!$G$4&amp;"!"&amp;ADDRESS(10,COLUMN(H$9)-1)&amp;":"&amp;ADDRESS(1000,COLUMN(H$9)-1)))))</f>
        <v>-</v>
      </c>
      <c r="I141" s="19" t="str">
        <f t="array" ref="I141">IF(ISBLANK(Tareas!$B137),"-",SUM(
SUMIF(INDIRECT(Equipo!$C$4&amp;"!B10:B1000"),$B141,INDIRECT(Equipo!$C$4&amp;"!"&amp;ADDRESS(10,COLUMN(I$9)-1)&amp;":"&amp;ADDRESS(1000,COLUMN(I$9)-1))),
SUMIF(INDIRECT(Equipo!$D$4&amp;"!B10:B1000"),$B141,INDIRECT(Equipo!$D$4&amp;"!"&amp;ADDRESS(10,COLUMN(I$9)-1)&amp;":"&amp;ADDRESS(1000,COLUMN(I$9)-1))),
SUMIF(INDIRECT(Equipo!$E$4&amp;"!B10:B1000"),$B141,INDIRECT(Equipo!$E$4&amp;"!"&amp;ADDRESS(10,COLUMN(I$9)-1)&amp;":"&amp;ADDRESS(1000,COLUMN(I$9)-1))),
SUMIF(INDIRECT(Equipo!$F$4&amp;"!B10:B1000"),$B141,INDIRECT(Equipo!$F$4&amp;"!"&amp;ADDRESS(10,COLUMN(I$9)-1)&amp;":"&amp;ADDRESS(1000,COLUMN(I$9)-1))),
SUMIF(INDIRECT(Equipo!$G$4&amp;"!B10:B1000"),$B141,INDIRECT(Equipo!$G$4&amp;"!"&amp;ADDRESS(10,COLUMN(I$9)-1)&amp;":"&amp;ADDRESS(1000,COLUMN(I$9)-1)))))</f>
        <v>-</v>
      </c>
      <c r="J141" s="19" t="str">
        <f t="array" ref="J141">IF(ISBLANK(Tareas!$B137),"-",SUM(
SUMIF(INDIRECT(Equipo!$C$4&amp;"!B10:B1000"),$B141,INDIRECT(Equipo!$C$4&amp;"!"&amp;ADDRESS(10,COLUMN(J$9)-1)&amp;":"&amp;ADDRESS(1000,COLUMN(J$9)-1))),
SUMIF(INDIRECT(Equipo!$D$4&amp;"!B10:B1000"),$B141,INDIRECT(Equipo!$D$4&amp;"!"&amp;ADDRESS(10,COLUMN(J$9)-1)&amp;":"&amp;ADDRESS(1000,COLUMN(J$9)-1))),
SUMIF(INDIRECT(Equipo!$E$4&amp;"!B10:B1000"),$B141,INDIRECT(Equipo!$E$4&amp;"!"&amp;ADDRESS(10,COLUMN(J$9)-1)&amp;":"&amp;ADDRESS(1000,COLUMN(J$9)-1))),
SUMIF(INDIRECT(Equipo!$F$4&amp;"!B10:B1000"),$B141,INDIRECT(Equipo!$F$4&amp;"!"&amp;ADDRESS(10,COLUMN(J$9)-1)&amp;":"&amp;ADDRESS(1000,COLUMN(J$9)-1))),
SUMIF(INDIRECT(Equipo!$G$4&amp;"!B10:B1000"),$B141,INDIRECT(Equipo!$G$4&amp;"!"&amp;ADDRESS(10,COLUMN(J$9)-1)&amp;":"&amp;ADDRESS(1000,COLUMN(J$9)-1)))))</f>
        <v>-</v>
      </c>
      <c r="K141" s="19" t="str">
        <f t="array" ref="K141">IF(ISBLANK(Tareas!$B137),"-",SUM(
SUMIF(INDIRECT(Equipo!$C$4&amp;"!B10:B1000"),$B141,INDIRECT(Equipo!$C$4&amp;"!"&amp;ADDRESS(10,COLUMN(K$9)-1)&amp;":"&amp;ADDRESS(1000,COLUMN(K$9)-1))),
SUMIF(INDIRECT(Equipo!$D$4&amp;"!B10:B1000"),$B141,INDIRECT(Equipo!$D$4&amp;"!"&amp;ADDRESS(10,COLUMN(K$9)-1)&amp;":"&amp;ADDRESS(1000,COLUMN(K$9)-1))),
SUMIF(INDIRECT(Equipo!$E$4&amp;"!B10:B1000"),$B141,INDIRECT(Equipo!$E$4&amp;"!"&amp;ADDRESS(10,COLUMN(K$9)-1)&amp;":"&amp;ADDRESS(1000,COLUMN(K$9)-1))),
SUMIF(INDIRECT(Equipo!$F$4&amp;"!B10:B1000"),$B141,INDIRECT(Equipo!$F$4&amp;"!"&amp;ADDRESS(10,COLUMN(K$9)-1)&amp;":"&amp;ADDRESS(1000,COLUMN(K$9)-1))),
SUMIF(INDIRECT(Equipo!$G$4&amp;"!B10:B1000"),$B141,INDIRECT(Equipo!$G$4&amp;"!"&amp;ADDRESS(10,COLUMN(K$9)-1)&amp;":"&amp;ADDRESS(1000,COLUMN(K$9)-1)))))</f>
        <v>-</v>
      </c>
    </row>
    <row r="142" ht="15.75" customHeight="1">
      <c r="B142" s="1" t="str">
        <f>IF(ISBLANK(Tareas!B138)," - ",Tareas!B138)</f>
        <v> - </v>
      </c>
      <c r="D142" s="19" t="str">
        <f t="array" ref="D142">IF(ISBLANK(Tareas!$B138),"-",SUM(
SUMIF(INDIRECT(Equipo!$C$4&amp;"!B10:B1000"),$B142,INDIRECT(Equipo!$C$4&amp;"!"&amp;ADDRESS(10,COLUMN(D$9)-1)&amp;":"&amp;ADDRESS(1000,COLUMN(D$9)-1))),
SUMIF(INDIRECT(Equipo!$D$4&amp;"!B10:B1000"),$B142,INDIRECT(Equipo!$D$4&amp;"!"&amp;ADDRESS(10,COLUMN(D$9)-1)&amp;":"&amp;ADDRESS(1000,COLUMN(D$9)-1))),
SUMIF(INDIRECT(Equipo!$E$4&amp;"!B10:B1000"),$B142,INDIRECT(Equipo!$E$4&amp;"!"&amp;ADDRESS(10,COLUMN(D$9)-1)&amp;":"&amp;ADDRESS(1000,COLUMN(D$9)-1))),
SUMIF(INDIRECT(Equipo!$F$4&amp;"!B10:B1000"),$B142,INDIRECT(Equipo!$F$4&amp;"!"&amp;ADDRESS(10,COLUMN(D$9)-1)&amp;":"&amp;ADDRESS(1000,COLUMN(D$9)-1))),
SUMIF(INDIRECT(Equipo!$G$4&amp;"!B10:B1000"),$B142,INDIRECT(Equipo!$G$4&amp;"!"&amp;ADDRESS(10,COLUMN(D$9)-1)&amp;":"&amp;ADDRESS(1000,COLUMN(D$9)-1)))))</f>
        <v>-</v>
      </c>
      <c r="E142" s="19" t="str">
        <f t="array" ref="E142">IF(ISBLANK(Tareas!$B138),"-",SUM(
SUMIF(INDIRECT(Equipo!$C$4&amp;"!B10:B1000"),$B142,INDIRECT(Equipo!$C$4&amp;"!"&amp;ADDRESS(10,COLUMN(E$9)-1)&amp;":"&amp;ADDRESS(1000,COLUMN(E$9)-1))),
SUMIF(INDIRECT(Equipo!$D$4&amp;"!B10:B1000"),$B142,INDIRECT(Equipo!$D$4&amp;"!"&amp;ADDRESS(10,COLUMN(E$9)-1)&amp;":"&amp;ADDRESS(1000,COLUMN(E$9)-1))),
SUMIF(INDIRECT(Equipo!$E$4&amp;"!B10:B1000"),$B142,INDIRECT(Equipo!$E$4&amp;"!"&amp;ADDRESS(10,COLUMN(E$9)-1)&amp;":"&amp;ADDRESS(1000,COLUMN(E$9)-1))),
SUMIF(INDIRECT(Equipo!$F$4&amp;"!B10:B1000"),$B142,INDIRECT(Equipo!$F$4&amp;"!"&amp;ADDRESS(10,COLUMN(E$9)-1)&amp;":"&amp;ADDRESS(1000,COLUMN(E$9)-1))),
SUMIF(INDIRECT(Equipo!$G$4&amp;"!B10:B1000"),$B142,INDIRECT(Equipo!$G$4&amp;"!"&amp;ADDRESS(10,COLUMN(E$9)-1)&amp;":"&amp;ADDRESS(1000,COLUMN(E$9)-1)))))</f>
        <v>-</v>
      </c>
      <c r="F142" s="19" t="str">
        <f t="array" ref="F142">IF(ISBLANK(Tareas!$B138),"-",SUM(
SUMIF(INDIRECT(Equipo!$C$4&amp;"!B10:B1000"),$B142,INDIRECT(Equipo!$C$4&amp;"!"&amp;ADDRESS(10,COLUMN(F$9)-1)&amp;":"&amp;ADDRESS(1000,COLUMN(F$9)-1))),
SUMIF(INDIRECT(Equipo!$D$4&amp;"!B10:B1000"),$B142,INDIRECT(Equipo!$D$4&amp;"!"&amp;ADDRESS(10,COLUMN(F$9)-1)&amp;":"&amp;ADDRESS(1000,COLUMN(F$9)-1))),
SUMIF(INDIRECT(Equipo!$E$4&amp;"!B10:B1000"),$B142,INDIRECT(Equipo!$E$4&amp;"!"&amp;ADDRESS(10,COLUMN(F$9)-1)&amp;":"&amp;ADDRESS(1000,COLUMN(F$9)-1))),
SUMIF(INDIRECT(Equipo!$F$4&amp;"!B10:B1000"),$B142,INDIRECT(Equipo!$F$4&amp;"!"&amp;ADDRESS(10,COLUMN(F$9)-1)&amp;":"&amp;ADDRESS(1000,COLUMN(F$9)-1))),
SUMIF(INDIRECT(Equipo!$G$4&amp;"!B10:B1000"),$B142,INDIRECT(Equipo!$G$4&amp;"!"&amp;ADDRESS(10,COLUMN(F$9)-1)&amp;":"&amp;ADDRESS(1000,COLUMN(F$9)-1)))))</f>
        <v>-</v>
      </c>
      <c r="G142" s="19" t="str">
        <f t="array" ref="G142">IF(ISBLANK(Tareas!$B138),"-",SUM(
SUMIF(INDIRECT(Equipo!$C$4&amp;"!B10:B1000"),$B142,INDIRECT(Equipo!$C$4&amp;"!"&amp;ADDRESS(10,COLUMN(G$9)-1)&amp;":"&amp;ADDRESS(1000,COLUMN(G$9)-1))),
SUMIF(INDIRECT(Equipo!$D$4&amp;"!B10:B1000"),$B142,INDIRECT(Equipo!$D$4&amp;"!"&amp;ADDRESS(10,COLUMN(G$9)-1)&amp;":"&amp;ADDRESS(1000,COLUMN(G$9)-1))),
SUMIF(INDIRECT(Equipo!$E$4&amp;"!B10:B1000"),$B142,INDIRECT(Equipo!$E$4&amp;"!"&amp;ADDRESS(10,COLUMN(G$9)-1)&amp;":"&amp;ADDRESS(1000,COLUMN(G$9)-1))),
SUMIF(INDIRECT(Equipo!$F$4&amp;"!B10:B1000"),$B142,INDIRECT(Equipo!$F$4&amp;"!"&amp;ADDRESS(10,COLUMN(G$9)-1)&amp;":"&amp;ADDRESS(1000,COLUMN(G$9)-1))),
SUMIF(INDIRECT(Equipo!$G$4&amp;"!B10:B1000"),$B142,INDIRECT(Equipo!$G$4&amp;"!"&amp;ADDRESS(10,COLUMN(G$9)-1)&amp;":"&amp;ADDRESS(1000,COLUMN(G$9)-1)))))</f>
        <v>-</v>
      </c>
      <c r="H142" s="19" t="str">
        <f t="array" ref="H142">IF(ISBLANK(Tareas!$B138),"-",SUM(
SUMIF(INDIRECT(Equipo!$C$4&amp;"!B10:B1000"),$B142,INDIRECT(Equipo!$C$4&amp;"!"&amp;ADDRESS(10,COLUMN(H$9)-1)&amp;":"&amp;ADDRESS(1000,COLUMN(H$9)-1))),
SUMIF(INDIRECT(Equipo!$D$4&amp;"!B10:B1000"),$B142,INDIRECT(Equipo!$D$4&amp;"!"&amp;ADDRESS(10,COLUMN(H$9)-1)&amp;":"&amp;ADDRESS(1000,COLUMN(H$9)-1))),
SUMIF(INDIRECT(Equipo!$E$4&amp;"!B10:B1000"),$B142,INDIRECT(Equipo!$E$4&amp;"!"&amp;ADDRESS(10,COLUMN(H$9)-1)&amp;":"&amp;ADDRESS(1000,COLUMN(H$9)-1))),
SUMIF(INDIRECT(Equipo!$F$4&amp;"!B10:B1000"),$B142,INDIRECT(Equipo!$F$4&amp;"!"&amp;ADDRESS(10,COLUMN(H$9)-1)&amp;":"&amp;ADDRESS(1000,COLUMN(H$9)-1))),
SUMIF(INDIRECT(Equipo!$G$4&amp;"!B10:B1000"),$B142,INDIRECT(Equipo!$G$4&amp;"!"&amp;ADDRESS(10,COLUMN(H$9)-1)&amp;":"&amp;ADDRESS(1000,COLUMN(H$9)-1)))))</f>
        <v>-</v>
      </c>
      <c r="I142" s="19" t="str">
        <f t="array" ref="I142">IF(ISBLANK(Tareas!$B138),"-",SUM(
SUMIF(INDIRECT(Equipo!$C$4&amp;"!B10:B1000"),$B142,INDIRECT(Equipo!$C$4&amp;"!"&amp;ADDRESS(10,COLUMN(I$9)-1)&amp;":"&amp;ADDRESS(1000,COLUMN(I$9)-1))),
SUMIF(INDIRECT(Equipo!$D$4&amp;"!B10:B1000"),$B142,INDIRECT(Equipo!$D$4&amp;"!"&amp;ADDRESS(10,COLUMN(I$9)-1)&amp;":"&amp;ADDRESS(1000,COLUMN(I$9)-1))),
SUMIF(INDIRECT(Equipo!$E$4&amp;"!B10:B1000"),$B142,INDIRECT(Equipo!$E$4&amp;"!"&amp;ADDRESS(10,COLUMN(I$9)-1)&amp;":"&amp;ADDRESS(1000,COLUMN(I$9)-1))),
SUMIF(INDIRECT(Equipo!$F$4&amp;"!B10:B1000"),$B142,INDIRECT(Equipo!$F$4&amp;"!"&amp;ADDRESS(10,COLUMN(I$9)-1)&amp;":"&amp;ADDRESS(1000,COLUMN(I$9)-1))),
SUMIF(INDIRECT(Equipo!$G$4&amp;"!B10:B1000"),$B142,INDIRECT(Equipo!$G$4&amp;"!"&amp;ADDRESS(10,COLUMN(I$9)-1)&amp;":"&amp;ADDRESS(1000,COLUMN(I$9)-1)))))</f>
        <v>-</v>
      </c>
      <c r="J142" s="19" t="str">
        <f t="array" ref="J142">IF(ISBLANK(Tareas!$B138),"-",SUM(
SUMIF(INDIRECT(Equipo!$C$4&amp;"!B10:B1000"),$B142,INDIRECT(Equipo!$C$4&amp;"!"&amp;ADDRESS(10,COLUMN(J$9)-1)&amp;":"&amp;ADDRESS(1000,COLUMN(J$9)-1))),
SUMIF(INDIRECT(Equipo!$D$4&amp;"!B10:B1000"),$B142,INDIRECT(Equipo!$D$4&amp;"!"&amp;ADDRESS(10,COLUMN(J$9)-1)&amp;":"&amp;ADDRESS(1000,COLUMN(J$9)-1))),
SUMIF(INDIRECT(Equipo!$E$4&amp;"!B10:B1000"),$B142,INDIRECT(Equipo!$E$4&amp;"!"&amp;ADDRESS(10,COLUMN(J$9)-1)&amp;":"&amp;ADDRESS(1000,COLUMN(J$9)-1))),
SUMIF(INDIRECT(Equipo!$F$4&amp;"!B10:B1000"),$B142,INDIRECT(Equipo!$F$4&amp;"!"&amp;ADDRESS(10,COLUMN(J$9)-1)&amp;":"&amp;ADDRESS(1000,COLUMN(J$9)-1))),
SUMIF(INDIRECT(Equipo!$G$4&amp;"!B10:B1000"),$B142,INDIRECT(Equipo!$G$4&amp;"!"&amp;ADDRESS(10,COLUMN(J$9)-1)&amp;":"&amp;ADDRESS(1000,COLUMN(J$9)-1)))))</f>
        <v>-</v>
      </c>
      <c r="K142" s="19" t="str">
        <f t="array" ref="K142">IF(ISBLANK(Tareas!$B138),"-",SUM(
SUMIF(INDIRECT(Equipo!$C$4&amp;"!B10:B1000"),$B142,INDIRECT(Equipo!$C$4&amp;"!"&amp;ADDRESS(10,COLUMN(K$9)-1)&amp;":"&amp;ADDRESS(1000,COLUMN(K$9)-1))),
SUMIF(INDIRECT(Equipo!$D$4&amp;"!B10:B1000"),$B142,INDIRECT(Equipo!$D$4&amp;"!"&amp;ADDRESS(10,COLUMN(K$9)-1)&amp;":"&amp;ADDRESS(1000,COLUMN(K$9)-1))),
SUMIF(INDIRECT(Equipo!$E$4&amp;"!B10:B1000"),$B142,INDIRECT(Equipo!$E$4&amp;"!"&amp;ADDRESS(10,COLUMN(K$9)-1)&amp;":"&amp;ADDRESS(1000,COLUMN(K$9)-1))),
SUMIF(INDIRECT(Equipo!$F$4&amp;"!B10:B1000"),$B142,INDIRECT(Equipo!$F$4&amp;"!"&amp;ADDRESS(10,COLUMN(K$9)-1)&amp;":"&amp;ADDRESS(1000,COLUMN(K$9)-1))),
SUMIF(INDIRECT(Equipo!$G$4&amp;"!B10:B1000"),$B142,INDIRECT(Equipo!$G$4&amp;"!"&amp;ADDRESS(10,COLUMN(K$9)-1)&amp;":"&amp;ADDRESS(1000,COLUMN(K$9)-1)))))</f>
        <v>-</v>
      </c>
    </row>
    <row r="143" ht="15.75" customHeight="1">
      <c r="B143" s="1" t="str">
        <f>IF(ISBLANK(Tareas!B139)," - ",Tareas!B139)</f>
        <v> - </v>
      </c>
      <c r="D143" s="19" t="str">
        <f t="array" ref="D143">IF(ISBLANK(Tareas!$B139),"-",SUM(
SUMIF(INDIRECT(Equipo!$C$4&amp;"!B10:B1000"),$B143,INDIRECT(Equipo!$C$4&amp;"!"&amp;ADDRESS(10,COLUMN(D$9)-1)&amp;":"&amp;ADDRESS(1000,COLUMN(D$9)-1))),
SUMIF(INDIRECT(Equipo!$D$4&amp;"!B10:B1000"),$B143,INDIRECT(Equipo!$D$4&amp;"!"&amp;ADDRESS(10,COLUMN(D$9)-1)&amp;":"&amp;ADDRESS(1000,COLUMN(D$9)-1))),
SUMIF(INDIRECT(Equipo!$E$4&amp;"!B10:B1000"),$B143,INDIRECT(Equipo!$E$4&amp;"!"&amp;ADDRESS(10,COLUMN(D$9)-1)&amp;":"&amp;ADDRESS(1000,COLUMN(D$9)-1))),
SUMIF(INDIRECT(Equipo!$F$4&amp;"!B10:B1000"),$B143,INDIRECT(Equipo!$F$4&amp;"!"&amp;ADDRESS(10,COLUMN(D$9)-1)&amp;":"&amp;ADDRESS(1000,COLUMN(D$9)-1))),
SUMIF(INDIRECT(Equipo!$G$4&amp;"!B10:B1000"),$B143,INDIRECT(Equipo!$G$4&amp;"!"&amp;ADDRESS(10,COLUMN(D$9)-1)&amp;":"&amp;ADDRESS(1000,COLUMN(D$9)-1)))))</f>
        <v>-</v>
      </c>
      <c r="E143" s="19" t="str">
        <f t="array" ref="E143">IF(ISBLANK(Tareas!$B139),"-",SUM(
SUMIF(INDIRECT(Equipo!$C$4&amp;"!B10:B1000"),$B143,INDIRECT(Equipo!$C$4&amp;"!"&amp;ADDRESS(10,COLUMN(E$9)-1)&amp;":"&amp;ADDRESS(1000,COLUMN(E$9)-1))),
SUMIF(INDIRECT(Equipo!$D$4&amp;"!B10:B1000"),$B143,INDIRECT(Equipo!$D$4&amp;"!"&amp;ADDRESS(10,COLUMN(E$9)-1)&amp;":"&amp;ADDRESS(1000,COLUMN(E$9)-1))),
SUMIF(INDIRECT(Equipo!$E$4&amp;"!B10:B1000"),$B143,INDIRECT(Equipo!$E$4&amp;"!"&amp;ADDRESS(10,COLUMN(E$9)-1)&amp;":"&amp;ADDRESS(1000,COLUMN(E$9)-1))),
SUMIF(INDIRECT(Equipo!$F$4&amp;"!B10:B1000"),$B143,INDIRECT(Equipo!$F$4&amp;"!"&amp;ADDRESS(10,COLUMN(E$9)-1)&amp;":"&amp;ADDRESS(1000,COLUMN(E$9)-1))),
SUMIF(INDIRECT(Equipo!$G$4&amp;"!B10:B1000"),$B143,INDIRECT(Equipo!$G$4&amp;"!"&amp;ADDRESS(10,COLUMN(E$9)-1)&amp;":"&amp;ADDRESS(1000,COLUMN(E$9)-1)))))</f>
        <v>-</v>
      </c>
      <c r="F143" s="19" t="str">
        <f t="array" ref="F143">IF(ISBLANK(Tareas!$B139),"-",SUM(
SUMIF(INDIRECT(Equipo!$C$4&amp;"!B10:B1000"),$B143,INDIRECT(Equipo!$C$4&amp;"!"&amp;ADDRESS(10,COLUMN(F$9)-1)&amp;":"&amp;ADDRESS(1000,COLUMN(F$9)-1))),
SUMIF(INDIRECT(Equipo!$D$4&amp;"!B10:B1000"),$B143,INDIRECT(Equipo!$D$4&amp;"!"&amp;ADDRESS(10,COLUMN(F$9)-1)&amp;":"&amp;ADDRESS(1000,COLUMN(F$9)-1))),
SUMIF(INDIRECT(Equipo!$E$4&amp;"!B10:B1000"),$B143,INDIRECT(Equipo!$E$4&amp;"!"&amp;ADDRESS(10,COLUMN(F$9)-1)&amp;":"&amp;ADDRESS(1000,COLUMN(F$9)-1))),
SUMIF(INDIRECT(Equipo!$F$4&amp;"!B10:B1000"),$B143,INDIRECT(Equipo!$F$4&amp;"!"&amp;ADDRESS(10,COLUMN(F$9)-1)&amp;":"&amp;ADDRESS(1000,COLUMN(F$9)-1))),
SUMIF(INDIRECT(Equipo!$G$4&amp;"!B10:B1000"),$B143,INDIRECT(Equipo!$G$4&amp;"!"&amp;ADDRESS(10,COLUMN(F$9)-1)&amp;":"&amp;ADDRESS(1000,COLUMN(F$9)-1)))))</f>
        <v>-</v>
      </c>
      <c r="G143" s="19" t="str">
        <f t="array" ref="G143">IF(ISBLANK(Tareas!$B139),"-",SUM(
SUMIF(INDIRECT(Equipo!$C$4&amp;"!B10:B1000"),$B143,INDIRECT(Equipo!$C$4&amp;"!"&amp;ADDRESS(10,COLUMN(G$9)-1)&amp;":"&amp;ADDRESS(1000,COLUMN(G$9)-1))),
SUMIF(INDIRECT(Equipo!$D$4&amp;"!B10:B1000"),$B143,INDIRECT(Equipo!$D$4&amp;"!"&amp;ADDRESS(10,COLUMN(G$9)-1)&amp;":"&amp;ADDRESS(1000,COLUMN(G$9)-1))),
SUMIF(INDIRECT(Equipo!$E$4&amp;"!B10:B1000"),$B143,INDIRECT(Equipo!$E$4&amp;"!"&amp;ADDRESS(10,COLUMN(G$9)-1)&amp;":"&amp;ADDRESS(1000,COLUMN(G$9)-1))),
SUMIF(INDIRECT(Equipo!$F$4&amp;"!B10:B1000"),$B143,INDIRECT(Equipo!$F$4&amp;"!"&amp;ADDRESS(10,COLUMN(G$9)-1)&amp;":"&amp;ADDRESS(1000,COLUMN(G$9)-1))),
SUMIF(INDIRECT(Equipo!$G$4&amp;"!B10:B1000"),$B143,INDIRECT(Equipo!$G$4&amp;"!"&amp;ADDRESS(10,COLUMN(G$9)-1)&amp;":"&amp;ADDRESS(1000,COLUMN(G$9)-1)))))</f>
        <v>-</v>
      </c>
      <c r="H143" s="19" t="str">
        <f t="array" ref="H143">IF(ISBLANK(Tareas!$B139),"-",SUM(
SUMIF(INDIRECT(Equipo!$C$4&amp;"!B10:B1000"),$B143,INDIRECT(Equipo!$C$4&amp;"!"&amp;ADDRESS(10,COLUMN(H$9)-1)&amp;":"&amp;ADDRESS(1000,COLUMN(H$9)-1))),
SUMIF(INDIRECT(Equipo!$D$4&amp;"!B10:B1000"),$B143,INDIRECT(Equipo!$D$4&amp;"!"&amp;ADDRESS(10,COLUMN(H$9)-1)&amp;":"&amp;ADDRESS(1000,COLUMN(H$9)-1))),
SUMIF(INDIRECT(Equipo!$E$4&amp;"!B10:B1000"),$B143,INDIRECT(Equipo!$E$4&amp;"!"&amp;ADDRESS(10,COLUMN(H$9)-1)&amp;":"&amp;ADDRESS(1000,COLUMN(H$9)-1))),
SUMIF(INDIRECT(Equipo!$F$4&amp;"!B10:B1000"),$B143,INDIRECT(Equipo!$F$4&amp;"!"&amp;ADDRESS(10,COLUMN(H$9)-1)&amp;":"&amp;ADDRESS(1000,COLUMN(H$9)-1))),
SUMIF(INDIRECT(Equipo!$G$4&amp;"!B10:B1000"),$B143,INDIRECT(Equipo!$G$4&amp;"!"&amp;ADDRESS(10,COLUMN(H$9)-1)&amp;":"&amp;ADDRESS(1000,COLUMN(H$9)-1)))))</f>
        <v>-</v>
      </c>
      <c r="I143" s="19" t="str">
        <f t="array" ref="I143">IF(ISBLANK(Tareas!$B139),"-",SUM(
SUMIF(INDIRECT(Equipo!$C$4&amp;"!B10:B1000"),$B143,INDIRECT(Equipo!$C$4&amp;"!"&amp;ADDRESS(10,COLUMN(I$9)-1)&amp;":"&amp;ADDRESS(1000,COLUMN(I$9)-1))),
SUMIF(INDIRECT(Equipo!$D$4&amp;"!B10:B1000"),$B143,INDIRECT(Equipo!$D$4&amp;"!"&amp;ADDRESS(10,COLUMN(I$9)-1)&amp;":"&amp;ADDRESS(1000,COLUMN(I$9)-1))),
SUMIF(INDIRECT(Equipo!$E$4&amp;"!B10:B1000"),$B143,INDIRECT(Equipo!$E$4&amp;"!"&amp;ADDRESS(10,COLUMN(I$9)-1)&amp;":"&amp;ADDRESS(1000,COLUMN(I$9)-1))),
SUMIF(INDIRECT(Equipo!$F$4&amp;"!B10:B1000"),$B143,INDIRECT(Equipo!$F$4&amp;"!"&amp;ADDRESS(10,COLUMN(I$9)-1)&amp;":"&amp;ADDRESS(1000,COLUMN(I$9)-1))),
SUMIF(INDIRECT(Equipo!$G$4&amp;"!B10:B1000"),$B143,INDIRECT(Equipo!$G$4&amp;"!"&amp;ADDRESS(10,COLUMN(I$9)-1)&amp;":"&amp;ADDRESS(1000,COLUMN(I$9)-1)))))</f>
        <v>-</v>
      </c>
      <c r="J143" s="19" t="str">
        <f t="array" ref="J143">IF(ISBLANK(Tareas!$B139),"-",SUM(
SUMIF(INDIRECT(Equipo!$C$4&amp;"!B10:B1000"),$B143,INDIRECT(Equipo!$C$4&amp;"!"&amp;ADDRESS(10,COLUMN(J$9)-1)&amp;":"&amp;ADDRESS(1000,COLUMN(J$9)-1))),
SUMIF(INDIRECT(Equipo!$D$4&amp;"!B10:B1000"),$B143,INDIRECT(Equipo!$D$4&amp;"!"&amp;ADDRESS(10,COLUMN(J$9)-1)&amp;":"&amp;ADDRESS(1000,COLUMN(J$9)-1))),
SUMIF(INDIRECT(Equipo!$E$4&amp;"!B10:B1000"),$B143,INDIRECT(Equipo!$E$4&amp;"!"&amp;ADDRESS(10,COLUMN(J$9)-1)&amp;":"&amp;ADDRESS(1000,COLUMN(J$9)-1))),
SUMIF(INDIRECT(Equipo!$F$4&amp;"!B10:B1000"),$B143,INDIRECT(Equipo!$F$4&amp;"!"&amp;ADDRESS(10,COLUMN(J$9)-1)&amp;":"&amp;ADDRESS(1000,COLUMN(J$9)-1))),
SUMIF(INDIRECT(Equipo!$G$4&amp;"!B10:B1000"),$B143,INDIRECT(Equipo!$G$4&amp;"!"&amp;ADDRESS(10,COLUMN(J$9)-1)&amp;":"&amp;ADDRESS(1000,COLUMN(J$9)-1)))))</f>
        <v>-</v>
      </c>
      <c r="K143" s="19" t="str">
        <f t="array" ref="K143">IF(ISBLANK(Tareas!$B139),"-",SUM(
SUMIF(INDIRECT(Equipo!$C$4&amp;"!B10:B1000"),$B143,INDIRECT(Equipo!$C$4&amp;"!"&amp;ADDRESS(10,COLUMN(K$9)-1)&amp;":"&amp;ADDRESS(1000,COLUMN(K$9)-1))),
SUMIF(INDIRECT(Equipo!$D$4&amp;"!B10:B1000"),$B143,INDIRECT(Equipo!$D$4&amp;"!"&amp;ADDRESS(10,COLUMN(K$9)-1)&amp;":"&amp;ADDRESS(1000,COLUMN(K$9)-1))),
SUMIF(INDIRECT(Equipo!$E$4&amp;"!B10:B1000"),$B143,INDIRECT(Equipo!$E$4&amp;"!"&amp;ADDRESS(10,COLUMN(K$9)-1)&amp;":"&amp;ADDRESS(1000,COLUMN(K$9)-1))),
SUMIF(INDIRECT(Equipo!$F$4&amp;"!B10:B1000"),$B143,INDIRECT(Equipo!$F$4&amp;"!"&amp;ADDRESS(10,COLUMN(K$9)-1)&amp;":"&amp;ADDRESS(1000,COLUMN(K$9)-1))),
SUMIF(INDIRECT(Equipo!$G$4&amp;"!B10:B1000"),$B143,INDIRECT(Equipo!$G$4&amp;"!"&amp;ADDRESS(10,COLUMN(K$9)-1)&amp;":"&amp;ADDRESS(1000,COLUMN(K$9)-1)))))</f>
        <v>-</v>
      </c>
    </row>
    <row r="144" ht="15.75" customHeight="1">
      <c r="B144" s="1" t="str">
        <f>IF(ISBLANK(Tareas!B140)," - ",Tareas!B140)</f>
        <v> - </v>
      </c>
      <c r="D144" s="19" t="str">
        <f t="array" ref="D144">IF(ISBLANK(Tareas!$B140),"-",SUM(
SUMIF(INDIRECT(Equipo!$C$4&amp;"!B10:B1000"),$B144,INDIRECT(Equipo!$C$4&amp;"!"&amp;ADDRESS(10,COLUMN(D$9)-1)&amp;":"&amp;ADDRESS(1000,COLUMN(D$9)-1))),
SUMIF(INDIRECT(Equipo!$D$4&amp;"!B10:B1000"),$B144,INDIRECT(Equipo!$D$4&amp;"!"&amp;ADDRESS(10,COLUMN(D$9)-1)&amp;":"&amp;ADDRESS(1000,COLUMN(D$9)-1))),
SUMIF(INDIRECT(Equipo!$E$4&amp;"!B10:B1000"),$B144,INDIRECT(Equipo!$E$4&amp;"!"&amp;ADDRESS(10,COLUMN(D$9)-1)&amp;":"&amp;ADDRESS(1000,COLUMN(D$9)-1))),
SUMIF(INDIRECT(Equipo!$F$4&amp;"!B10:B1000"),$B144,INDIRECT(Equipo!$F$4&amp;"!"&amp;ADDRESS(10,COLUMN(D$9)-1)&amp;":"&amp;ADDRESS(1000,COLUMN(D$9)-1))),
SUMIF(INDIRECT(Equipo!$G$4&amp;"!B10:B1000"),$B144,INDIRECT(Equipo!$G$4&amp;"!"&amp;ADDRESS(10,COLUMN(D$9)-1)&amp;":"&amp;ADDRESS(1000,COLUMN(D$9)-1)))))</f>
        <v>-</v>
      </c>
      <c r="E144" s="19" t="str">
        <f t="array" ref="E144">IF(ISBLANK(Tareas!$B140),"-",SUM(
SUMIF(INDIRECT(Equipo!$C$4&amp;"!B10:B1000"),$B144,INDIRECT(Equipo!$C$4&amp;"!"&amp;ADDRESS(10,COLUMN(E$9)-1)&amp;":"&amp;ADDRESS(1000,COLUMN(E$9)-1))),
SUMIF(INDIRECT(Equipo!$D$4&amp;"!B10:B1000"),$B144,INDIRECT(Equipo!$D$4&amp;"!"&amp;ADDRESS(10,COLUMN(E$9)-1)&amp;":"&amp;ADDRESS(1000,COLUMN(E$9)-1))),
SUMIF(INDIRECT(Equipo!$E$4&amp;"!B10:B1000"),$B144,INDIRECT(Equipo!$E$4&amp;"!"&amp;ADDRESS(10,COLUMN(E$9)-1)&amp;":"&amp;ADDRESS(1000,COLUMN(E$9)-1))),
SUMIF(INDIRECT(Equipo!$F$4&amp;"!B10:B1000"),$B144,INDIRECT(Equipo!$F$4&amp;"!"&amp;ADDRESS(10,COLUMN(E$9)-1)&amp;":"&amp;ADDRESS(1000,COLUMN(E$9)-1))),
SUMIF(INDIRECT(Equipo!$G$4&amp;"!B10:B1000"),$B144,INDIRECT(Equipo!$G$4&amp;"!"&amp;ADDRESS(10,COLUMN(E$9)-1)&amp;":"&amp;ADDRESS(1000,COLUMN(E$9)-1)))))</f>
        <v>-</v>
      </c>
      <c r="F144" s="19" t="str">
        <f t="array" ref="F144">IF(ISBLANK(Tareas!$B140),"-",SUM(
SUMIF(INDIRECT(Equipo!$C$4&amp;"!B10:B1000"),$B144,INDIRECT(Equipo!$C$4&amp;"!"&amp;ADDRESS(10,COLUMN(F$9)-1)&amp;":"&amp;ADDRESS(1000,COLUMN(F$9)-1))),
SUMIF(INDIRECT(Equipo!$D$4&amp;"!B10:B1000"),$B144,INDIRECT(Equipo!$D$4&amp;"!"&amp;ADDRESS(10,COLUMN(F$9)-1)&amp;":"&amp;ADDRESS(1000,COLUMN(F$9)-1))),
SUMIF(INDIRECT(Equipo!$E$4&amp;"!B10:B1000"),$B144,INDIRECT(Equipo!$E$4&amp;"!"&amp;ADDRESS(10,COLUMN(F$9)-1)&amp;":"&amp;ADDRESS(1000,COLUMN(F$9)-1))),
SUMIF(INDIRECT(Equipo!$F$4&amp;"!B10:B1000"),$B144,INDIRECT(Equipo!$F$4&amp;"!"&amp;ADDRESS(10,COLUMN(F$9)-1)&amp;":"&amp;ADDRESS(1000,COLUMN(F$9)-1))),
SUMIF(INDIRECT(Equipo!$G$4&amp;"!B10:B1000"),$B144,INDIRECT(Equipo!$G$4&amp;"!"&amp;ADDRESS(10,COLUMN(F$9)-1)&amp;":"&amp;ADDRESS(1000,COLUMN(F$9)-1)))))</f>
        <v>-</v>
      </c>
      <c r="G144" s="19" t="str">
        <f t="array" ref="G144">IF(ISBLANK(Tareas!$B140),"-",SUM(
SUMIF(INDIRECT(Equipo!$C$4&amp;"!B10:B1000"),$B144,INDIRECT(Equipo!$C$4&amp;"!"&amp;ADDRESS(10,COLUMN(G$9)-1)&amp;":"&amp;ADDRESS(1000,COLUMN(G$9)-1))),
SUMIF(INDIRECT(Equipo!$D$4&amp;"!B10:B1000"),$B144,INDIRECT(Equipo!$D$4&amp;"!"&amp;ADDRESS(10,COLUMN(G$9)-1)&amp;":"&amp;ADDRESS(1000,COLUMN(G$9)-1))),
SUMIF(INDIRECT(Equipo!$E$4&amp;"!B10:B1000"),$B144,INDIRECT(Equipo!$E$4&amp;"!"&amp;ADDRESS(10,COLUMN(G$9)-1)&amp;":"&amp;ADDRESS(1000,COLUMN(G$9)-1))),
SUMIF(INDIRECT(Equipo!$F$4&amp;"!B10:B1000"),$B144,INDIRECT(Equipo!$F$4&amp;"!"&amp;ADDRESS(10,COLUMN(G$9)-1)&amp;":"&amp;ADDRESS(1000,COLUMN(G$9)-1))),
SUMIF(INDIRECT(Equipo!$G$4&amp;"!B10:B1000"),$B144,INDIRECT(Equipo!$G$4&amp;"!"&amp;ADDRESS(10,COLUMN(G$9)-1)&amp;":"&amp;ADDRESS(1000,COLUMN(G$9)-1)))))</f>
        <v>-</v>
      </c>
      <c r="H144" s="19" t="str">
        <f t="array" ref="H144">IF(ISBLANK(Tareas!$B140),"-",SUM(
SUMIF(INDIRECT(Equipo!$C$4&amp;"!B10:B1000"),$B144,INDIRECT(Equipo!$C$4&amp;"!"&amp;ADDRESS(10,COLUMN(H$9)-1)&amp;":"&amp;ADDRESS(1000,COLUMN(H$9)-1))),
SUMIF(INDIRECT(Equipo!$D$4&amp;"!B10:B1000"),$B144,INDIRECT(Equipo!$D$4&amp;"!"&amp;ADDRESS(10,COLUMN(H$9)-1)&amp;":"&amp;ADDRESS(1000,COLUMN(H$9)-1))),
SUMIF(INDIRECT(Equipo!$E$4&amp;"!B10:B1000"),$B144,INDIRECT(Equipo!$E$4&amp;"!"&amp;ADDRESS(10,COLUMN(H$9)-1)&amp;":"&amp;ADDRESS(1000,COLUMN(H$9)-1))),
SUMIF(INDIRECT(Equipo!$F$4&amp;"!B10:B1000"),$B144,INDIRECT(Equipo!$F$4&amp;"!"&amp;ADDRESS(10,COLUMN(H$9)-1)&amp;":"&amp;ADDRESS(1000,COLUMN(H$9)-1))),
SUMIF(INDIRECT(Equipo!$G$4&amp;"!B10:B1000"),$B144,INDIRECT(Equipo!$G$4&amp;"!"&amp;ADDRESS(10,COLUMN(H$9)-1)&amp;":"&amp;ADDRESS(1000,COLUMN(H$9)-1)))))</f>
        <v>-</v>
      </c>
      <c r="I144" s="19" t="str">
        <f t="array" ref="I144">IF(ISBLANK(Tareas!$B140),"-",SUM(
SUMIF(INDIRECT(Equipo!$C$4&amp;"!B10:B1000"),$B144,INDIRECT(Equipo!$C$4&amp;"!"&amp;ADDRESS(10,COLUMN(I$9)-1)&amp;":"&amp;ADDRESS(1000,COLUMN(I$9)-1))),
SUMIF(INDIRECT(Equipo!$D$4&amp;"!B10:B1000"),$B144,INDIRECT(Equipo!$D$4&amp;"!"&amp;ADDRESS(10,COLUMN(I$9)-1)&amp;":"&amp;ADDRESS(1000,COLUMN(I$9)-1))),
SUMIF(INDIRECT(Equipo!$E$4&amp;"!B10:B1000"),$B144,INDIRECT(Equipo!$E$4&amp;"!"&amp;ADDRESS(10,COLUMN(I$9)-1)&amp;":"&amp;ADDRESS(1000,COLUMN(I$9)-1))),
SUMIF(INDIRECT(Equipo!$F$4&amp;"!B10:B1000"),$B144,INDIRECT(Equipo!$F$4&amp;"!"&amp;ADDRESS(10,COLUMN(I$9)-1)&amp;":"&amp;ADDRESS(1000,COLUMN(I$9)-1))),
SUMIF(INDIRECT(Equipo!$G$4&amp;"!B10:B1000"),$B144,INDIRECT(Equipo!$G$4&amp;"!"&amp;ADDRESS(10,COLUMN(I$9)-1)&amp;":"&amp;ADDRESS(1000,COLUMN(I$9)-1)))))</f>
        <v>-</v>
      </c>
      <c r="J144" s="19" t="str">
        <f t="array" ref="J144">IF(ISBLANK(Tareas!$B140),"-",SUM(
SUMIF(INDIRECT(Equipo!$C$4&amp;"!B10:B1000"),$B144,INDIRECT(Equipo!$C$4&amp;"!"&amp;ADDRESS(10,COLUMN(J$9)-1)&amp;":"&amp;ADDRESS(1000,COLUMN(J$9)-1))),
SUMIF(INDIRECT(Equipo!$D$4&amp;"!B10:B1000"),$B144,INDIRECT(Equipo!$D$4&amp;"!"&amp;ADDRESS(10,COLUMN(J$9)-1)&amp;":"&amp;ADDRESS(1000,COLUMN(J$9)-1))),
SUMIF(INDIRECT(Equipo!$E$4&amp;"!B10:B1000"),$B144,INDIRECT(Equipo!$E$4&amp;"!"&amp;ADDRESS(10,COLUMN(J$9)-1)&amp;":"&amp;ADDRESS(1000,COLUMN(J$9)-1))),
SUMIF(INDIRECT(Equipo!$F$4&amp;"!B10:B1000"),$B144,INDIRECT(Equipo!$F$4&amp;"!"&amp;ADDRESS(10,COLUMN(J$9)-1)&amp;":"&amp;ADDRESS(1000,COLUMN(J$9)-1))),
SUMIF(INDIRECT(Equipo!$G$4&amp;"!B10:B1000"),$B144,INDIRECT(Equipo!$G$4&amp;"!"&amp;ADDRESS(10,COLUMN(J$9)-1)&amp;":"&amp;ADDRESS(1000,COLUMN(J$9)-1)))))</f>
        <v>-</v>
      </c>
      <c r="K144" s="19" t="str">
        <f t="array" ref="K144">IF(ISBLANK(Tareas!$B140),"-",SUM(
SUMIF(INDIRECT(Equipo!$C$4&amp;"!B10:B1000"),$B144,INDIRECT(Equipo!$C$4&amp;"!"&amp;ADDRESS(10,COLUMN(K$9)-1)&amp;":"&amp;ADDRESS(1000,COLUMN(K$9)-1))),
SUMIF(INDIRECT(Equipo!$D$4&amp;"!B10:B1000"),$B144,INDIRECT(Equipo!$D$4&amp;"!"&amp;ADDRESS(10,COLUMN(K$9)-1)&amp;":"&amp;ADDRESS(1000,COLUMN(K$9)-1))),
SUMIF(INDIRECT(Equipo!$E$4&amp;"!B10:B1000"),$B144,INDIRECT(Equipo!$E$4&amp;"!"&amp;ADDRESS(10,COLUMN(K$9)-1)&amp;":"&amp;ADDRESS(1000,COLUMN(K$9)-1))),
SUMIF(INDIRECT(Equipo!$F$4&amp;"!B10:B1000"),$B144,INDIRECT(Equipo!$F$4&amp;"!"&amp;ADDRESS(10,COLUMN(K$9)-1)&amp;":"&amp;ADDRESS(1000,COLUMN(K$9)-1))),
SUMIF(INDIRECT(Equipo!$G$4&amp;"!B10:B1000"),$B144,INDIRECT(Equipo!$G$4&amp;"!"&amp;ADDRESS(10,COLUMN(K$9)-1)&amp;":"&amp;ADDRESS(1000,COLUMN(K$9)-1)))))</f>
        <v>-</v>
      </c>
    </row>
    <row r="145" ht="15.75" customHeight="1">
      <c r="B145" s="1" t="str">
        <f>IF(ISBLANK(Tareas!B141)," - ",Tareas!B141)</f>
        <v> - </v>
      </c>
      <c r="D145" s="19" t="str">
        <f t="array" ref="D145">IF(ISBLANK(Tareas!$B141),"-",SUM(
SUMIF(INDIRECT(Equipo!$C$4&amp;"!B10:B1000"),$B145,INDIRECT(Equipo!$C$4&amp;"!"&amp;ADDRESS(10,COLUMN(D$9)-1)&amp;":"&amp;ADDRESS(1000,COLUMN(D$9)-1))),
SUMIF(INDIRECT(Equipo!$D$4&amp;"!B10:B1000"),$B145,INDIRECT(Equipo!$D$4&amp;"!"&amp;ADDRESS(10,COLUMN(D$9)-1)&amp;":"&amp;ADDRESS(1000,COLUMN(D$9)-1))),
SUMIF(INDIRECT(Equipo!$E$4&amp;"!B10:B1000"),$B145,INDIRECT(Equipo!$E$4&amp;"!"&amp;ADDRESS(10,COLUMN(D$9)-1)&amp;":"&amp;ADDRESS(1000,COLUMN(D$9)-1))),
SUMIF(INDIRECT(Equipo!$F$4&amp;"!B10:B1000"),$B145,INDIRECT(Equipo!$F$4&amp;"!"&amp;ADDRESS(10,COLUMN(D$9)-1)&amp;":"&amp;ADDRESS(1000,COLUMN(D$9)-1))),
SUMIF(INDIRECT(Equipo!$G$4&amp;"!B10:B1000"),$B145,INDIRECT(Equipo!$G$4&amp;"!"&amp;ADDRESS(10,COLUMN(D$9)-1)&amp;":"&amp;ADDRESS(1000,COLUMN(D$9)-1)))))</f>
        <v>-</v>
      </c>
      <c r="E145" s="19" t="str">
        <f t="array" ref="E145">IF(ISBLANK(Tareas!$B141),"-",SUM(
SUMIF(INDIRECT(Equipo!$C$4&amp;"!B10:B1000"),$B145,INDIRECT(Equipo!$C$4&amp;"!"&amp;ADDRESS(10,COLUMN(E$9)-1)&amp;":"&amp;ADDRESS(1000,COLUMN(E$9)-1))),
SUMIF(INDIRECT(Equipo!$D$4&amp;"!B10:B1000"),$B145,INDIRECT(Equipo!$D$4&amp;"!"&amp;ADDRESS(10,COLUMN(E$9)-1)&amp;":"&amp;ADDRESS(1000,COLUMN(E$9)-1))),
SUMIF(INDIRECT(Equipo!$E$4&amp;"!B10:B1000"),$B145,INDIRECT(Equipo!$E$4&amp;"!"&amp;ADDRESS(10,COLUMN(E$9)-1)&amp;":"&amp;ADDRESS(1000,COLUMN(E$9)-1))),
SUMIF(INDIRECT(Equipo!$F$4&amp;"!B10:B1000"),$B145,INDIRECT(Equipo!$F$4&amp;"!"&amp;ADDRESS(10,COLUMN(E$9)-1)&amp;":"&amp;ADDRESS(1000,COLUMN(E$9)-1))),
SUMIF(INDIRECT(Equipo!$G$4&amp;"!B10:B1000"),$B145,INDIRECT(Equipo!$G$4&amp;"!"&amp;ADDRESS(10,COLUMN(E$9)-1)&amp;":"&amp;ADDRESS(1000,COLUMN(E$9)-1)))))</f>
        <v>-</v>
      </c>
      <c r="F145" s="19" t="str">
        <f t="array" ref="F145">IF(ISBLANK(Tareas!$B141),"-",SUM(
SUMIF(INDIRECT(Equipo!$C$4&amp;"!B10:B1000"),$B145,INDIRECT(Equipo!$C$4&amp;"!"&amp;ADDRESS(10,COLUMN(F$9)-1)&amp;":"&amp;ADDRESS(1000,COLUMN(F$9)-1))),
SUMIF(INDIRECT(Equipo!$D$4&amp;"!B10:B1000"),$B145,INDIRECT(Equipo!$D$4&amp;"!"&amp;ADDRESS(10,COLUMN(F$9)-1)&amp;":"&amp;ADDRESS(1000,COLUMN(F$9)-1))),
SUMIF(INDIRECT(Equipo!$E$4&amp;"!B10:B1000"),$B145,INDIRECT(Equipo!$E$4&amp;"!"&amp;ADDRESS(10,COLUMN(F$9)-1)&amp;":"&amp;ADDRESS(1000,COLUMN(F$9)-1))),
SUMIF(INDIRECT(Equipo!$F$4&amp;"!B10:B1000"),$B145,INDIRECT(Equipo!$F$4&amp;"!"&amp;ADDRESS(10,COLUMN(F$9)-1)&amp;":"&amp;ADDRESS(1000,COLUMN(F$9)-1))),
SUMIF(INDIRECT(Equipo!$G$4&amp;"!B10:B1000"),$B145,INDIRECT(Equipo!$G$4&amp;"!"&amp;ADDRESS(10,COLUMN(F$9)-1)&amp;":"&amp;ADDRESS(1000,COLUMN(F$9)-1)))))</f>
        <v>-</v>
      </c>
      <c r="G145" s="19" t="str">
        <f t="array" ref="G145">IF(ISBLANK(Tareas!$B141),"-",SUM(
SUMIF(INDIRECT(Equipo!$C$4&amp;"!B10:B1000"),$B145,INDIRECT(Equipo!$C$4&amp;"!"&amp;ADDRESS(10,COLUMN(G$9)-1)&amp;":"&amp;ADDRESS(1000,COLUMN(G$9)-1))),
SUMIF(INDIRECT(Equipo!$D$4&amp;"!B10:B1000"),$B145,INDIRECT(Equipo!$D$4&amp;"!"&amp;ADDRESS(10,COLUMN(G$9)-1)&amp;":"&amp;ADDRESS(1000,COLUMN(G$9)-1))),
SUMIF(INDIRECT(Equipo!$E$4&amp;"!B10:B1000"),$B145,INDIRECT(Equipo!$E$4&amp;"!"&amp;ADDRESS(10,COLUMN(G$9)-1)&amp;":"&amp;ADDRESS(1000,COLUMN(G$9)-1))),
SUMIF(INDIRECT(Equipo!$F$4&amp;"!B10:B1000"),$B145,INDIRECT(Equipo!$F$4&amp;"!"&amp;ADDRESS(10,COLUMN(G$9)-1)&amp;":"&amp;ADDRESS(1000,COLUMN(G$9)-1))),
SUMIF(INDIRECT(Equipo!$G$4&amp;"!B10:B1000"),$B145,INDIRECT(Equipo!$G$4&amp;"!"&amp;ADDRESS(10,COLUMN(G$9)-1)&amp;":"&amp;ADDRESS(1000,COLUMN(G$9)-1)))))</f>
        <v>-</v>
      </c>
      <c r="H145" s="19" t="str">
        <f t="array" ref="H145">IF(ISBLANK(Tareas!$B141),"-",SUM(
SUMIF(INDIRECT(Equipo!$C$4&amp;"!B10:B1000"),$B145,INDIRECT(Equipo!$C$4&amp;"!"&amp;ADDRESS(10,COLUMN(H$9)-1)&amp;":"&amp;ADDRESS(1000,COLUMN(H$9)-1))),
SUMIF(INDIRECT(Equipo!$D$4&amp;"!B10:B1000"),$B145,INDIRECT(Equipo!$D$4&amp;"!"&amp;ADDRESS(10,COLUMN(H$9)-1)&amp;":"&amp;ADDRESS(1000,COLUMN(H$9)-1))),
SUMIF(INDIRECT(Equipo!$E$4&amp;"!B10:B1000"),$B145,INDIRECT(Equipo!$E$4&amp;"!"&amp;ADDRESS(10,COLUMN(H$9)-1)&amp;":"&amp;ADDRESS(1000,COLUMN(H$9)-1))),
SUMIF(INDIRECT(Equipo!$F$4&amp;"!B10:B1000"),$B145,INDIRECT(Equipo!$F$4&amp;"!"&amp;ADDRESS(10,COLUMN(H$9)-1)&amp;":"&amp;ADDRESS(1000,COLUMN(H$9)-1))),
SUMIF(INDIRECT(Equipo!$G$4&amp;"!B10:B1000"),$B145,INDIRECT(Equipo!$G$4&amp;"!"&amp;ADDRESS(10,COLUMN(H$9)-1)&amp;":"&amp;ADDRESS(1000,COLUMN(H$9)-1)))))</f>
        <v>-</v>
      </c>
      <c r="I145" s="19" t="str">
        <f t="array" ref="I145">IF(ISBLANK(Tareas!$B141),"-",SUM(
SUMIF(INDIRECT(Equipo!$C$4&amp;"!B10:B1000"),$B145,INDIRECT(Equipo!$C$4&amp;"!"&amp;ADDRESS(10,COLUMN(I$9)-1)&amp;":"&amp;ADDRESS(1000,COLUMN(I$9)-1))),
SUMIF(INDIRECT(Equipo!$D$4&amp;"!B10:B1000"),$B145,INDIRECT(Equipo!$D$4&amp;"!"&amp;ADDRESS(10,COLUMN(I$9)-1)&amp;":"&amp;ADDRESS(1000,COLUMN(I$9)-1))),
SUMIF(INDIRECT(Equipo!$E$4&amp;"!B10:B1000"),$B145,INDIRECT(Equipo!$E$4&amp;"!"&amp;ADDRESS(10,COLUMN(I$9)-1)&amp;":"&amp;ADDRESS(1000,COLUMN(I$9)-1))),
SUMIF(INDIRECT(Equipo!$F$4&amp;"!B10:B1000"),$B145,INDIRECT(Equipo!$F$4&amp;"!"&amp;ADDRESS(10,COLUMN(I$9)-1)&amp;":"&amp;ADDRESS(1000,COLUMN(I$9)-1))),
SUMIF(INDIRECT(Equipo!$G$4&amp;"!B10:B1000"),$B145,INDIRECT(Equipo!$G$4&amp;"!"&amp;ADDRESS(10,COLUMN(I$9)-1)&amp;":"&amp;ADDRESS(1000,COLUMN(I$9)-1)))))</f>
        <v>-</v>
      </c>
      <c r="J145" s="19" t="str">
        <f t="array" ref="J145">IF(ISBLANK(Tareas!$B141),"-",SUM(
SUMIF(INDIRECT(Equipo!$C$4&amp;"!B10:B1000"),$B145,INDIRECT(Equipo!$C$4&amp;"!"&amp;ADDRESS(10,COLUMN(J$9)-1)&amp;":"&amp;ADDRESS(1000,COLUMN(J$9)-1))),
SUMIF(INDIRECT(Equipo!$D$4&amp;"!B10:B1000"),$B145,INDIRECT(Equipo!$D$4&amp;"!"&amp;ADDRESS(10,COLUMN(J$9)-1)&amp;":"&amp;ADDRESS(1000,COLUMN(J$9)-1))),
SUMIF(INDIRECT(Equipo!$E$4&amp;"!B10:B1000"),$B145,INDIRECT(Equipo!$E$4&amp;"!"&amp;ADDRESS(10,COLUMN(J$9)-1)&amp;":"&amp;ADDRESS(1000,COLUMN(J$9)-1))),
SUMIF(INDIRECT(Equipo!$F$4&amp;"!B10:B1000"),$B145,INDIRECT(Equipo!$F$4&amp;"!"&amp;ADDRESS(10,COLUMN(J$9)-1)&amp;":"&amp;ADDRESS(1000,COLUMN(J$9)-1))),
SUMIF(INDIRECT(Equipo!$G$4&amp;"!B10:B1000"),$B145,INDIRECT(Equipo!$G$4&amp;"!"&amp;ADDRESS(10,COLUMN(J$9)-1)&amp;":"&amp;ADDRESS(1000,COLUMN(J$9)-1)))))</f>
        <v>-</v>
      </c>
      <c r="K145" s="19" t="str">
        <f t="array" ref="K145">IF(ISBLANK(Tareas!$B141),"-",SUM(
SUMIF(INDIRECT(Equipo!$C$4&amp;"!B10:B1000"),$B145,INDIRECT(Equipo!$C$4&amp;"!"&amp;ADDRESS(10,COLUMN(K$9)-1)&amp;":"&amp;ADDRESS(1000,COLUMN(K$9)-1))),
SUMIF(INDIRECT(Equipo!$D$4&amp;"!B10:B1000"),$B145,INDIRECT(Equipo!$D$4&amp;"!"&amp;ADDRESS(10,COLUMN(K$9)-1)&amp;":"&amp;ADDRESS(1000,COLUMN(K$9)-1))),
SUMIF(INDIRECT(Equipo!$E$4&amp;"!B10:B1000"),$B145,INDIRECT(Equipo!$E$4&amp;"!"&amp;ADDRESS(10,COLUMN(K$9)-1)&amp;":"&amp;ADDRESS(1000,COLUMN(K$9)-1))),
SUMIF(INDIRECT(Equipo!$F$4&amp;"!B10:B1000"),$B145,INDIRECT(Equipo!$F$4&amp;"!"&amp;ADDRESS(10,COLUMN(K$9)-1)&amp;":"&amp;ADDRESS(1000,COLUMN(K$9)-1))),
SUMIF(INDIRECT(Equipo!$G$4&amp;"!B10:B1000"),$B145,INDIRECT(Equipo!$G$4&amp;"!"&amp;ADDRESS(10,COLUMN(K$9)-1)&amp;":"&amp;ADDRESS(1000,COLUMN(K$9)-1)))))</f>
        <v>-</v>
      </c>
    </row>
    <row r="146" ht="15.75" customHeight="1">
      <c r="B146" s="1" t="str">
        <f>IF(ISBLANK(Tareas!B142)," - ",Tareas!B142)</f>
        <v> - </v>
      </c>
      <c r="D146" s="19" t="str">
        <f t="array" ref="D146">IF(ISBLANK(Tareas!$B142),"-",SUM(
SUMIF(INDIRECT(Equipo!$C$4&amp;"!B10:B1000"),$B146,INDIRECT(Equipo!$C$4&amp;"!"&amp;ADDRESS(10,COLUMN(D$9)-1)&amp;":"&amp;ADDRESS(1000,COLUMN(D$9)-1))),
SUMIF(INDIRECT(Equipo!$D$4&amp;"!B10:B1000"),$B146,INDIRECT(Equipo!$D$4&amp;"!"&amp;ADDRESS(10,COLUMN(D$9)-1)&amp;":"&amp;ADDRESS(1000,COLUMN(D$9)-1))),
SUMIF(INDIRECT(Equipo!$E$4&amp;"!B10:B1000"),$B146,INDIRECT(Equipo!$E$4&amp;"!"&amp;ADDRESS(10,COLUMN(D$9)-1)&amp;":"&amp;ADDRESS(1000,COLUMN(D$9)-1))),
SUMIF(INDIRECT(Equipo!$F$4&amp;"!B10:B1000"),$B146,INDIRECT(Equipo!$F$4&amp;"!"&amp;ADDRESS(10,COLUMN(D$9)-1)&amp;":"&amp;ADDRESS(1000,COLUMN(D$9)-1))),
SUMIF(INDIRECT(Equipo!$G$4&amp;"!B10:B1000"),$B146,INDIRECT(Equipo!$G$4&amp;"!"&amp;ADDRESS(10,COLUMN(D$9)-1)&amp;":"&amp;ADDRESS(1000,COLUMN(D$9)-1)))))</f>
        <v>-</v>
      </c>
      <c r="E146" s="19" t="str">
        <f t="array" ref="E146">IF(ISBLANK(Tareas!$B142),"-",SUM(
SUMIF(INDIRECT(Equipo!$C$4&amp;"!B10:B1000"),$B146,INDIRECT(Equipo!$C$4&amp;"!"&amp;ADDRESS(10,COLUMN(E$9)-1)&amp;":"&amp;ADDRESS(1000,COLUMN(E$9)-1))),
SUMIF(INDIRECT(Equipo!$D$4&amp;"!B10:B1000"),$B146,INDIRECT(Equipo!$D$4&amp;"!"&amp;ADDRESS(10,COLUMN(E$9)-1)&amp;":"&amp;ADDRESS(1000,COLUMN(E$9)-1))),
SUMIF(INDIRECT(Equipo!$E$4&amp;"!B10:B1000"),$B146,INDIRECT(Equipo!$E$4&amp;"!"&amp;ADDRESS(10,COLUMN(E$9)-1)&amp;":"&amp;ADDRESS(1000,COLUMN(E$9)-1))),
SUMIF(INDIRECT(Equipo!$F$4&amp;"!B10:B1000"),$B146,INDIRECT(Equipo!$F$4&amp;"!"&amp;ADDRESS(10,COLUMN(E$9)-1)&amp;":"&amp;ADDRESS(1000,COLUMN(E$9)-1))),
SUMIF(INDIRECT(Equipo!$G$4&amp;"!B10:B1000"),$B146,INDIRECT(Equipo!$G$4&amp;"!"&amp;ADDRESS(10,COLUMN(E$9)-1)&amp;":"&amp;ADDRESS(1000,COLUMN(E$9)-1)))))</f>
        <v>-</v>
      </c>
      <c r="F146" s="19" t="str">
        <f t="array" ref="F146">IF(ISBLANK(Tareas!$B142),"-",SUM(
SUMIF(INDIRECT(Equipo!$C$4&amp;"!B10:B1000"),$B146,INDIRECT(Equipo!$C$4&amp;"!"&amp;ADDRESS(10,COLUMN(F$9)-1)&amp;":"&amp;ADDRESS(1000,COLUMN(F$9)-1))),
SUMIF(INDIRECT(Equipo!$D$4&amp;"!B10:B1000"),$B146,INDIRECT(Equipo!$D$4&amp;"!"&amp;ADDRESS(10,COLUMN(F$9)-1)&amp;":"&amp;ADDRESS(1000,COLUMN(F$9)-1))),
SUMIF(INDIRECT(Equipo!$E$4&amp;"!B10:B1000"),$B146,INDIRECT(Equipo!$E$4&amp;"!"&amp;ADDRESS(10,COLUMN(F$9)-1)&amp;":"&amp;ADDRESS(1000,COLUMN(F$9)-1))),
SUMIF(INDIRECT(Equipo!$F$4&amp;"!B10:B1000"),$B146,INDIRECT(Equipo!$F$4&amp;"!"&amp;ADDRESS(10,COLUMN(F$9)-1)&amp;":"&amp;ADDRESS(1000,COLUMN(F$9)-1))),
SUMIF(INDIRECT(Equipo!$G$4&amp;"!B10:B1000"),$B146,INDIRECT(Equipo!$G$4&amp;"!"&amp;ADDRESS(10,COLUMN(F$9)-1)&amp;":"&amp;ADDRESS(1000,COLUMN(F$9)-1)))))</f>
        <v>-</v>
      </c>
      <c r="G146" s="19" t="str">
        <f t="array" ref="G146">IF(ISBLANK(Tareas!$B142),"-",SUM(
SUMIF(INDIRECT(Equipo!$C$4&amp;"!B10:B1000"),$B146,INDIRECT(Equipo!$C$4&amp;"!"&amp;ADDRESS(10,COLUMN(G$9)-1)&amp;":"&amp;ADDRESS(1000,COLUMN(G$9)-1))),
SUMIF(INDIRECT(Equipo!$D$4&amp;"!B10:B1000"),$B146,INDIRECT(Equipo!$D$4&amp;"!"&amp;ADDRESS(10,COLUMN(G$9)-1)&amp;":"&amp;ADDRESS(1000,COLUMN(G$9)-1))),
SUMIF(INDIRECT(Equipo!$E$4&amp;"!B10:B1000"),$B146,INDIRECT(Equipo!$E$4&amp;"!"&amp;ADDRESS(10,COLUMN(G$9)-1)&amp;":"&amp;ADDRESS(1000,COLUMN(G$9)-1))),
SUMIF(INDIRECT(Equipo!$F$4&amp;"!B10:B1000"),$B146,INDIRECT(Equipo!$F$4&amp;"!"&amp;ADDRESS(10,COLUMN(G$9)-1)&amp;":"&amp;ADDRESS(1000,COLUMN(G$9)-1))),
SUMIF(INDIRECT(Equipo!$G$4&amp;"!B10:B1000"),$B146,INDIRECT(Equipo!$G$4&amp;"!"&amp;ADDRESS(10,COLUMN(G$9)-1)&amp;":"&amp;ADDRESS(1000,COLUMN(G$9)-1)))))</f>
        <v>-</v>
      </c>
      <c r="H146" s="19" t="str">
        <f t="array" ref="H146">IF(ISBLANK(Tareas!$B142),"-",SUM(
SUMIF(INDIRECT(Equipo!$C$4&amp;"!B10:B1000"),$B146,INDIRECT(Equipo!$C$4&amp;"!"&amp;ADDRESS(10,COLUMN(H$9)-1)&amp;":"&amp;ADDRESS(1000,COLUMN(H$9)-1))),
SUMIF(INDIRECT(Equipo!$D$4&amp;"!B10:B1000"),$B146,INDIRECT(Equipo!$D$4&amp;"!"&amp;ADDRESS(10,COLUMN(H$9)-1)&amp;":"&amp;ADDRESS(1000,COLUMN(H$9)-1))),
SUMIF(INDIRECT(Equipo!$E$4&amp;"!B10:B1000"),$B146,INDIRECT(Equipo!$E$4&amp;"!"&amp;ADDRESS(10,COLUMN(H$9)-1)&amp;":"&amp;ADDRESS(1000,COLUMN(H$9)-1))),
SUMIF(INDIRECT(Equipo!$F$4&amp;"!B10:B1000"),$B146,INDIRECT(Equipo!$F$4&amp;"!"&amp;ADDRESS(10,COLUMN(H$9)-1)&amp;":"&amp;ADDRESS(1000,COLUMN(H$9)-1))),
SUMIF(INDIRECT(Equipo!$G$4&amp;"!B10:B1000"),$B146,INDIRECT(Equipo!$G$4&amp;"!"&amp;ADDRESS(10,COLUMN(H$9)-1)&amp;":"&amp;ADDRESS(1000,COLUMN(H$9)-1)))))</f>
        <v>-</v>
      </c>
      <c r="I146" s="19" t="str">
        <f t="array" ref="I146">IF(ISBLANK(Tareas!$B142),"-",SUM(
SUMIF(INDIRECT(Equipo!$C$4&amp;"!B10:B1000"),$B146,INDIRECT(Equipo!$C$4&amp;"!"&amp;ADDRESS(10,COLUMN(I$9)-1)&amp;":"&amp;ADDRESS(1000,COLUMN(I$9)-1))),
SUMIF(INDIRECT(Equipo!$D$4&amp;"!B10:B1000"),$B146,INDIRECT(Equipo!$D$4&amp;"!"&amp;ADDRESS(10,COLUMN(I$9)-1)&amp;":"&amp;ADDRESS(1000,COLUMN(I$9)-1))),
SUMIF(INDIRECT(Equipo!$E$4&amp;"!B10:B1000"),$B146,INDIRECT(Equipo!$E$4&amp;"!"&amp;ADDRESS(10,COLUMN(I$9)-1)&amp;":"&amp;ADDRESS(1000,COLUMN(I$9)-1))),
SUMIF(INDIRECT(Equipo!$F$4&amp;"!B10:B1000"),$B146,INDIRECT(Equipo!$F$4&amp;"!"&amp;ADDRESS(10,COLUMN(I$9)-1)&amp;":"&amp;ADDRESS(1000,COLUMN(I$9)-1))),
SUMIF(INDIRECT(Equipo!$G$4&amp;"!B10:B1000"),$B146,INDIRECT(Equipo!$G$4&amp;"!"&amp;ADDRESS(10,COLUMN(I$9)-1)&amp;":"&amp;ADDRESS(1000,COLUMN(I$9)-1)))))</f>
        <v>-</v>
      </c>
      <c r="J146" s="19" t="str">
        <f t="array" ref="J146">IF(ISBLANK(Tareas!$B142),"-",SUM(
SUMIF(INDIRECT(Equipo!$C$4&amp;"!B10:B1000"),$B146,INDIRECT(Equipo!$C$4&amp;"!"&amp;ADDRESS(10,COLUMN(J$9)-1)&amp;":"&amp;ADDRESS(1000,COLUMN(J$9)-1))),
SUMIF(INDIRECT(Equipo!$D$4&amp;"!B10:B1000"),$B146,INDIRECT(Equipo!$D$4&amp;"!"&amp;ADDRESS(10,COLUMN(J$9)-1)&amp;":"&amp;ADDRESS(1000,COLUMN(J$9)-1))),
SUMIF(INDIRECT(Equipo!$E$4&amp;"!B10:B1000"),$B146,INDIRECT(Equipo!$E$4&amp;"!"&amp;ADDRESS(10,COLUMN(J$9)-1)&amp;":"&amp;ADDRESS(1000,COLUMN(J$9)-1))),
SUMIF(INDIRECT(Equipo!$F$4&amp;"!B10:B1000"),$B146,INDIRECT(Equipo!$F$4&amp;"!"&amp;ADDRESS(10,COLUMN(J$9)-1)&amp;":"&amp;ADDRESS(1000,COLUMN(J$9)-1))),
SUMIF(INDIRECT(Equipo!$G$4&amp;"!B10:B1000"),$B146,INDIRECT(Equipo!$G$4&amp;"!"&amp;ADDRESS(10,COLUMN(J$9)-1)&amp;":"&amp;ADDRESS(1000,COLUMN(J$9)-1)))))</f>
        <v>-</v>
      </c>
      <c r="K146" s="19" t="str">
        <f t="array" ref="K146">IF(ISBLANK(Tareas!$B142),"-",SUM(
SUMIF(INDIRECT(Equipo!$C$4&amp;"!B10:B1000"),$B146,INDIRECT(Equipo!$C$4&amp;"!"&amp;ADDRESS(10,COLUMN(K$9)-1)&amp;":"&amp;ADDRESS(1000,COLUMN(K$9)-1))),
SUMIF(INDIRECT(Equipo!$D$4&amp;"!B10:B1000"),$B146,INDIRECT(Equipo!$D$4&amp;"!"&amp;ADDRESS(10,COLUMN(K$9)-1)&amp;":"&amp;ADDRESS(1000,COLUMN(K$9)-1))),
SUMIF(INDIRECT(Equipo!$E$4&amp;"!B10:B1000"),$B146,INDIRECT(Equipo!$E$4&amp;"!"&amp;ADDRESS(10,COLUMN(K$9)-1)&amp;":"&amp;ADDRESS(1000,COLUMN(K$9)-1))),
SUMIF(INDIRECT(Equipo!$F$4&amp;"!B10:B1000"),$B146,INDIRECT(Equipo!$F$4&amp;"!"&amp;ADDRESS(10,COLUMN(K$9)-1)&amp;":"&amp;ADDRESS(1000,COLUMN(K$9)-1))),
SUMIF(INDIRECT(Equipo!$G$4&amp;"!B10:B1000"),$B146,INDIRECT(Equipo!$G$4&amp;"!"&amp;ADDRESS(10,COLUMN(K$9)-1)&amp;":"&amp;ADDRESS(1000,COLUMN(K$9)-1)))))</f>
        <v>-</v>
      </c>
    </row>
    <row r="147" ht="15.75" customHeight="1">
      <c r="B147" s="1" t="str">
        <f>IF(ISBLANK(Tareas!B143)," - ",Tareas!B143)</f>
        <v> - </v>
      </c>
      <c r="D147" s="19" t="str">
        <f t="array" ref="D147">IF(ISBLANK(Tareas!$B143),"-",SUM(
SUMIF(INDIRECT(Equipo!$C$4&amp;"!B10:B1000"),$B147,INDIRECT(Equipo!$C$4&amp;"!"&amp;ADDRESS(10,COLUMN(D$9)-1)&amp;":"&amp;ADDRESS(1000,COLUMN(D$9)-1))),
SUMIF(INDIRECT(Equipo!$D$4&amp;"!B10:B1000"),$B147,INDIRECT(Equipo!$D$4&amp;"!"&amp;ADDRESS(10,COLUMN(D$9)-1)&amp;":"&amp;ADDRESS(1000,COLUMN(D$9)-1))),
SUMIF(INDIRECT(Equipo!$E$4&amp;"!B10:B1000"),$B147,INDIRECT(Equipo!$E$4&amp;"!"&amp;ADDRESS(10,COLUMN(D$9)-1)&amp;":"&amp;ADDRESS(1000,COLUMN(D$9)-1))),
SUMIF(INDIRECT(Equipo!$F$4&amp;"!B10:B1000"),$B147,INDIRECT(Equipo!$F$4&amp;"!"&amp;ADDRESS(10,COLUMN(D$9)-1)&amp;":"&amp;ADDRESS(1000,COLUMN(D$9)-1))),
SUMIF(INDIRECT(Equipo!$G$4&amp;"!B10:B1000"),$B147,INDIRECT(Equipo!$G$4&amp;"!"&amp;ADDRESS(10,COLUMN(D$9)-1)&amp;":"&amp;ADDRESS(1000,COLUMN(D$9)-1)))))</f>
        <v>-</v>
      </c>
      <c r="E147" s="19" t="str">
        <f t="array" ref="E147">IF(ISBLANK(Tareas!$B143),"-",SUM(
SUMIF(INDIRECT(Equipo!$C$4&amp;"!B10:B1000"),$B147,INDIRECT(Equipo!$C$4&amp;"!"&amp;ADDRESS(10,COLUMN(E$9)-1)&amp;":"&amp;ADDRESS(1000,COLUMN(E$9)-1))),
SUMIF(INDIRECT(Equipo!$D$4&amp;"!B10:B1000"),$B147,INDIRECT(Equipo!$D$4&amp;"!"&amp;ADDRESS(10,COLUMN(E$9)-1)&amp;":"&amp;ADDRESS(1000,COLUMN(E$9)-1))),
SUMIF(INDIRECT(Equipo!$E$4&amp;"!B10:B1000"),$B147,INDIRECT(Equipo!$E$4&amp;"!"&amp;ADDRESS(10,COLUMN(E$9)-1)&amp;":"&amp;ADDRESS(1000,COLUMN(E$9)-1))),
SUMIF(INDIRECT(Equipo!$F$4&amp;"!B10:B1000"),$B147,INDIRECT(Equipo!$F$4&amp;"!"&amp;ADDRESS(10,COLUMN(E$9)-1)&amp;":"&amp;ADDRESS(1000,COLUMN(E$9)-1))),
SUMIF(INDIRECT(Equipo!$G$4&amp;"!B10:B1000"),$B147,INDIRECT(Equipo!$G$4&amp;"!"&amp;ADDRESS(10,COLUMN(E$9)-1)&amp;":"&amp;ADDRESS(1000,COLUMN(E$9)-1)))))</f>
        <v>-</v>
      </c>
      <c r="F147" s="19" t="str">
        <f t="array" ref="F147">IF(ISBLANK(Tareas!$B143),"-",SUM(
SUMIF(INDIRECT(Equipo!$C$4&amp;"!B10:B1000"),$B147,INDIRECT(Equipo!$C$4&amp;"!"&amp;ADDRESS(10,COLUMN(F$9)-1)&amp;":"&amp;ADDRESS(1000,COLUMN(F$9)-1))),
SUMIF(INDIRECT(Equipo!$D$4&amp;"!B10:B1000"),$B147,INDIRECT(Equipo!$D$4&amp;"!"&amp;ADDRESS(10,COLUMN(F$9)-1)&amp;":"&amp;ADDRESS(1000,COLUMN(F$9)-1))),
SUMIF(INDIRECT(Equipo!$E$4&amp;"!B10:B1000"),$B147,INDIRECT(Equipo!$E$4&amp;"!"&amp;ADDRESS(10,COLUMN(F$9)-1)&amp;":"&amp;ADDRESS(1000,COLUMN(F$9)-1))),
SUMIF(INDIRECT(Equipo!$F$4&amp;"!B10:B1000"),$B147,INDIRECT(Equipo!$F$4&amp;"!"&amp;ADDRESS(10,COLUMN(F$9)-1)&amp;":"&amp;ADDRESS(1000,COLUMN(F$9)-1))),
SUMIF(INDIRECT(Equipo!$G$4&amp;"!B10:B1000"),$B147,INDIRECT(Equipo!$G$4&amp;"!"&amp;ADDRESS(10,COLUMN(F$9)-1)&amp;":"&amp;ADDRESS(1000,COLUMN(F$9)-1)))))</f>
        <v>-</v>
      </c>
      <c r="G147" s="19" t="str">
        <f t="array" ref="G147">IF(ISBLANK(Tareas!$B143),"-",SUM(
SUMIF(INDIRECT(Equipo!$C$4&amp;"!B10:B1000"),$B147,INDIRECT(Equipo!$C$4&amp;"!"&amp;ADDRESS(10,COLUMN(G$9)-1)&amp;":"&amp;ADDRESS(1000,COLUMN(G$9)-1))),
SUMIF(INDIRECT(Equipo!$D$4&amp;"!B10:B1000"),$B147,INDIRECT(Equipo!$D$4&amp;"!"&amp;ADDRESS(10,COLUMN(G$9)-1)&amp;":"&amp;ADDRESS(1000,COLUMN(G$9)-1))),
SUMIF(INDIRECT(Equipo!$E$4&amp;"!B10:B1000"),$B147,INDIRECT(Equipo!$E$4&amp;"!"&amp;ADDRESS(10,COLUMN(G$9)-1)&amp;":"&amp;ADDRESS(1000,COLUMN(G$9)-1))),
SUMIF(INDIRECT(Equipo!$F$4&amp;"!B10:B1000"),$B147,INDIRECT(Equipo!$F$4&amp;"!"&amp;ADDRESS(10,COLUMN(G$9)-1)&amp;":"&amp;ADDRESS(1000,COLUMN(G$9)-1))),
SUMIF(INDIRECT(Equipo!$G$4&amp;"!B10:B1000"),$B147,INDIRECT(Equipo!$G$4&amp;"!"&amp;ADDRESS(10,COLUMN(G$9)-1)&amp;":"&amp;ADDRESS(1000,COLUMN(G$9)-1)))))</f>
        <v>-</v>
      </c>
      <c r="H147" s="19" t="str">
        <f t="array" ref="H147">IF(ISBLANK(Tareas!$B143),"-",SUM(
SUMIF(INDIRECT(Equipo!$C$4&amp;"!B10:B1000"),$B147,INDIRECT(Equipo!$C$4&amp;"!"&amp;ADDRESS(10,COLUMN(H$9)-1)&amp;":"&amp;ADDRESS(1000,COLUMN(H$9)-1))),
SUMIF(INDIRECT(Equipo!$D$4&amp;"!B10:B1000"),$B147,INDIRECT(Equipo!$D$4&amp;"!"&amp;ADDRESS(10,COLUMN(H$9)-1)&amp;":"&amp;ADDRESS(1000,COLUMN(H$9)-1))),
SUMIF(INDIRECT(Equipo!$E$4&amp;"!B10:B1000"),$B147,INDIRECT(Equipo!$E$4&amp;"!"&amp;ADDRESS(10,COLUMN(H$9)-1)&amp;":"&amp;ADDRESS(1000,COLUMN(H$9)-1))),
SUMIF(INDIRECT(Equipo!$F$4&amp;"!B10:B1000"),$B147,INDIRECT(Equipo!$F$4&amp;"!"&amp;ADDRESS(10,COLUMN(H$9)-1)&amp;":"&amp;ADDRESS(1000,COLUMN(H$9)-1))),
SUMIF(INDIRECT(Equipo!$G$4&amp;"!B10:B1000"),$B147,INDIRECT(Equipo!$G$4&amp;"!"&amp;ADDRESS(10,COLUMN(H$9)-1)&amp;":"&amp;ADDRESS(1000,COLUMN(H$9)-1)))))</f>
        <v>-</v>
      </c>
      <c r="I147" s="19" t="str">
        <f t="array" ref="I147">IF(ISBLANK(Tareas!$B143),"-",SUM(
SUMIF(INDIRECT(Equipo!$C$4&amp;"!B10:B1000"),$B147,INDIRECT(Equipo!$C$4&amp;"!"&amp;ADDRESS(10,COLUMN(I$9)-1)&amp;":"&amp;ADDRESS(1000,COLUMN(I$9)-1))),
SUMIF(INDIRECT(Equipo!$D$4&amp;"!B10:B1000"),$B147,INDIRECT(Equipo!$D$4&amp;"!"&amp;ADDRESS(10,COLUMN(I$9)-1)&amp;":"&amp;ADDRESS(1000,COLUMN(I$9)-1))),
SUMIF(INDIRECT(Equipo!$E$4&amp;"!B10:B1000"),$B147,INDIRECT(Equipo!$E$4&amp;"!"&amp;ADDRESS(10,COLUMN(I$9)-1)&amp;":"&amp;ADDRESS(1000,COLUMN(I$9)-1))),
SUMIF(INDIRECT(Equipo!$F$4&amp;"!B10:B1000"),$B147,INDIRECT(Equipo!$F$4&amp;"!"&amp;ADDRESS(10,COLUMN(I$9)-1)&amp;":"&amp;ADDRESS(1000,COLUMN(I$9)-1))),
SUMIF(INDIRECT(Equipo!$G$4&amp;"!B10:B1000"),$B147,INDIRECT(Equipo!$G$4&amp;"!"&amp;ADDRESS(10,COLUMN(I$9)-1)&amp;":"&amp;ADDRESS(1000,COLUMN(I$9)-1)))))</f>
        <v>-</v>
      </c>
      <c r="J147" s="19" t="str">
        <f t="array" ref="J147">IF(ISBLANK(Tareas!$B143),"-",SUM(
SUMIF(INDIRECT(Equipo!$C$4&amp;"!B10:B1000"),$B147,INDIRECT(Equipo!$C$4&amp;"!"&amp;ADDRESS(10,COLUMN(J$9)-1)&amp;":"&amp;ADDRESS(1000,COLUMN(J$9)-1))),
SUMIF(INDIRECT(Equipo!$D$4&amp;"!B10:B1000"),$B147,INDIRECT(Equipo!$D$4&amp;"!"&amp;ADDRESS(10,COLUMN(J$9)-1)&amp;":"&amp;ADDRESS(1000,COLUMN(J$9)-1))),
SUMIF(INDIRECT(Equipo!$E$4&amp;"!B10:B1000"),$B147,INDIRECT(Equipo!$E$4&amp;"!"&amp;ADDRESS(10,COLUMN(J$9)-1)&amp;":"&amp;ADDRESS(1000,COLUMN(J$9)-1))),
SUMIF(INDIRECT(Equipo!$F$4&amp;"!B10:B1000"),$B147,INDIRECT(Equipo!$F$4&amp;"!"&amp;ADDRESS(10,COLUMN(J$9)-1)&amp;":"&amp;ADDRESS(1000,COLUMN(J$9)-1))),
SUMIF(INDIRECT(Equipo!$G$4&amp;"!B10:B1000"),$B147,INDIRECT(Equipo!$G$4&amp;"!"&amp;ADDRESS(10,COLUMN(J$9)-1)&amp;":"&amp;ADDRESS(1000,COLUMN(J$9)-1)))))</f>
        <v>-</v>
      </c>
      <c r="K147" s="19" t="str">
        <f t="array" ref="K147">IF(ISBLANK(Tareas!$B143),"-",SUM(
SUMIF(INDIRECT(Equipo!$C$4&amp;"!B10:B1000"),$B147,INDIRECT(Equipo!$C$4&amp;"!"&amp;ADDRESS(10,COLUMN(K$9)-1)&amp;":"&amp;ADDRESS(1000,COLUMN(K$9)-1))),
SUMIF(INDIRECT(Equipo!$D$4&amp;"!B10:B1000"),$B147,INDIRECT(Equipo!$D$4&amp;"!"&amp;ADDRESS(10,COLUMN(K$9)-1)&amp;":"&amp;ADDRESS(1000,COLUMN(K$9)-1))),
SUMIF(INDIRECT(Equipo!$E$4&amp;"!B10:B1000"),$B147,INDIRECT(Equipo!$E$4&amp;"!"&amp;ADDRESS(10,COLUMN(K$9)-1)&amp;":"&amp;ADDRESS(1000,COLUMN(K$9)-1))),
SUMIF(INDIRECT(Equipo!$F$4&amp;"!B10:B1000"),$B147,INDIRECT(Equipo!$F$4&amp;"!"&amp;ADDRESS(10,COLUMN(K$9)-1)&amp;":"&amp;ADDRESS(1000,COLUMN(K$9)-1))),
SUMIF(INDIRECT(Equipo!$G$4&amp;"!B10:B1000"),$B147,INDIRECT(Equipo!$G$4&amp;"!"&amp;ADDRESS(10,COLUMN(K$9)-1)&amp;":"&amp;ADDRESS(1000,COLUMN(K$9)-1)))))</f>
        <v>-</v>
      </c>
    </row>
    <row r="148" ht="15.75" customHeight="1">
      <c r="B148" s="1" t="str">
        <f>IF(ISBLANK(Tareas!B144)," - ",Tareas!B144)</f>
        <v> - </v>
      </c>
      <c r="D148" s="19" t="str">
        <f t="array" ref="D148">IF(ISBLANK(Tareas!$B144),"-",SUM(
SUMIF(INDIRECT(Equipo!$C$4&amp;"!B10:B1000"),$B148,INDIRECT(Equipo!$C$4&amp;"!"&amp;ADDRESS(10,COLUMN(D$9)-1)&amp;":"&amp;ADDRESS(1000,COLUMN(D$9)-1))),
SUMIF(INDIRECT(Equipo!$D$4&amp;"!B10:B1000"),$B148,INDIRECT(Equipo!$D$4&amp;"!"&amp;ADDRESS(10,COLUMN(D$9)-1)&amp;":"&amp;ADDRESS(1000,COLUMN(D$9)-1))),
SUMIF(INDIRECT(Equipo!$E$4&amp;"!B10:B1000"),$B148,INDIRECT(Equipo!$E$4&amp;"!"&amp;ADDRESS(10,COLUMN(D$9)-1)&amp;":"&amp;ADDRESS(1000,COLUMN(D$9)-1))),
SUMIF(INDIRECT(Equipo!$F$4&amp;"!B10:B1000"),$B148,INDIRECT(Equipo!$F$4&amp;"!"&amp;ADDRESS(10,COLUMN(D$9)-1)&amp;":"&amp;ADDRESS(1000,COLUMN(D$9)-1))),
SUMIF(INDIRECT(Equipo!$G$4&amp;"!B10:B1000"),$B148,INDIRECT(Equipo!$G$4&amp;"!"&amp;ADDRESS(10,COLUMN(D$9)-1)&amp;":"&amp;ADDRESS(1000,COLUMN(D$9)-1)))))</f>
        <v>-</v>
      </c>
      <c r="E148" s="19" t="str">
        <f t="array" ref="E148">IF(ISBLANK(Tareas!$B144),"-",SUM(
SUMIF(INDIRECT(Equipo!$C$4&amp;"!B10:B1000"),$B148,INDIRECT(Equipo!$C$4&amp;"!"&amp;ADDRESS(10,COLUMN(E$9)-1)&amp;":"&amp;ADDRESS(1000,COLUMN(E$9)-1))),
SUMIF(INDIRECT(Equipo!$D$4&amp;"!B10:B1000"),$B148,INDIRECT(Equipo!$D$4&amp;"!"&amp;ADDRESS(10,COLUMN(E$9)-1)&amp;":"&amp;ADDRESS(1000,COLUMN(E$9)-1))),
SUMIF(INDIRECT(Equipo!$E$4&amp;"!B10:B1000"),$B148,INDIRECT(Equipo!$E$4&amp;"!"&amp;ADDRESS(10,COLUMN(E$9)-1)&amp;":"&amp;ADDRESS(1000,COLUMN(E$9)-1))),
SUMIF(INDIRECT(Equipo!$F$4&amp;"!B10:B1000"),$B148,INDIRECT(Equipo!$F$4&amp;"!"&amp;ADDRESS(10,COLUMN(E$9)-1)&amp;":"&amp;ADDRESS(1000,COLUMN(E$9)-1))),
SUMIF(INDIRECT(Equipo!$G$4&amp;"!B10:B1000"),$B148,INDIRECT(Equipo!$G$4&amp;"!"&amp;ADDRESS(10,COLUMN(E$9)-1)&amp;":"&amp;ADDRESS(1000,COLUMN(E$9)-1)))))</f>
        <v>-</v>
      </c>
      <c r="F148" s="19" t="str">
        <f t="array" ref="F148">IF(ISBLANK(Tareas!$B144),"-",SUM(
SUMIF(INDIRECT(Equipo!$C$4&amp;"!B10:B1000"),$B148,INDIRECT(Equipo!$C$4&amp;"!"&amp;ADDRESS(10,COLUMN(F$9)-1)&amp;":"&amp;ADDRESS(1000,COLUMN(F$9)-1))),
SUMIF(INDIRECT(Equipo!$D$4&amp;"!B10:B1000"),$B148,INDIRECT(Equipo!$D$4&amp;"!"&amp;ADDRESS(10,COLUMN(F$9)-1)&amp;":"&amp;ADDRESS(1000,COLUMN(F$9)-1))),
SUMIF(INDIRECT(Equipo!$E$4&amp;"!B10:B1000"),$B148,INDIRECT(Equipo!$E$4&amp;"!"&amp;ADDRESS(10,COLUMN(F$9)-1)&amp;":"&amp;ADDRESS(1000,COLUMN(F$9)-1))),
SUMIF(INDIRECT(Equipo!$F$4&amp;"!B10:B1000"),$B148,INDIRECT(Equipo!$F$4&amp;"!"&amp;ADDRESS(10,COLUMN(F$9)-1)&amp;":"&amp;ADDRESS(1000,COLUMN(F$9)-1))),
SUMIF(INDIRECT(Equipo!$G$4&amp;"!B10:B1000"),$B148,INDIRECT(Equipo!$G$4&amp;"!"&amp;ADDRESS(10,COLUMN(F$9)-1)&amp;":"&amp;ADDRESS(1000,COLUMN(F$9)-1)))))</f>
        <v>-</v>
      </c>
      <c r="G148" s="19" t="str">
        <f t="array" ref="G148">IF(ISBLANK(Tareas!$B144),"-",SUM(
SUMIF(INDIRECT(Equipo!$C$4&amp;"!B10:B1000"),$B148,INDIRECT(Equipo!$C$4&amp;"!"&amp;ADDRESS(10,COLUMN(G$9)-1)&amp;":"&amp;ADDRESS(1000,COLUMN(G$9)-1))),
SUMIF(INDIRECT(Equipo!$D$4&amp;"!B10:B1000"),$B148,INDIRECT(Equipo!$D$4&amp;"!"&amp;ADDRESS(10,COLUMN(G$9)-1)&amp;":"&amp;ADDRESS(1000,COLUMN(G$9)-1))),
SUMIF(INDIRECT(Equipo!$E$4&amp;"!B10:B1000"),$B148,INDIRECT(Equipo!$E$4&amp;"!"&amp;ADDRESS(10,COLUMN(G$9)-1)&amp;":"&amp;ADDRESS(1000,COLUMN(G$9)-1))),
SUMIF(INDIRECT(Equipo!$F$4&amp;"!B10:B1000"),$B148,INDIRECT(Equipo!$F$4&amp;"!"&amp;ADDRESS(10,COLUMN(G$9)-1)&amp;":"&amp;ADDRESS(1000,COLUMN(G$9)-1))),
SUMIF(INDIRECT(Equipo!$G$4&amp;"!B10:B1000"),$B148,INDIRECT(Equipo!$G$4&amp;"!"&amp;ADDRESS(10,COLUMN(G$9)-1)&amp;":"&amp;ADDRESS(1000,COLUMN(G$9)-1)))))</f>
        <v>-</v>
      </c>
      <c r="H148" s="19" t="str">
        <f t="array" ref="H148">IF(ISBLANK(Tareas!$B144),"-",SUM(
SUMIF(INDIRECT(Equipo!$C$4&amp;"!B10:B1000"),$B148,INDIRECT(Equipo!$C$4&amp;"!"&amp;ADDRESS(10,COLUMN(H$9)-1)&amp;":"&amp;ADDRESS(1000,COLUMN(H$9)-1))),
SUMIF(INDIRECT(Equipo!$D$4&amp;"!B10:B1000"),$B148,INDIRECT(Equipo!$D$4&amp;"!"&amp;ADDRESS(10,COLUMN(H$9)-1)&amp;":"&amp;ADDRESS(1000,COLUMN(H$9)-1))),
SUMIF(INDIRECT(Equipo!$E$4&amp;"!B10:B1000"),$B148,INDIRECT(Equipo!$E$4&amp;"!"&amp;ADDRESS(10,COLUMN(H$9)-1)&amp;":"&amp;ADDRESS(1000,COLUMN(H$9)-1))),
SUMIF(INDIRECT(Equipo!$F$4&amp;"!B10:B1000"),$B148,INDIRECT(Equipo!$F$4&amp;"!"&amp;ADDRESS(10,COLUMN(H$9)-1)&amp;":"&amp;ADDRESS(1000,COLUMN(H$9)-1))),
SUMIF(INDIRECT(Equipo!$G$4&amp;"!B10:B1000"),$B148,INDIRECT(Equipo!$G$4&amp;"!"&amp;ADDRESS(10,COLUMN(H$9)-1)&amp;":"&amp;ADDRESS(1000,COLUMN(H$9)-1)))))</f>
        <v>-</v>
      </c>
      <c r="I148" s="19" t="str">
        <f t="array" ref="I148">IF(ISBLANK(Tareas!$B144),"-",SUM(
SUMIF(INDIRECT(Equipo!$C$4&amp;"!B10:B1000"),$B148,INDIRECT(Equipo!$C$4&amp;"!"&amp;ADDRESS(10,COLUMN(I$9)-1)&amp;":"&amp;ADDRESS(1000,COLUMN(I$9)-1))),
SUMIF(INDIRECT(Equipo!$D$4&amp;"!B10:B1000"),$B148,INDIRECT(Equipo!$D$4&amp;"!"&amp;ADDRESS(10,COLUMN(I$9)-1)&amp;":"&amp;ADDRESS(1000,COLUMN(I$9)-1))),
SUMIF(INDIRECT(Equipo!$E$4&amp;"!B10:B1000"),$B148,INDIRECT(Equipo!$E$4&amp;"!"&amp;ADDRESS(10,COLUMN(I$9)-1)&amp;":"&amp;ADDRESS(1000,COLUMN(I$9)-1))),
SUMIF(INDIRECT(Equipo!$F$4&amp;"!B10:B1000"),$B148,INDIRECT(Equipo!$F$4&amp;"!"&amp;ADDRESS(10,COLUMN(I$9)-1)&amp;":"&amp;ADDRESS(1000,COLUMN(I$9)-1))),
SUMIF(INDIRECT(Equipo!$G$4&amp;"!B10:B1000"),$B148,INDIRECT(Equipo!$G$4&amp;"!"&amp;ADDRESS(10,COLUMN(I$9)-1)&amp;":"&amp;ADDRESS(1000,COLUMN(I$9)-1)))))</f>
        <v>-</v>
      </c>
      <c r="J148" s="19" t="str">
        <f t="array" ref="J148">IF(ISBLANK(Tareas!$B144),"-",SUM(
SUMIF(INDIRECT(Equipo!$C$4&amp;"!B10:B1000"),$B148,INDIRECT(Equipo!$C$4&amp;"!"&amp;ADDRESS(10,COLUMN(J$9)-1)&amp;":"&amp;ADDRESS(1000,COLUMN(J$9)-1))),
SUMIF(INDIRECT(Equipo!$D$4&amp;"!B10:B1000"),$B148,INDIRECT(Equipo!$D$4&amp;"!"&amp;ADDRESS(10,COLUMN(J$9)-1)&amp;":"&amp;ADDRESS(1000,COLUMN(J$9)-1))),
SUMIF(INDIRECT(Equipo!$E$4&amp;"!B10:B1000"),$B148,INDIRECT(Equipo!$E$4&amp;"!"&amp;ADDRESS(10,COLUMN(J$9)-1)&amp;":"&amp;ADDRESS(1000,COLUMN(J$9)-1))),
SUMIF(INDIRECT(Equipo!$F$4&amp;"!B10:B1000"),$B148,INDIRECT(Equipo!$F$4&amp;"!"&amp;ADDRESS(10,COLUMN(J$9)-1)&amp;":"&amp;ADDRESS(1000,COLUMN(J$9)-1))),
SUMIF(INDIRECT(Equipo!$G$4&amp;"!B10:B1000"),$B148,INDIRECT(Equipo!$G$4&amp;"!"&amp;ADDRESS(10,COLUMN(J$9)-1)&amp;":"&amp;ADDRESS(1000,COLUMN(J$9)-1)))))</f>
        <v>-</v>
      </c>
      <c r="K148" s="19" t="str">
        <f t="array" ref="K148">IF(ISBLANK(Tareas!$B144),"-",SUM(
SUMIF(INDIRECT(Equipo!$C$4&amp;"!B10:B1000"),$B148,INDIRECT(Equipo!$C$4&amp;"!"&amp;ADDRESS(10,COLUMN(K$9)-1)&amp;":"&amp;ADDRESS(1000,COLUMN(K$9)-1))),
SUMIF(INDIRECT(Equipo!$D$4&amp;"!B10:B1000"),$B148,INDIRECT(Equipo!$D$4&amp;"!"&amp;ADDRESS(10,COLUMN(K$9)-1)&amp;":"&amp;ADDRESS(1000,COLUMN(K$9)-1))),
SUMIF(INDIRECT(Equipo!$E$4&amp;"!B10:B1000"),$B148,INDIRECT(Equipo!$E$4&amp;"!"&amp;ADDRESS(10,COLUMN(K$9)-1)&amp;":"&amp;ADDRESS(1000,COLUMN(K$9)-1))),
SUMIF(INDIRECT(Equipo!$F$4&amp;"!B10:B1000"),$B148,INDIRECT(Equipo!$F$4&amp;"!"&amp;ADDRESS(10,COLUMN(K$9)-1)&amp;":"&amp;ADDRESS(1000,COLUMN(K$9)-1))),
SUMIF(INDIRECT(Equipo!$G$4&amp;"!B10:B1000"),$B148,INDIRECT(Equipo!$G$4&amp;"!"&amp;ADDRESS(10,COLUMN(K$9)-1)&amp;":"&amp;ADDRESS(1000,COLUMN(K$9)-1)))))</f>
        <v>-</v>
      </c>
    </row>
    <row r="149" ht="15.75" customHeight="1">
      <c r="B149" s="1" t="str">
        <f>IF(ISBLANK(Tareas!B145)," - ",Tareas!B145)</f>
        <v> - </v>
      </c>
      <c r="D149" s="19" t="str">
        <f t="array" ref="D149">IF(ISBLANK(Tareas!$B145),"-",SUM(
SUMIF(INDIRECT(Equipo!$C$4&amp;"!B10:B1000"),$B149,INDIRECT(Equipo!$C$4&amp;"!"&amp;ADDRESS(10,COLUMN(D$9)-1)&amp;":"&amp;ADDRESS(1000,COLUMN(D$9)-1))),
SUMIF(INDIRECT(Equipo!$D$4&amp;"!B10:B1000"),$B149,INDIRECT(Equipo!$D$4&amp;"!"&amp;ADDRESS(10,COLUMN(D$9)-1)&amp;":"&amp;ADDRESS(1000,COLUMN(D$9)-1))),
SUMIF(INDIRECT(Equipo!$E$4&amp;"!B10:B1000"),$B149,INDIRECT(Equipo!$E$4&amp;"!"&amp;ADDRESS(10,COLUMN(D$9)-1)&amp;":"&amp;ADDRESS(1000,COLUMN(D$9)-1))),
SUMIF(INDIRECT(Equipo!$F$4&amp;"!B10:B1000"),$B149,INDIRECT(Equipo!$F$4&amp;"!"&amp;ADDRESS(10,COLUMN(D$9)-1)&amp;":"&amp;ADDRESS(1000,COLUMN(D$9)-1))),
SUMIF(INDIRECT(Equipo!$G$4&amp;"!B10:B1000"),$B149,INDIRECT(Equipo!$G$4&amp;"!"&amp;ADDRESS(10,COLUMN(D$9)-1)&amp;":"&amp;ADDRESS(1000,COLUMN(D$9)-1)))))</f>
        <v>-</v>
      </c>
      <c r="E149" s="19" t="str">
        <f t="array" ref="E149">IF(ISBLANK(Tareas!$B145),"-",SUM(
SUMIF(INDIRECT(Equipo!$C$4&amp;"!B10:B1000"),$B149,INDIRECT(Equipo!$C$4&amp;"!"&amp;ADDRESS(10,COLUMN(E$9)-1)&amp;":"&amp;ADDRESS(1000,COLUMN(E$9)-1))),
SUMIF(INDIRECT(Equipo!$D$4&amp;"!B10:B1000"),$B149,INDIRECT(Equipo!$D$4&amp;"!"&amp;ADDRESS(10,COLUMN(E$9)-1)&amp;":"&amp;ADDRESS(1000,COLUMN(E$9)-1))),
SUMIF(INDIRECT(Equipo!$E$4&amp;"!B10:B1000"),$B149,INDIRECT(Equipo!$E$4&amp;"!"&amp;ADDRESS(10,COLUMN(E$9)-1)&amp;":"&amp;ADDRESS(1000,COLUMN(E$9)-1))),
SUMIF(INDIRECT(Equipo!$F$4&amp;"!B10:B1000"),$B149,INDIRECT(Equipo!$F$4&amp;"!"&amp;ADDRESS(10,COLUMN(E$9)-1)&amp;":"&amp;ADDRESS(1000,COLUMN(E$9)-1))),
SUMIF(INDIRECT(Equipo!$G$4&amp;"!B10:B1000"),$B149,INDIRECT(Equipo!$G$4&amp;"!"&amp;ADDRESS(10,COLUMN(E$9)-1)&amp;":"&amp;ADDRESS(1000,COLUMN(E$9)-1)))))</f>
        <v>-</v>
      </c>
      <c r="F149" s="19" t="str">
        <f t="array" ref="F149">IF(ISBLANK(Tareas!$B145),"-",SUM(
SUMIF(INDIRECT(Equipo!$C$4&amp;"!B10:B1000"),$B149,INDIRECT(Equipo!$C$4&amp;"!"&amp;ADDRESS(10,COLUMN(F$9)-1)&amp;":"&amp;ADDRESS(1000,COLUMN(F$9)-1))),
SUMIF(INDIRECT(Equipo!$D$4&amp;"!B10:B1000"),$B149,INDIRECT(Equipo!$D$4&amp;"!"&amp;ADDRESS(10,COLUMN(F$9)-1)&amp;":"&amp;ADDRESS(1000,COLUMN(F$9)-1))),
SUMIF(INDIRECT(Equipo!$E$4&amp;"!B10:B1000"),$B149,INDIRECT(Equipo!$E$4&amp;"!"&amp;ADDRESS(10,COLUMN(F$9)-1)&amp;":"&amp;ADDRESS(1000,COLUMN(F$9)-1))),
SUMIF(INDIRECT(Equipo!$F$4&amp;"!B10:B1000"),$B149,INDIRECT(Equipo!$F$4&amp;"!"&amp;ADDRESS(10,COLUMN(F$9)-1)&amp;":"&amp;ADDRESS(1000,COLUMN(F$9)-1))),
SUMIF(INDIRECT(Equipo!$G$4&amp;"!B10:B1000"),$B149,INDIRECT(Equipo!$G$4&amp;"!"&amp;ADDRESS(10,COLUMN(F$9)-1)&amp;":"&amp;ADDRESS(1000,COLUMN(F$9)-1)))))</f>
        <v>-</v>
      </c>
      <c r="G149" s="19" t="str">
        <f t="array" ref="G149">IF(ISBLANK(Tareas!$B145),"-",SUM(
SUMIF(INDIRECT(Equipo!$C$4&amp;"!B10:B1000"),$B149,INDIRECT(Equipo!$C$4&amp;"!"&amp;ADDRESS(10,COLUMN(G$9)-1)&amp;":"&amp;ADDRESS(1000,COLUMN(G$9)-1))),
SUMIF(INDIRECT(Equipo!$D$4&amp;"!B10:B1000"),$B149,INDIRECT(Equipo!$D$4&amp;"!"&amp;ADDRESS(10,COLUMN(G$9)-1)&amp;":"&amp;ADDRESS(1000,COLUMN(G$9)-1))),
SUMIF(INDIRECT(Equipo!$E$4&amp;"!B10:B1000"),$B149,INDIRECT(Equipo!$E$4&amp;"!"&amp;ADDRESS(10,COLUMN(G$9)-1)&amp;":"&amp;ADDRESS(1000,COLUMN(G$9)-1))),
SUMIF(INDIRECT(Equipo!$F$4&amp;"!B10:B1000"),$B149,INDIRECT(Equipo!$F$4&amp;"!"&amp;ADDRESS(10,COLUMN(G$9)-1)&amp;":"&amp;ADDRESS(1000,COLUMN(G$9)-1))),
SUMIF(INDIRECT(Equipo!$G$4&amp;"!B10:B1000"),$B149,INDIRECT(Equipo!$G$4&amp;"!"&amp;ADDRESS(10,COLUMN(G$9)-1)&amp;":"&amp;ADDRESS(1000,COLUMN(G$9)-1)))))</f>
        <v>-</v>
      </c>
      <c r="H149" s="19" t="str">
        <f t="array" ref="H149">IF(ISBLANK(Tareas!$B145),"-",SUM(
SUMIF(INDIRECT(Equipo!$C$4&amp;"!B10:B1000"),$B149,INDIRECT(Equipo!$C$4&amp;"!"&amp;ADDRESS(10,COLUMN(H$9)-1)&amp;":"&amp;ADDRESS(1000,COLUMN(H$9)-1))),
SUMIF(INDIRECT(Equipo!$D$4&amp;"!B10:B1000"),$B149,INDIRECT(Equipo!$D$4&amp;"!"&amp;ADDRESS(10,COLUMN(H$9)-1)&amp;":"&amp;ADDRESS(1000,COLUMN(H$9)-1))),
SUMIF(INDIRECT(Equipo!$E$4&amp;"!B10:B1000"),$B149,INDIRECT(Equipo!$E$4&amp;"!"&amp;ADDRESS(10,COLUMN(H$9)-1)&amp;":"&amp;ADDRESS(1000,COLUMN(H$9)-1))),
SUMIF(INDIRECT(Equipo!$F$4&amp;"!B10:B1000"),$B149,INDIRECT(Equipo!$F$4&amp;"!"&amp;ADDRESS(10,COLUMN(H$9)-1)&amp;":"&amp;ADDRESS(1000,COLUMN(H$9)-1))),
SUMIF(INDIRECT(Equipo!$G$4&amp;"!B10:B1000"),$B149,INDIRECT(Equipo!$G$4&amp;"!"&amp;ADDRESS(10,COLUMN(H$9)-1)&amp;":"&amp;ADDRESS(1000,COLUMN(H$9)-1)))))</f>
        <v>-</v>
      </c>
      <c r="I149" s="19" t="str">
        <f t="array" ref="I149">IF(ISBLANK(Tareas!$B145),"-",SUM(
SUMIF(INDIRECT(Equipo!$C$4&amp;"!B10:B1000"),$B149,INDIRECT(Equipo!$C$4&amp;"!"&amp;ADDRESS(10,COLUMN(I$9)-1)&amp;":"&amp;ADDRESS(1000,COLUMN(I$9)-1))),
SUMIF(INDIRECT(Equipo!$D$4&amp;"!B10:B1000"),$B149,INDIRECT(Equipo!$D$4&amp;"!"&amp;ADDRESS(10,COLUMN(I$9)-1)&amp;":"&amp;ADDRESS(1000,COLUMN(I$9)-1))),
SUMIF(INDIRECT(Equipo!$E$4&amp;"!B10:B1000"),$B149,INDIRECT(Equipo!$E$4&amp;"!"&amp;ADDRESS(10,COLUMN(I$9)-1)&amp;":"&amp;ADDRESS(1000,COLUMN(I$9)-1))),
SUMIF(INDIRECT(Equipo!$F$4&amp;"!B10:B1000"),$B149,INDIRECT(Equipo!$F$4&amp;"!"&amp;ADDRESS(10,COLUMN(I$9)-1)&amp;":"&amp;ADDRESS(1000,COLUMN(I$9)-1))),
SUMIF(INDIRECT(Equipo!$G$4&amp;"!B10:B1000"),$B149,INDIRECT(Equipo!$G$4&amp;"!"&amp;ADDRESS(10,COLUMN(I$9)-1)&amp;":"&amp;ADDRESS(1000,COLUMN(I$9)-1)))))</f>
        <v>-</v>
      </c>
      <c r="J149" s="19" t="str">
        <f t="array" ref="J149">IF(ISBLANK(Tareas!$B145),"-",SUM(
SUMIF(INDIRECT(Equipo!$C$4&amp;"!B10:B1000"),$B149,INDIRECT(Equipo!$C$4&amp;"!"&amp;ADDRESS(10,COLUMN(J$9)-1)&amp;":"&amp;ADDRESS(1000,COLUMN(J$9)-1))),
SUMIF(INDIRECT(Equipo!$D$4&amp;"!B10:B1000"),$B149,INDIRECT(Equipo!$D$4&amp;"!"&amp;ADDRESS(10,COLUMN(J$9)-1)&amp;":"&amp;ADDRESS(1000,COLUMN(J$9)-1))),
SUMIF(INDIRECT(Equipo!$E$4&amp;"!B10:B1000"),$B149,INDIRECT(Equipo!$E$4&amp;"!"&amp;ADDRESS(10,COLUMN(J$9)-1)&amp;":"&amp;ADDRESS(1000,COLUMN(J$9)-1))),
SUMIF(INDIRECT(Equipo!$F$4&amp;"!B10:B1000"),$B149,INDIRECT(Equipo!$F$4&amp;"!"&amp;ADDRESS(10,COLUMN(J$9)-1)&amp;":"&amp;ADDRESS(1000,COLUMN(J$9)-1))),
SUMIF(INDIRECT(Equipo!$G$4&amp;"!B10:B1000"),$B149,INDIRECT(Equipo!$G$4&amp;"!"&amp;ADDRESS(10,COLUMN(J$9)-1)&amp;":"&amp;ADDRESS(1000,COLUMN(J$9)-1)))))</f>
        <v>-</v>
      </c>
      <c r="K149" s="19" t="str">
        <f t="array" ref="K149">IF(ISBLANK(Tareas!$B145),"-",SUM(
SUMIF(INDIRECT(Equipo!$C$4&amp;"!B10:B1000"),$B149,INDIRECT(Equipo!$C$4&amp;"!"&amp;ADDRESS(10,COLUMN(K$9)-1)&amp;":"&amp;ADDRESS(1000,COLUMN(K$9)-1))),
SUMIF(INDIRECT(Equipo!$D$4&amp;"!B10:B1000"),$B149,INDIRECT(Equipo!$D$4&amp;"!"&amp;ADDRESS(10,COLUMN(K$9)-1)&amp;":"&amp;ADDRESS(1000,COLUMN(K$9)-1))),
SUMIF(INDIRECT(Equipo!$E$4&amp;"!B10:B1000"),$B149,INDIRECT(Equipo!$E$4&amp;"!"&amp;ADDRESS(10,COLUMN(K$9)-1)&amp;":"&amp;ADDRESS(1000,COLUMN(K$9)-1))),
SUMIF(INDIRECT(Equipo!$F$4&amp;"!B10:B1000"),$B149,INDIRECT(Equipo!$F$4&amp;"!"&amp;ADDRESS(10,COLUMN(K$9)-1)&amp;":"&amp;ADDRESS(1000,COLUMN(K$9)-1))),
SUMIF(INDIRECT(Equipo!$G$4&amp;"!B10:B1000"),$B149,INDIRECT(Equipo!$G$4&amp;"!"&amp;ADDRESS(10,COLUMN(K$9)-1)&amp;":"&amp;ADDRESS(1000,COLUMN(K$9)-1)))))</f>
        <v>-</v>
      </c>
    </row>
    <row r="150" ht="15.75" customHeight="1">
      <c r="B150" s="1" t="str">
        <f>IF(ISBLANK(Tareas!B146)," - ",Tareas!B146)</f>
        <v> - </v>
      </c>
      <c r="D150" s="19" t="str">
        <f t="array" ref="D150">IF(ISBLANK(Tareas!$B146),"-",SUM(
SUMIF(INDIRECT(Equipo!$C$4&amp;"!B10:B1000"),$B150,INDIRECT(Equipo!$C$4&amp;"!"&amp;ADDRESS(10,COLUMN(D$9)-1)&amp;":"&amp;ADDRESS(1000,COLUMN(D$9)-1))),
SUMIF(INDIRECT(Equipo!$D$4&amp;"!B10:B1000"),$B150,INDIRECT(Equipo!$D$4&amp;"!"&amp;ADDRESS(10,COLUMN(D$9)-1)&amp;":"&amp;ADDRESS(1000,COLUMN(D$9)-1))),
SUMIF(INDIRECT(Equipo!$E$4&amp;"!B10:B1000"),$B150,INDIRECT(Equipo!$E$4&amp;"!"&amp;ADDRESS(10,COLUMN(D$9)-1)&amp;":"&amp;ADDRESS(1000,COLUMN(D$9)-1))),
SUMIF(INDIRECT(Equipo!$F$4&amp;"!B10:B1000"),$B150,INDIRECT(Equipo!$F$4&amp;"!"&amp;ADDRESS(10,COLUMN(D$9)-1)&amp;":"&amp;ADDRESS(1000,COLUMN(D$9)-1))),
SUMIF(INDIRECT(Equipo!$G$4&amp;"!B10:B1000"),$B150,INDIRECT(Equipo!$G$4&amp;"!"&amp;ADDRESS(10,COLUMN(D$9)-1)&amp;":"&amp;ADDRESS(1000,COLUMN(D$9)-1)))))</f>
        <v>-</v>
      </c>
      <c r="E150" s="19" t="str">
        <f t="array" ref="E150">IF(ISBLANK(Tareas!$B146),"-",SUM(
SUMIF(INDIRECT(Equipo!$C$4&amp;"!B10:B1000"),$B150,INDIRECT(Equipo!$C$4&amp;"!"&amp;ADDRESS(10,COLUMN(E$9)-1)&amp;":"&amp;ADDRESS(1000,COLUMN(E$9)-1))),
SUMIF(INDIRECT(Equipo!$D$4&amp;"!B10:B1000"),$B150,INDIRECT(Equipo!$D$4&amp;"!"&amp;ADDRESS(10,COLUMN(E$9)-1)&amp;":"&amp;ADDRESS(1000,COLUMN(E$9)-1))),
SUMIF(INDIRECT(Equipo!$E$4&amp;"!B10:B1000"),$B150,INDIRECT(Equipo!$E$4&amp;"!"&amp;ADDRESS(10,COLUMN(E$9)-1)&amp;":"&amp;ADDRESS(1000,COLUMN(E$9)-1))),
SUMIF(INDIRECT(Equipo!$F$4&amp;"!B10:B1000"),$B150,INDIRECT(Equipo!$F$4&amp;"!"&amp;ADDRESS(10,COLUMN(E$9)-1)&amp;":"&amp;ADDRESS(1000,COLUMN(E$9)-1))),
SUMIF(INDIRECT(Equipo!$G$4&amp;"!B10:B1000"),$B150,INDIRECT(Equipo!$G$4&amp;"!"&amp;ADDRESS(10,COLUMN(E$9)-1)&amp;":"&amp;ADDRESS(1000,COLUMN(E$9)-1)))))</f>
        <v>-</v>
      </c>
      <c r="F150" s="19" t="str">
        <f t="array" ref="F150">IF(ISBLANK(Tareas!$B146),"-",SUM(
SUMIF(INDIRECT(Equipo!$C$4&amp;"!B10:B1000"),$B150,INDIRECT(Equipo!$C$4&amp;"!"&amp;ADDRESS(10,COLUMN(F$9)-1)&amp;":"&amp;ADDRESS(1000,COLUMN(F$9)-1))),
SUMIF(INDIRECT(Equipo!$D$4&amp;"!B10:B1000"),$B150,INDIRECT(Equipo!$D$4&amp;"!"&amp;ADDRESS(10,COLUMN(F$9)-1)&amp;":"&amp;ADDRESS(1000,COLUMN(F$9)-1))),
SUMIF(INDIRECT(Equipo!$E$4&amp;"!B10:B1000"),$B150,INDIRECT(Equipo!$E$4&amp;"!"&amp;ADDRESS(10,COLUMN(F$9)-1)&amp;":"&amp;ADDRESS(1000,COLUMN(F$9)-1))),
SUMIF(INDIRECT(Equipo!$F$4&amp;"!B10:B1000"),$B150,INDIRECT(Equipo!$F$4&amp;"!"&amp;ADDRESS(10,COLUMN(F$9)-1)&amp;":"&amp;ADDRESS(1000,COLUMN(F$9)-1))),
SUMIF(INDIRECT(Equipo!$G$4&amp;"!B10:B1000"),$B150,INDIRECT(Equipo!$G$4&amp;"!"&amp;ADDRESS(10,COLUMN(F$9)-1)&amp;":"&amp;ADDRESS(1000,COLUMN(F$9)-1)))))</f>
        <v>-</v>
      </c>
      <c r="G150" s="19" t="str">
        <f t="array" ref="G150">IF(ISBLANK(Tareas!$B146),"-",SUM(
SUMIF(INDIRECT(Equipo!$C$4&amp;"!B10:B1000"),$B150,INDIRECT(Equipo!$C$4&amp;"!"&amp;ADDRESS(10,COLUMN(G$9)-1)&amp;":"&amp;ADDRESS(1000,COLUMN(G$9)-1))),
SUMIF(INDIRECT(Equipo!$D$4&amp;"!B10:B1000"),$B150,INDIRECT(Equipo!$D$4&amp;"!"&amp;ADDRESS(10,COLUMN(G$9)-1)&amp;":"&amp;ADDRESS(1000,COLUMN(G$9)-1))),
SUMIF(INDIRECT(Equipo!$E$4&amp;"!B10:B1000"),$B150,INDIRECT(Equipo!$E$4&amp;"!"&amp;ADDRESS(10,COLUMN(G$9)-1)&amp;":"&amp;ADDRESS(1000,COLUMN(G$9)-1))),
SUMIF(INDIRECT(Equipo!$F$4&amp;"!B10:B1000"),$B150,INDIRECT(Equipo!$F$4&amp;"!"&amp;ADDRESS(10,COLUMN(G$9)-1)&amp;":"&amp;ADDRESS(1000,COLUMN(G$9)-1))),
SUMIF(INDIRECT(Equipo!$G$4&amp;"!B10:B1000"),$B150,INDIRECT(Equipo!$G$4&amp;"!"&amp;ADDRESS(10,COLUMN(G$9)-1)&amp;":"&amp;ADDRESS(1000,COLUMN(G$9)-1)))))</f>
        <v>-</v>
      </c>
      <c r="H150" s="19" t="str">
        <f t="array" ref="H150">IF(ISBLANK(Tareas!$B146),"-",SUM(
SUMIF(INDIRECT(Equipo!$C$4&amp;"!B10:B1000"),$B150,INDIRECT(Equipo!$C$4&amp;"!"&amp;ADDRESS(10,COLUMN(H$9)-1)&amp;":"&amp;ADDRESS(1000,COLUMN(H$9)-1))),
SUMIF(INDIRECT(Equipo!$D$4&amp;"!B10:B1000"),$B150,INDIRECT(Equipo!$D$4&amp;"!"&amp;ADDRESS(10,COLUMN(H$9)-1)&amp;":"&amp;ADDRESS(1000,COLUMN(H$9)-1))),
SUMIF(INDIRECT(Equipo!$E$4&amp;"!B10:B1000"),$B150,INDIRECT(Equipo!$E$4&amp;"!"&amp;ADDRESS(10,COLUMN(H$9)-1)&amp;":"&amp;ADDRESS(1000,COLUMN(H$9)-1))),
SUMIF(INDIRECT(Equipo!$F$4&amp;"!B10:B1000"),$B150,INDIRECT(Equipo!$F$4&amp;"!"&amp;ADDRESS(10,COLUMN(H$9)-1)&amp;":"&amp;ADDRESS(1000,COLUMN(H$9)-1))),
SUMIF(INDIRECT(Equipo!$G$4&amp;"!B10:B1000"),$B150,INDIRECT(Equipo!$G$4&amp;"!"&amp;ADDRESS(10,COLUMN(H$9)-1)&amp;":"&amp;ADDRESS(1000,COLUMN(H$9)-1)))))</f>
        <v>-</v>
      </c>
      <c r="I150" s="19" t="str">
        <f t="array" ref="I150">IF(ISBLANK(Tareas!$B146),"-",SUM(
SUMIF(INDIRECT(Equipo!$C$4&amp;"!B10:B1000"),$B150,INDIRECT(Equipo!$C$4&amp;"!"&amp;ADDRESS(10,COLUMN(I$9)-1)&amp;":"&amp;ADDRESS(1000,COLUMN(I$9)-1))),
SUMIF(INDIRECT(Equipo!$D$4&amp;"!B10:B1000"),$B150,INDIRECT(Equipo!$D$4&amp;"!"&amp;ADDRESS(10,COLUMN(I$9)-1)&amp;":"&amp;ADDRESS(1000,COLUMN(I$9)-1))),
SUMIF(INDIRECT(Equipo!$E$4&amp;"!B10:B1000"),$B150,INDIRECT(Equipo!$E$4&amp;"!"&amp;ADDRESS(10,COLUMN(I$9)-1)&amp;":"&amp;ADDRESS(1000,COLUMN(I$9)-1))),
SUMIF(INDIRECT(Equipo!$F$4&amp;"!B10:B1000"),$B150,INDIRECT(Equipo!$F$4&amp;"!"&amp;ADDRESS(10,COLUMN(I$9)-1)&amp;":"&amp;ADDRESS(1000,COLUMN(I$9)-1))),
SUMIF(INDIRECT(Equipo!$G$4&amp;"!B10:B1000"),$B150,INDIRECT(Equipo!$G$4&amp;"!"&amp;ADDRESS(10,COLUMN(I$9)-1)&amp;":"&amp;ADDRESS(1000,COLUMN(I$9)-1)))))</f>
        <v>-</v>
      </c>
      <c r="J150" s="19" t="str">
        <f t="array" ref="J150">IF(ISBLANK(Tareas!$B146),"-",SUM(
SUMIF(INDIRECT(Equipo!$C$4&amp;"!B10:B1000"),$B150,INDIRECT(Equipo!$C$4&amp;"!"&amp;ADDRESS(10,COLUMN(J$9)-1)&amp;":"&amp;ADDRESS(1000,COLUMN(J$9)-1))),
SUMIF(INDIRECT(Equipo!$D$4&amp;"!B10:B1000"),$B150,INDIRECT(Equipo!$D$4&amp;"!"&amp;ADDRESS(10,COLUMN(J$9)-1)&amp;":"&amp;ADDRESS(1000,COLUMN(J$9)-1))),
SUMIF(INDIRECT(Equipo!$E$4&amp;"!B10:B1000"),$B150,INDIRECT(Equipo!$E$4&amp;"!"&amp;ADDRESS(10,COLUMN(J$9)-1)&amp;":"&amp;ADDRESS(1000,COLUMN(J$9)-1))),
SUMIF(INDIRECT(Equipo!$F$4&amp;"!B10:B1000"),$B150,INDIRECT(Equipo!$F$4&amp;"!"&amp;ADDRESS(10,COLUMN(J$9)-1)&amp;":"&amp;ADDRESS(1000,COLUMN(J$9)-1))),
SUMIF(INDIRECT(Equipo!$G$4&amp;"!B10:B1000"),$B150,INDIRECT(Equipo!$G$4&amp;"!"&amp;ADDRESS(10,COLUMN(J$9)-1)&amp;":"&amp;ADDRESS(1000,COLUMN(J$9)-1)))))</f>
        <v>-</v>
      </c>
      <c r="K150" s="19" t="str">
        <f t="array" ref="K150">IF(ISBLANK(Tareas!$B146),"-",SUM(
SUMIF(INDIRECT(Equipo!$C$4&amp;"!B10:B1000"),$B150,INDIRECT(Equipo!$C$4&amp;"!"&amp;ADDRESS(10,COLUMN(K$9)-1)&amp;":"&amp;ADDRESS(1000,COLUMN(K$9)-1))),
SUMIF(INDIRECT(Equipo!$D$4&amp;"!B10:B1000"),$B150,INDIRECT(Equipo!$D$4&amp;"!"&amp;ADDRESS(10,COLUMN(K$9)-1)&amp;":"&amp;ADDRESS(1000,COLUMN(K$9)-1))),
SUMIF(INDIRECT(Equipo!$E$4&amp;"!B10:B1000"),$B150,INDIRECT(Equipo!$E$4&amp;"!"&amp;ADDRESS(10,COLUMN(K$9)-1)&amp;":"&amp;ADDRESS(1000,COLUMN(K$9)-1))),
SUMIF(INDIRECT(Equipo!$F$4&amp;"!B10:B1000"),$B150,INDIRECT(Equipo!$F$4&amp;"!"&amp;ADDRESS(10,COLUMN(K$9)-1)&amp;":"&amp;ADDRESS(1000,COLUMN(K$9)-1))),
SUMIF(INDIRECT(Equipo!$G$4&amp;"!B10:B1000"),$B150,INDIRECT(Equipo!$G$4&amp;"!"&amp;ADDRESS(10,COLUMN(K$9)-1)&amp;":"&amp;ADDRESS(1000,COLUMN(K$9)-1)))))</f>
        <v>-</v>
      </c>
    </row>
    <row r="151" ht="15.75" customHeight="1">
      <c r="B151" s="1" t="str">
        <f>IF(ISBLANK(Tareas!B147)," - ",Tareas!B147)</f>
        <v> - </v>
      </c>
      <c r="D151" s="19" t="str">
        <f t="array" ref="D151">IF(ISBLANK(Tareas!$B147),"-",SUM(
SUMIF(INDIRECT(Equipo!$C$4&amp;"!B10:B1000"),$B151,INDIRECT(Equipo!$C$4&amp;"!"&amp;ADDRESS(10,COLUMN(D$9)-1)&amp;":"&amp;ADDRESS(1000,COLUMN(D$9)-1))),
SUMIF(INDIRECT(Equipo!$D$4&amp;"!B10:B1000"),$B151,INDIRECT(Equipo!$D$4&amp;"!"&amp;ADDRESS(10,COLUMN(D$9)-1)&amp;":"&amp;ADDRESS(1000,COLUMN(D$9)-1))),
SUMIF(INDIRECT(Equipo!$E$4&amp;"!B10:B1000"),$B151,INDIRECT(Equipo!$E$4&amp;"!"&amp;ADDRESS(10,COLUMN(D$9)-1)&amp;":"&amp;ADDRESS(1000,COLUMN(D$9)-1))),
SUMIF(INDIRECT(Equipo!$F$4&amp;"!B10:B1000"),$B151,INDIRECT(Equipo!$F$4&amp;"!"&amp;ADDRESS(10,COLUMN(D$9)-1)&amp;":"&amp;ADDRESS(1000,COLUMN(D$9)-1))),
SUMIF(INDIRECT(Equipo!$G$4&amp;"!B10:B1000"),$B151,INDIRECT(Equipo!$G$4&amp;"!"&amp;ADDRESS(10,COLUMN(D$9)-1)&amp;":"&amp;ADDRESS(1000,COLUMN(D$9)-1)))))</f>
        <v>-</v>
      </c>
      <c r="E151" s="19" t="str">
        <f t="array" ref="E151">IF(ISBLANK(Tareas!$B147),"-",SUM(
SUMIF(INDIRECT(Equipo!$C$4&amp;"!B10:B1000"),$B151,INDIRECT(Equipo!$C$4&amp;"!"&amp;ADDRESS(10,COLUMN(E$9)-1)&amp;":"&amp;ADDRESS(1000,COLUMN(E$9)-1))),
SUMIF(INDIRECT(Equipo!$D$4&amp;"!B10:B1000"),$B151,INDIRECT(Equipo!$D$4&amp;"!"&amp;ADDRESS(10,COLUMN(E$9)-1)&amp;":"&amp;ADDRESS(1000,COLUMN(E$9)-1))),
SUMIF(INDIRECT(Equipo!$E$4&amp;"!B10:B1000"),$B151,INDIRECT(Equipo!$E$4&amp;"!"&amp;ADDRESS(10,COLUMN(E$9)-1)&amp;":"&amp;ADDRESS(1000,COLUMN(E$9)-1))),
SUMIF(INDIRECT(Equipo!$F$4&amp;"!B10:B1000"),$B151,INDIRECT(Equipo!$F$4&amp;"!"&amp;ADDRESS(10,COLUMN(E$9)-1)&amp;":"&amp;ADDRESS(1000,COLUMN(E$9)-1))),
SUMIF(INDIRECT(Equipo!$G$4&amp;"!B10:B1000"),$B151,INDIRECT(Equipo!$G$4&amp;"!"&amp;ADDRESS(10,COLUMN(E$9)-1)&amp;":"&amp;ADDRESS(1000,COLUMN(E$9)-1)))))</f>
        <v>-</v>
      </c>
      <c r="F151" s="19" t="str">
        <f t="array" ref="F151">IF(ISBLANK(Tareas!$B147),"-",SUM(
SUMIF(INDIRECT(Equipo!$C$4&amp;"!B10:B1000"),$B151,INDIRECT(Equipo!$C$4&amp;"!"&amp;ADDRESS(10,COLUMN(F$9)-1)&amp;":"&amp;ADDRESS(1000,COLUMN(F$9)-1))),
SUMIF(INDIRECT(Equipo!$D$4&amp;"!B10:B1000"),$B151,INDIRECT(Equipo!$D$4&amp;"!"&amp;ADDRESS(10,COLUMN(F$9)-1)&amp;":"&amp;ADDRESS(1000,COLUMN(F$9)-1))),
SUMIF(INDIRECT(Equipo!$E$4&amp;"!B10:B1000"),$B151,INDIRECT(Equipo!$E$4&amp;"!"&amp;ADDRESS(10,COLUMN(F$9)-1)&amp;":"&amp;ADDRESS(1000,COLUMN(F$9)-1))),
SUMIF(INDIRECT(Equipo!$F$4&amp;"!B10:B1000"),$B151,INDIRECT(Equipo!$F$4&amp;"!"&amp;ADDRESS(10,COLUMN(F$9)-1)&amp;":"&amp;ADDRESS(1000,COLUMN(F$9)-1))),
SUMIF(INDIRECT(Equipo!$G$4&amp;"!B10:B1000"),$B151,INDIRECT(Equipo!$G$4&amp;"!"&amp;ADDRESS(10,COLUMN(F$9)-1)&amp;":"&amp;ADDRESS(1000,COLUMN(F$9)-1)))))</f>
        <v>-</v>
      </c>
      <c r="G151" s="19" t="str">
        <f t="array" ref="G151">IF(ISBLANK(Tareas!$B147),"-",SUM(
SUMIF(INDIRECT(Equipo!$C$4&amp;"!B10:B1000"),$B151,INDIRECT(Equipo!$C$4&amp;"!"&amp;ADDRESS(10,COLUMN(G$9)-1)&amp;":"&amp;ADDRESS(1000,COLUMN(G$9)-1))),
SUMIF(INDIRECT(Equipo!$D$4&amp;"!B10:B1000"),$B151,INDIRECT(Equipo!$D$4&amp;"!"&amp;ADDRESS(10,COLUMN(G$9)-1)&amp;":"&amp;ADDRESS(1000,COLUMN(G$9)-1))),
SUMIF(INDIRECT(Equipo!$E$4&amp;"!B10:B1000"),$B151,INDIRECT(Equipo!$E$4&amp;"!"&amp;ADDRESS(10,COLUMN(G$9)-1)&amp;":"&amp;ADDRESS(1000,COLUMN(G$9)-1))),
SUMIF(INDIRECT(Equipo!$F$4&amp;"!B10:B1000"),$B151,INDIRECT(Equipo!$F$4&amp;"!"&amp;ADDRESS(10,COLUMN(G$9)-1)&amp;":"&amp;ADDRESS(1000,COLUMN(G$9)-1))),
SUMIF(INDIRECT(Equipo!$G$4&amp;"!B10:B1000"),$B151,INDIRECT(Equipo!$G$4&amp;"!"&amp;ADDRESS(10,COLUMN(G$9)-1)&amp;":"&amp;ADDRESS(1000,COLUMN(G$9)-1)))))</f>
        <v>-</v>
      </c>
      <c r="H151" s="19" t="str">
        <f t="array" ref="H151">IF(ISBLANK(Tareas!$B147),"-",SUM(
SUMIF(INDIRECT(Equipo!$C$4&amp;"!B10:B1000"),$B151,INDIRECT(Equipo!$C$4&amp;"!"&amp;ADDRESS(10,COLUMN(H$9)-1)&amp;":"&amp;ADDRESS(1000,COLUMN(H$9)-1))),
SUMIF(INDIRECT(Equipo!$D$4&amp;"!B10:B1000"),$B151,INDIRECT(Equipo!$D$4&amp;"!"&amp;ADDRESS(10,COLUMN(H$9)-1)&amp;":"&amp;ADDRESS(1000,COLUMN(H$9)-1))),
SUMIF(INDIRECT(Equipo!$E$4&amp;"!B10:B1000"),$B151,INDIRECT(Equipo!$E$4&amp;"!"&amp;ADDRESS(10,COLUMN(H$9)-1)&amp;":"&amp;ADDRESS(1000,COLUMN(H$9)-1))),
SUMIF(INDIRECT(Equipo!$F$4&amp;"!B10:B1000"),$B151,INDIRECT(Equipo!$F$4&amp;"!"&amp;ADDRESS(10,COLUMN(H$9)-1)&amp;":"&amp;ADDRESS(1000,COLUMN(H$9)-1))),
SUMIF(INDIRECT(Equipo!$G$4&amp;"!B10:B1000"),$B151,INDIRECT(Equipo!$G$4&amp;"!"&amp;ADDRESS(10,COLUMN(H$9)-1)&amp;":"&amp;ADDRESS(1000,COLUMN(H$9)-1)))))</f>
        <v>-</v>
      </c>
      <c r="I151" s="19" t="str">
        <f t="array" ref="I151">IF(ISBLANK(Tareas!$B147),"-",SUM(
SUMIF(INDIRECT(Equipo!$C$4&amp;"!B10:B1000"),$B151,INDIRECT(Equipo!$C$4&amp;"!"&amp;ADDRESS(10,COLUMN(I$9)-1)&amp;":"&amp;ADDRESS(1000,COLUMN(I$9)-1))),
SUMIF(INDIRECT(Equipo!$D$4&amp;"!B10:B1000"),$B151,INDIRECT(Equipo!$D$4&amp;"!"&amp;ADDRESS(10,COLUMN(I$9)-1)&amp;":"&amp;ADDRESS(1000,COLUMN(I$9)-1))),
SUMIF(INDIRECT(Equipo!$E$4&amp;"!B10:B1000"),$B151,INDIRECT(Equipo!$E$4&amp;"!"&amp;ADDRESS(10,COLUMN(I$9)-1)&amp;":"&amp;ADDRESS(1000,COLUMN(I$9)-1))),
SUMIF(INDIRECT(Equipo!$F$4&amp;"!B10:B1000"),$B151,INDIRECT(Equipo!$F$4&amp;"!"&amp;ADDRESS(10,COLUMN(I$9)-1)&amp;":"&amp;ADDRESS(1000,COLUMN(I$9)-1))),
SUMIF(INDIRECT(Equipo!$G$4&amp;"!B10:B1000"),$B151,INDIRECT(Equipo!$G$4&amp;"!"&amp;ADDRESS(10,COLUMN(I$9)-1)&amp;":"&amp;ADDRESS(1000,COLUMN(I$9)-1)))))</f>
        <v>-</v>
      </c>
      <c r="J151" s="19" t="str">
        <f t="array" ref="J151">IF(ISBLANK(Tareas!$B147),"-",SUM(
SUMIF(INDIRECT(Equipo!$C$4&amp;"!B10:B1000"),$B151,INDIRECT(Equipo!$C$4&amp;"!"&amp;ADDRESS(10,COLUMN(J$9)-1)&amp;":"&amp;ADDRESS(1000,COLUMN(J$9)-1))),
SUMIF(INDIRECT(Equipo!$D$4&amp;"!B10:B1000"),$B151,INDIRECT(Equipo!$D$4&amp;"!"&amp;ADDRESS(10,COLUMN(J$9)-1)&amp;":"&amp;ADDRESS(1000,COLUMN(J$9)-1))),
SUMIF(INDIRECT(Equipo!$E$4&amp;"!B10:B1000"),$B151,INDIRECT(Equipo!$E$4&amp;"!"&amp;ADDRESS(10,COLUMN(J$9)-1)&amp;":"&amp;ADDRESS(1000,COLUMN(J$9)-1))),
SUMIF(INDIRECT(Equipo!$F$4&amp;"!B10:B1000"),$B151,INDIRECT(Equipo!$F$4&amp;"!"&amp;ADDRESS(10,COLUMN(J$9)-1)&amp;":"&amp;ADDRESS(1000,COLUMN(J$9)-1))),
SUMIF(INDIRECT(Equipo!$G$4&amp;"!B10:B1000"),$B151,INDIRECT(Equipo!$G$4&amp;"!"&amp;ADDRESS(10,COLUMN(J$9)-1)&amp;":"&amp;ADDRESS(1000,COLUMN(J$9)-1)))))</f>
        <v>-</v>
      </c>
      <c r="K151" s="19" t="str">
        <f t="array" ref="K151">IF(ISBLANK(Tareas!$B147),"-",SUM(
SUMIF(INDIRECT(Equipo!$C$4&amp;"!B10:B1000"),$B151,INDIRECT(Equipo!$C$4&amp;"!"&amp;ADDRESS(10,COLUMN(K$9)-1)&amp;":"&amp;ADDRESS(1000,COLUMN(K$9)-1))),
SUMIF(INDIRECT(Equipo!$D$4&amp;"!B10:B1000"),$B151,INDIRECT(Equipo!$D$4&amp;"!"&amp;ADDRESS(10,COLUMN(K$9)-1)&amp;":"&amp;ADDRESS(1000,COLUMN(K$9)-1))),
SUMIF(INDIRECT(Equipo!$E$4&amp;"!B10:B1000"),$B151,INDIRECT(Equipo!$E$4&amp;"!"&amp;ADDRESS(10,COLUMN(K$9)-1)&amp;":"&amp;ADDRESS(1000,COLUMN(K$9)-1))),
SUMIF(INDIRECT(Equipo!$F$4&amp;"!B10:B1000"),$B151,INDIRECT(Equipo!$F$4&amp;"!"&amp;ADDRESS(10,COLUMN(K$9)-1)&amp;":"&amp;ADDRESS(1000,COLUMN(K$9)-1))),
SUMIF(INDIRECT(Equipo!$G$4&amp;"!B10:B1000"),$B151,INDIRECT(Equipo!$G$4&amp;"!"&amp;ADDRESS(10,COLUMN(K$9)-1)&amp;":"&amp;ADDRESS(1000,COLUMN(K$9)-1)))))</f>
        <v>-</v>
      </c>
    </row>
    <row r="152" ht="15.75" customHeight="1">
      <c r="B152" s="1" t="str">
        <f>IF(ISBLANK(Tareas!B148)," - ",Tareas!B148)</f>
        <v> - </v>
      </c>
      <c r="D152" s="19" t="str">
        <f t="array" ref="D152">IF(ISBLANK(Tareas!$B148),"-",SUM(
SUMIF(INDIRECT(Equipo!$C$4&amp;"!B10:B1000"),$B152,INDIRECT(Equipo!$C$4&amp;"!"&amp;ADDRESS(10,COLUMN(D$9)-1)&amp;":"&amp;ADDRESS(1000,COLUMN(D$9)-1))),
SUMIF(INDIRECT(Equipo!$D$4&amp;"!B10:B1000"),$B152,INDIRECT(Equipo!$D$4&amp;"!"&amp;ADDRESS(10,COLUMN(D$9)-1)&amp;":"&amp;ADDRESS(1000,COLUMN(D$9)-1))),
SUMIF(INDIRECT(Equipo!$E$4&amp;"!B10:B1000"),$B152,INDIRECT(Equipo!$E$4&amp;"!"&amp;ADDRESS(10,COLUMN(D$9)-1)&amp;":"&amp;ADDRESS(1000,COLUMN(D$9)-1))),
SUMIF(INDIRECT(Equipo!$F$4&amp;"!B10:B1000"),$B152,INDIRECT(Equipo!$F$4&amp;"!"&amp;ADDRESS(10,COLUMN(D$9)-1)&amp;":"&amp;ADDRESS(1000,COLUMN(D$9)-1))),
SUMIF(INDIRECT(Equipo!$G$4&amp;"!B10:B1000"),$B152,INDIRECT(Equipo!$G$4&amp;"!"&amp;ADDRESS(10,COLUMN(D$9)-1)&amp;":"&amp;ADDRESS(1000,COLUMN(D$9)-1)))))</f>
        <v>-</v>
      </c>
      <c r="E152" s="19" t="str">
        <f t="array" ref="E152">IF(ISBLANK(Tareas!$B148),"-",SUM(
SUMIF(INDIRECT(Equipo!$C$4&amp;"!B10:B1000"),$B152,INDIRECT(Equipo!$C$4&amp;"!"&amp;ADDRESS(10,COLUMN(E$9)-1)&amp;":"&amp;ADDRESS(1000,COLUMN(E$9)-1))),
SUMIF(INDIRECT(Equipo!$D$4&amp;"!B10:B1000"),$B152,INDIRECT(Equipo!$D$4&amp;"!"&amp;ADDRESS(10,COLUMN(E$9)-1)&amp;":"&amp;ADDRESS(1000,COLUMN(E$9)-1))),
SUMIF(INDIRECT(Equipo!$E$4&amp;"!B10:B1000"),$B152,INDIRECT(Equipo!$E$4&amp;"!"&amp;ADDRESS(10,COLUMN(E$9)-1)&amp;":"&amp;ADDRESS(1000,COLUMN(E$9)-1))),
SUMIF(INDIRECT(Equipo!$F$4&amp;"!B10:B1000"),$B152,INDIRECT(Equipo!$F$4&amp;"!"&amp;ADDRESS(10,COLUMN(E$9)-1)&amp;":"&amp;ADDRESS(1000,COLUMN(E$9)-1))),
SUMIF(INDIRECT(Equipo!$G$4&amp;"!B10:B1000"),$B152,INDIRECT(Equipo!$G$4&amp;"!"&amp;ADDRESS(10,COLUMN(E$9)-1)&amp;":"&amp;ADDRESS(1000,COLUMN(E$9)-1)))))</f>
        <v>-</v>
      </c>
      <c r="F152" s="19" t="str">
        <f t="array" ref="F152">IF(ISBLANK(Tareas!$B148),"-",SUM(
SUMIF(INDIRECT(Equipo!$C$4&amp;"!B10:B1000"),$B152,INDIRECT(Equipo!$C$4&amp;"!"&amp;ADDRESS(10,COLUMN(F$9)-1)&amp;":"&amp;ADDRESS(1000,COLUMN(F$9)-1))),
SUMIF(INDIRECT(Equipo!$D$4&amp;"!B10:B1000"),$B152,INDIRECT(Equipo!$D$4&amp;"!"&amp;ADDRESS(10,COLUMN(F$9)-1)&amp;":"&amp;ADDRESS(1000,COLUMN(F$9)-1))),
SUMIF(INDIRECT(Equipo!$E$4&amp;"!B10:B1000"),$B152,INDIRECT(Equipo!$E$4&amp;"!"&amp;ADDRESS(10,COLUMN(F$9)-1)&amp;":"&amp;ADDRESS(1000,COLUMN(F$9)-1))),
SUMIF(INDIRECT(Equipo!$F$4&amp;"!B10:B1000"),$B152,INDIRECT(Equipo!$F$4&amp;"!"&amp;ADDRESS(10,COLUMN(F$9)-1)&amp;":"&amp;ADDRESS(1000,COLUMN(F$9)-1))),
SUMIF(INDIRECT(Equipo!$G$4&amp;"!B10:B1000"),$B152,INDIRECT(Equipo!$G$4&amp;"!"&amp;ADDRESS(10,COLUMN(F$9)-1)&amp;":"&amp;ADDRESS(1000,COLUMN(F$9)-1)))))</f>
        <v>-</v>
      </c>
      <c r="G152" s="19" t="str">
        <f t="array" ref="G152">IF(ISBLANK(Tareas!$B148),"-",SUM(
SUMIF(INDIRECT(Equipo!$C$4&amp;"!B10:B1000"),$B152,INDIRECT(Equipo!$C$4&amp;"!"&amp;ADDRESS(10,COLUMN(G$9)-1)&amp;":"&amp;ADDRESS(1000,COLUMN(G$9)-1))),
SUMIF(INDIRECT(Equipo!$D$4&amp;"!B10:B1000"),$B152,INDIRECT(Equipo!$D$4&amp;"!"&amp;ADDRESS(10,COLUMN(G$9)-1)&amp;":"&amp;ADDRESS(1000,COLUMN(G$9)-1))),
SUMIF(INDIRECT(Equipo!$E$4&amp;"!B10:B1000"),$B152,INDIRECT(Equipo!$E$4&amp;"!"&amp;ADDRESS(10,COLUMN(G$9)-1)&amp;":"&amp;ADDRESS(1000,COLUMN(G$9)-1))),
SUMIF(INDIRECT(Equipo!$F$4&amp;"!B10:B1000"),$B152,INDIRECT(Equipo!$F$4&amp;"!"&amp;ADDRESS(10,COLUMN(G$9)-1)&amp;":"&amp;ADDRESS(1000,COLUMN(G$9)-1))),
SUMIF(INDIRECT(Equipo!$G$4&amp;"!B10:B1000"),$B152,INDIRECT(Equipo!$G$4&amp;"!"&amp;ADDRESS(10,COLUMN(G$9)-1)&amp;":"&amp;ADDRESS(1000,COLUMN(G$9)-1)))))</f>
        <v>-</v>
      </c>
      <c r="H152" s="19" t="str">
        <f t="array" ref="H152">IF(ISBLANK(Tareas!$B148),"-",SUM(
SUMIF(INDIRECT(Equipo!$C$4&amp;"!B10:B1000"),$B152,INDIRECT(Equipo!$C$4&amp;"!"&amp;ADDRESS(10,COLUMN(H$9)-1)&amp;":"&amp;ADDRESS(1000,COLUMN(H$9)-1))),
SUMIF(INDIRECT(Equipo!$D$4&amp;"!B10:B1000"),$B152,INDIRECT(Equipo!$D$4&amp;"!"&amp;ADDRESS(10,COLUMN(H$9)-1)&amp;":"&amp;ADDRESS(1000,COLUMN(H$9)-1))),
SUMIF(INDIRECT(Equipo!$E$4&amp;"!B10:B1000"),$B152,INDIRECT(Equipo!$E$4&amp;"!"&amp;ADDRESS(10,COLUMN(H$9)-1)&amp;":"&amp;ADDRESS(1000,COLUMN(H$9)-1))),
SUMIF(INDIRECT(Equipo!$F$4&amp;"!B10:B1000"),$B152,INDIRECT(Equipo!$F$4&amp;"!"&amp;ADDRESS(10,COLUMN(H$9)-1)&amp;":"&amp;ADDRESS(1000,COLUMN(H$9)-1))),
SUMIF(INDIRECT(Equipo!$G$4&amp;"!B10:B1000"),$B152,INDIRECT(Equipo!$G$4&amp;"!"&amp;ADDRESS(10,COLUMN(H$9)-1)&amp;":"&amp;ADDRESS(1000,COLUMN(H$9)-1)))))</f>
        <v>-</v>
      </c>
      <c r="I152" s="19" t="str">
        <f t="array" ref="I152">IF(ISBLANK(Tareas!$B148),"-",SUM(
SUMIF(INDIRECT(Equipo!$C$4&amp;"!B10:B1000"),$B152,INDIRECT(Equipo!$C$4&amp;"!"&amp;ADDRESS(10,COLUMN(I$9)-1)&amp;":"&amp;ADDRESS(1000,COLUMN(I$9)-1))),
SUMIF(INDIRECT(Equipo!$D$4&amp;"!B10:B1000"),$B152,INDIRECT(Equipo!$D$4&amp;"!"&amp;ADDRESS(10,COLUMN(I$9)-1)&amp;":"&amp;ADDRESS(1000,COLUMN(I$9)-1))),
SUMIF(INDIRECT(Equipo!$E$4&amp;"!B10:B1000"),$B152,INDIRECT(Equipo!$E$4&amp;"!"&amp;ADDRESS(10,COLUMN(I$9)-1)&amp;":"&amp;ADDRESS(1000,COLUMN(I$9)-1))),
SUMIF(INDIRECT(Equipo!$F$4&amp;"!B10:B1000"),$B152,INDIRECT(Equipo!$F$4&amp;"!"&amp;ADDRESS(10,COLUMN(I$9)-1)&amp;":"&amp;ADDRESS(1000,COLUMN(I$9)-1))),
SUMIF(INDIRECT(Equipo!$G$4&amp;"!B10:B1000"),$B152,INDIRECT(Equipo!$G$4&amp;"!"&amp;ADDRESS(10,COLUMN(I$9)-1)&amp;":"&amp;ADDRESS(1000,COLUMN(I$9)-1)))))</f>
        <v>-</v>
      </c>
      <c r="J152" s="19" t="str">
        <f t="array" ref="J152">IF(ISBLANK(Tareas!$B148),"-",SUM(
SUMIF(INDIRECT(Equipo!$C$4&amp;"!B10:B1000"),$B152,INDIRECT(Equipo!$C$4&amp;"!"&amp;ADDRESS(10,COLUMN(J$9)-1)&amp;":"&amp;ADDRESS(1000,COLUMN(J$9)-1))),
SUMIF(INDIRECT(Equipo!$D$4&amp;"!B10:B1000"),$B152,INDIRECT(Equipo!$D$4&amp;"!"&amp;ADDRESS(10,COLUMN(J$9)-1)&amp;":"&amp;ADDRESS(1000,COLUMN(J$9)-1))),
SUMIF(INDIRECT(Equipo!$E$4&amp;"!B10:B1000"),$B152,INDIRECT(Equipo!$E$4&amp;"!"&amp;ADDRESS(10,COLUMN(J$9)-1)&amp;":"&amp;ADDRESS(1000,COLUMN(J$9)-1))),
SUMIF(INDIRECT(Equipo!$F$4&amp;"!B10:B1000"),$B152,INDIRECT(Equipo!$F$4&amp;"!"&amp;ADDRESS(10,COLUMN(J$9)-1)&amp;":"&amp;ADDRESS(1000,COLUMN(J$9)-1))),
SUMIF(INDIRECT(Equipo!$G$4&amp;"!B10:B1000"),$B152,INDIRECT(Equipo!$G$4&amp;"!"&amp;ADDRESS(10,COLUMN(J$9)-1)&amp;":"&amp;ADDRESS(1000,COLUMN(J$9)-1)))))</f>
        <v>-</v>
      </c>
      <c r="K152" s="19" t="str">
        <f t="array" ref="K152">IF(ISBLANK(Tareas!$B148),"-",SUM(
SUMIF(INDIRECT(Equipo!$C$4&amp;"!B10:B1000"),$B152,INDIRECT(Equipo!$C$4&amp;"!"&amp;ADDRESS(10,COLUMN(K$9)-1)&amp;":"&amp;ADDRESS(1000,COLUMN(K$9)-1))),
SUMIF(INDIRECT(Equipo!$D$4&amp;"!B10:B1000"),$B152,INDIRECT(Equipo!$D$4&amp;"!"&amp;ADDRESS(10,COLUMN(K$9)-1)&amp;":"&amp;ADDRESS(1000,COLUMN(K$9)-1))),
SUMIF(INDIRECT(Equipo!$E$4&amp;"!B10:B1000"),$B152,INDIRECT(Equipo!$E$4&amp;"!"&amp;ADDRESS(10,COLUMN(K$9)-1)&amp;":"&amp;ADDRESS(1000,COLUMN(K$9)-1))),
SUMIF(INDIRECT(Equipo!$F$4&amp;"!B10:B1000"),$B152,INDIRECT(Equipo!$F$4&amp;"!"&amp;ADDRESS(10,COLUMN(K$9)-1)&amp;":"&amp;ADDRESS(1000,COLUMN(K$9)-1))),
SUMIF(INDIRECT(Equipo!$G$4&amp;"!B10:B1000"),$B152,INDIRECT(Equipo!$G$4&amp;"!"&amp;ADDRESS(10,COLUMN(K$9)-1)&amp;":"&amp;ADDRESS(1000,COLUMN(K$9)-1)))))</f>
        <v>-</v>
      </c>
    </row>
    <row r="153" ht="15.75" customHeight="1">
      <c r="B153" s="1" t="str">
        <f>IF(ISBLANK(Tareas!B149)," - ",Tareas!B149)</f>
        <v> - </v>
      </c>
      <c r="D153" s="19" t="str">
        <f t="array" ref="D153">IF(ISBLANK(Tareas!$B149),"-",SUM(
SUMIF(INDIRECT(Equipo!$C$4&amp;"!B10:B1000"),$B153,INDIRECT(Equipo!$C$4&amp;"!"&amp;ADDRESS(10,COLUMN(D$9)-1)&amp;":"&amp;ADDRESS(1000,COLUMN(D$9)-1))),
SUMIF(INDIRECT(Equipo!$D$4&amp;"!B10:B1000"),$B153,INDIRECT(Equipo!$D$4&amp;"!"&amp;ADDRESS(10,COLUMN(D$9)-1)&amp;":"&amp;ADDRESS(1000,COLUMN(D$9)-1))),
SUMIF(INDIRECT(Equipo!$E$4&amp;"!B10:B1000"),$B153,INDIRECT(Equipo!$E$4&amp;"!"&amp;ADDRESS(10,COLUMN(D$9)-1)&amp;":"&amp;ADDRESS(1000,COLUMN(D$9)-1))),
SUMIF(INDIRECT(Equipo!$F$4&amp;"!B10:B1000"),$B153,INDIRECT(Equipo!$F$4&amp;"!"&amp;ADDRESS(10,COLUMN(D$9)-1)&amp;":"&amp;ADDRESS(1000,COLUMN(D$9)-1))),
SUMIF(INDIRECT(Equipo!$G$4&amp;"!B10:B1000"),$B153,INDIRECT(Equipo!$G$4&amp;"!"&amp;ADDRESS(10,COLUMN(D$9)-1)&amp;":"&amp;ADDRESS(1000,COLUMN(D$9)-1)))))</f>
        <v>-</v>
      </c>
      <c r="E153" s="19" t="str">
        <f t="array" ref="E153">IF(ISBLANK(Tareas!$B149),"-",SUM(
SUMIF(INDIRECT(Equipo!$C$4&amp;"!B10:B1000"),$B153,INDIRECT(Equipo!$C$4&amp;"!"&amp;ADDRESS(10,COLUMN(E$9)-1)&amp;":"&amp;ADDRESS(1000,COLUMN(E$9)-1))),
SUMIF(INDIRECT(Equipo!$D$4&amp;"!B10:B1000"),$B153,INDIRECT(Equipo!$D$4&amp;"!"&amp;ADDRESS(10,COLUMN(E$9)-1)&amp;":"&amp;ADDRESS(1000,COLUMN(E$9)-1))),
SUMIF(INDIRECT(Equipo!$E$4&amp;"!B10:B1000"),$B153,INDIRECT(Equipo!$E$4&amp;"!"&amp;ADDRESS(10,COLUMN(E$9)-1)&amp;":"&amp;ADDRESS(1000,COLUMN(E$9)-1))),
SUMIF(INDIRECT(Equipo!$F$4&amp;"!B10:B1000"),$B153,INDIRECT(Equipo!$F$4&amp;"!"&amp;ADDRESS(10,COLUMN(E$9)-1)&amp;":"&amp;ADDRESS(1000,COLUMN(E$9)-1))),
SUMIF(INDIRECT(Equipo!$G$4&amp;"!B10:B1000"),$B153,INDIRECT(Equipo!$G$4&amp;"!"&amp;ADDRESS(10,COLUMN(E$9)-1)&amp;":"&amp;ADDRESS(1000,COLUMN(E$9)-1)))))</f>
        <v>-</v>
      </c>
      <c r="F153" s="19" t="str">
        <f t="array" ref="F153">IF(ISBLANK(Tareas!$B149),"-",SUM(
SUMIF(INDIRECT(Equipo!$C$4&amp;"!B10:B1000"),$B153,INDIRECT(Equipo!$C$4&amp;"!"&amp;ADDRESS(10,COLUMN(F$9)-1)&amp;":"&amp;ADDRESS(1000,COLUMN(F$9)-1))),
SUMIF(INDIRECT(Equipo!$D$4&amp;"!B10:B1000"),$B153,INDIRECT(Equipo!$D$4&amp;"!"&amp;ADDRESS(10,COLUMN(F$9)-1)&amp;":"&amp;ADDRESS(1000,COLUMN(F$9)-1))),
SUMIF(INDIRECT(Equipo!$E$4&amp;"!B10:B1000"),$B153,INDIRECT(Equipo!$E$4&amp;"!"&amp;ADDRESS(10,COLUMN(F$9)-1)&amp;":"&amp;ADDRESS(1000,COLUMN(F$9)-1))),
SUMIF(INDIRECT(Equipo!$F$4&amp;"!B10:B1000"),$B153,INDIRECT(Equipo!$F$4&amp;"!"&amp;ADDRESS(10,COLUMN(F$9)-1)&amp;":"&amp;ADDRESS(1000,COLUMN(F$9)-1))),
SUMIF(INDIRECT(Equipo!$G$4&amp;"!B10:B1000"),$B153,INDIRECT(Equipo!$G$4&amp;"!"&amp;ADDRESS(10,COLUMN(F$9)-1)&amp;":"&amp;ADDRESS(1000,COLUMN(F$9)-1)))))</f>
        <v>-</v>
      </c>
      <c r="G153" s="19" t="str">
        <f t="array" ref="G153">IF(ISBLANK(Tareas!$B149),"-",SUM(
SUMIF(INDIRECT(Equipo!$C$4&amp;"!B10:B1000"),$B153,INDIRECT(Equipo!$C$4&amp;"!"&amp;ADDRESS(10,COLUMN(G$9)-1)&amp;":"&amp;ADDRESS(1000,COLUMN(G$9)-1))),
SUMIF(INDIRECT(Equipo!$D$4&amp;"!B10:B1000"),$B153,INDIRECT(Equipo!$D$4&amp;"!"&amp;ADDRESS(10,COLUMN(G$9)-1)&amp;":"&amp;ADDRESS(1000,COLUMN(G$9)-1))),
SUMIF(INDIRECT(Equipo!$E$4&amp;"!B10:B1000"),$B153,INDIRECT(Equipo!$E$4&amp;"!"&amp;ADDRESS(10,COLUMN(G$9)-1)&amp;":"&amp;ADDRESS(1000,COLUMN(G$9)-1))),
SUMIF(INDIRECT(Equipo!$F$4&amp;"!B10:B1000"),$B153,INDIRECT(Equipo!$F$4&amp;"!"&amp;ADDRESS(10,COLUMN(G$9)-1)&amp;":"&amp;ADDRESS(1000,COLUMN(G$9)-1))),
SUMIF(INDIRECT(Equipo!$G$4&amp;"!B10:B1000"),$B153,INDIRECT(Equipo!$G$4&amp;"!"&amp;ADDRESS(10,COLUMN(G$9)-1)&amp;":"&amp;ADDRESS(1000,COLUMN(G$9)-1)))))</f>
        <v>-</v>
      </c>
      <c r="H153" s="19" t="str">
        <f t="array" ref="H153">IF(ISBLANK(Tareas!$B149),"-",SUM(
SUMIF(INDIRECT(Equipo!$C$4&amp;"!B10:B1000"),$B153,INDIRECT(Equipo!$C$4&amp;"!"&amp;ADDRESS(10,COLUMN(H$9)-1)&amp;":"&amp;ADDRESS(1000,COLUMN(H$9)-1))),
SUMIF(INDIRECT(Equipo!$D$4&amp;"!B10:B1000"),$B153,INDIRECT(Equipo!$D$4&amp;"!"&amp;ADDRESS(10,COLUMN(H$9)-1)&amp;":"&amp;ADDRESS(1000,COLUMN(H$9)-1))),
SUMIF(INDIRECT(Equipo!$E$4&amp;"!B10:B1000"),$B153,INDIRECT(Equipo!$E$4&amp;"!"&amp;ADDRESS(10,COLUMN(H$9)-1)&amp;":"&amp;ADDRESS(1000,COLUMN(H$9)-1))),
SUMIF(INDIRECT(Equipo!$F$4&amp;"!B10:B1000"),$B153,INDIRECT(Equipo!$F$4&amp;"!"&amp;ADDRESS(10,COLUMN(H$9)-1)&amp;":"&amp;ADDRESS(1000,COLUMN(H$9)-1))),
SUMIF(INDIRECT(Equipo!$G$4&amp;"!B10:B1000"),$B153,INDIRECT(Equipo!$G$4&amp;"!"&amp;ADDRESS(10,COLUMN(H$9)-1)&amp;":"&amp;ADDRESS(1000,COLUMN(H$9)-1)))))</f>
        <v>-</v>
      </c>
      <c r="I153" s="19" t="str">
        <f t="array" ref="I153">IF(ISBLANK(Tareas!$B149),"-",SUM(
SUMIF(INDIRECT(Equipo!$C$4&amp;"!B10:B1000"),$B153,INDIRECT(Equipo!$C$4&amp;"!"&amp;ADDRESS(10,COLUMN(I$9)-1)&amp;":"&amp;ADDRESS(1000,COLUMN(I$9)-1))),
SUMIF(INDIRECT(Equipo!$D$4&amp;"!B10:B1000"),$B153,INDIRECT(Equipo!$D$4&amp;"!"&amp;ADDRESS(10,COLUMN(I$9)-1)&amp;":"&amp;ADDRESS(1000,COLUMN(I$9)-1))),
SUMIF(INDIRECT(Equipo!$E$4&amp;"!B10:B1000"),$B153,INDIRECT(Equipo!$E$4&amp;"!"&amp;ADDRESS(10,COLUMN(I$9)-1)&amp;":"&amp;ADDRESS(1000,COLUMN(I$9)-1))),
SUMIF(INDIRECT(Equipo!$F$4&amp;"!B10:B1000"),$B153,INDIRECT(Equipo!$F$4&amp;"!"&amp;ADDRESS(10,COLUMN(I$9)-1)&amp;":"&amp;ADDRESS(1000,COLUMN(I$9)-1))),
SUMIF(INDIRECT(Equipo!$G$4&amp;"!B10:B1000"),$B153,INDIRECT(Equipo!$G$4&amp;"!"&amp;ADDRESS(10,COLUMN(I$9)-1)&amp;":"&amp;ADDRESS(1000,COLUMN(I$9)-1)))))</f>
        <v>-</v>
      </c>
      <c r="J153" s="19" t="str">
        <f t="array" ref="J153">IF(ISBLANK(Tareas!$B149),"-",SUM(
SUMIF(INDIRECT(Equipo!$C$4&amp;"!B10:B1000"),$B153,INDIRECT(Equipo!$C$4&amp;"!"&amp;ADDRESS(10,COLUMN(J$9)-1)&amp;":"&amp;ADDRESS(1000,COLUMN(J$9)-1))),
SUMIF(INDIRECT(Equipo!$D$4&amp;"!B10:B1000"),$B153,INDIRECT(Equipo!$D$4&amp;"!"&amp;ADDRESS(10,COLUMN(J$9)-1)&amp;":"&amp;ADDRESS(1000,COLUMN(J$9)-1))),
SUMIF(INDIRECT(Equipo!$E$4&amp;"!B10:B1000"),$B153,INDIRECT(Equipo!$E$4&amp;"!"&amp;ADDRESS(10,COLUMN(J$9)-1)&amp;":"&amp;ADDRESS(1000,COLUMN(J$9)-1))),
SUMIF(INDIRECT(Equipo!$F$4&amp;"!B10:B1000"),$B153,INDIRECT(Equipo!$F$4&amp;"!"&amp;ADDRESS(10,COLUMN(J$9)-1)&amp;":"&amp;ADDRESS(1000,COLUMN(J$9)-1))),
SUMIF(INDIRECT(Equipo!$G$4&amp;"!B10:B1000"),$B153,INDIRECT(Equipo!$G$4&amp;"!"&amp;ADDRESS(10,COLUMN(J$9)-1)&amp;":"&amp;ADDRESS(1000,COLUMN(J$9)-1)))))</f>
        <v>-</v>
      </c>
      <c r="K153" s="19" t="str">
        <f t="array" ref="K153">IF(ISBLANK(Tareas!$B149),"-",SUM(
SUMIF(INDIRECT(Equipo!$C$4&amp;"!B10:B1000"),$B153,INDIRECT(Equipo!$C$4&amp;"!"&amp;ADDRESS(10,COLUMN(K$9)-1)&amp;":"&amp;ADDRESS(1000,COLUMN(K$9)-1))),
SUMIF(INDIRECT(Equipo!$D$4&amp;"!B10:B1000"),$B153,INDIRECT(Equipo!$D$4&amp;"!"&amp;ADDRESS(10,COLUMN(K$9)-1)&amp;":"&amp;ADDRESS(1000,COLUMN(K$9)-1))),
SUMIF(INDIRECT(Equipo!$E$4&amp;"!B10:B1000"),$B153,INDIRECT(Equipo!$E$4&amp;"!"&amp;ADDRESS(10,COLUMN(K$9)-1)&amp;":"&amp;ADDRESS(1000,COLUMN(K$9)-1))),
SUMIF(INDIRECT(Equipo!$F$4&amp;"!B10:B1000"),$B153,INDIRECT(Equipo!$F$4&amp;"!"&amp;ADDRESS(10,COLUMN(K$9)-1)&amp;":"&amp;ADDRESS(1000,COLUMN(K$9)-1))),
SUMIF(INDIRECT(Equipo!$G$4&amp;"!B10:B1000"),$B153,INDIRECT(Equipo!$G$4&amp;"!"&amp;ADDRESS(10,COLUMN(K$9)-1)&amp;":"&amp;ADDRESS(1000,COLUMN(K$9)-1)))))</f>
        <v>-</v>
      </c>
    </row>
    <row r="154" ht="15.75" customHeight="1">
      <c r="B154" s="1" t="str">
        <f>IF(ISBLANK(Tareas!B150)," - ",Tareas!B150)</f>
        <v> - </v>
      </c>
      <c r="D154" s="19" t="str">
        <f t="array" ref="D154">IF(ISBLANK(Tareas!$B150),"-",SUM(
SUMIF(INDIRECT(Equipo!$C$4&amp;"!B10:B1000"),$B154,INDIRECT(Equipo!$C$4&amp;"!"&amp;ADDRESS(10,COLUMN(D$9)-1)&amp;":"&amp;ADDRESS(1000,COLUMN(D$9)-1))),
SUMIF(INDIRECT(Equipo!$D$4&amp;"!B10:B1000"),$B154,INDIRECT(Equipo!$D$4&amp;"!"&amp;ADDRESS(10,COLUMN(D$9)-1)&amp;":"&amp;ADDRESS(1000,COLUMN(D$9)-1))),
SUMIF(INDIRECT(Equipo!$E$4&amp;"!B10:B1000"),$B154,INDIRECT(Equipo!$E$4&amp;"!"&amp;ADDRESS(10,COLUMN(D$9)-1)&amp;":"&amp;ADDRESS(1000,COLUMN(D$9)-1))),
SUMIF(INDIRECT(Equipo!$F$4&amp;"!B10:B1000"),$B154,INDIRECT(Equipo!$F$4&amp;"!"&amp;ADDRESS(10,COLUMN(D$9)-1)&amp;":"&amp;ADDRESS(1000,COLUMN(D$9)-1))),
SUMIF(INDIRECT(Equipo!$G$4&amp;"!B10:B1000"),$B154,INDIRECT(Equipo!$G$4&amp;"!"&amp;ADDRESS(10,COLUMN(D$9)-1)&amp;":"&amp;ADDRESS(1000,COLUMN(D$9)-1)))))</f>
        <v>-</v>
      </c>
      <c r="E154" s="19" t="str">
        <f t="array" ref="E154">IF(ISBLANK(Tareas!$B150),"-",SUM(
SUMIF(INDIRECT(Equipo!$C$4&amp;"!B10:B1000"),$B154,INDIRECT(Equipo!$C$4&amp;"!"&amp;ADDRESS(10,COLUMN(E$9)-1)&amp;":"&amp;ADDRESS(1000,COLUMN(E$9)-1))),
SUMIF(INDIRECT(Equipo!$D$4&amp;"!B10:B1000"),$B154,INDIRECT(Equipo!$D$4&amp;"!"&amp;ADDRESS(10,COLUMN(E$9)-1)&amp;":"&amp;ADDRESS(1000,COLUMN(E$9)-1))),
SUMIF(INDIRECT(Equipo!$E$4&amp;"!B10:B1000"),$B154,INDIRECT(Equipo!$E$4&amp;"!"&amp;ADDRESS(10,COLUMN(E$9)-1)&amp;":"&amp;ADDRESS(1000,COLUMN(E$9)-1))),
SUMIF(INDIRECT(Equipo!$F$4&amp;"!B10:B1000"),$B154,INDIRECT(Equipo!$F$4&amp;"!"&amp;ADDRESS(10,COLUMN(E$9)-1)&amp;":"&amp;ADDRESS(1000,COLUMN(E$9)-1))),
SUMIF(INDIRECT(Equipo!$G$4&amp;"!B10:B1000"),$B154,INDIRECT(Equipo!$G$4&amp;"!"&amp;ADDRESS(10,COLUMN(E$9)-1)&amp;":"&amp;ADDRESS(1000,COLUMN(E$9)-1)))))</f>
        <v>-</v>
      </c>
      <c r="F154" s="19" t="str">
        <f t="array" ref="F154">IF(ISBLANK(Tareas!$B150),"-",SUM(
SUMIF(INDIRECT(Equipo!$C$4&amp;"!B10:B1000"),$B154,INDIRECT(Equipo!$C$4&amp;"!"&amp;ADDRESS(10,COLUMN(F$9)-1)&amp;":"&amp;ADDRESS(1000,COLUMN(F$9)-1))),
SUMIF(INDIRECT(Equipo!$D$4&amp;"!B10:B1000"),$B154,INDIRECT(Equipo!$D$4&amp;"!"&amp;ADDRESS(10,COLUMN(F$9)-1)&amp;":"&amp;ADDRESS(1000,COLUMN(F$9)-1))),
SUMIF(INDIRECT(Equipo!$E$4&amp;"!B10:B1000"),$B154,INDIRECT(Equipo!$E$4&amp;"!"&amp;ADDRESS(10,COLUMN(F$9)-1)&amp;":"&amp;ADDRESS(1000,COLUMN(F$9)-1))),
SUMIF(INDIRECT(Equipo!$F$4&amp;"!B10:B1000"),$B154,INDIRECT(Equipo!$F$4&amp;"!"&amp;ADDRESS(10,COLUMN(F$9)-1)&amp;":"&amp;ADDRESS(1000,COLUMN(F$9)-1))),
SUMIF(INDIRECT(Equipo!$G$4&amp;"!B10:B1000"),$B154,INDIRECT(Equipo!$G$4&amp;"!"&amp;ADDRESS(10,COLUMN(F$9)-1)&amp;":"&amp;ADDRESS(1000,COLUMN(F$9)-1)))))</f>
        <v>-</v>
      </c>
      <c r="G154" s="19" t="str">
        <f t="array" ref="G154">IF(ISBLANK(Tareas!$B150),"-",SUM(
SUMIF(INDIRECT(Equipo!$C$4&amp;"!B10:B1000"),$B154,INDIRECT(Equipo!$C$4&amp;"!"&amp;ADDRESS(10,COLUMN(G$9)-1)&amp;":"&amp;ADDRESS(1000,COLUMN(G$9)-1))),
SUMIF(INDIRECT(Equipo!$D$4&amp;"!B10:B1000"),$B154,INDIRECT(Equipo!$D$4&amp;"!"&amp;ADDRESS(10,COLUMN(G$9)-1)&amp;":"&amp;ADDRESS(1000,COLUMN(G$9)-1))),
SUMIF(INDIRECT(Equipo!$E$4&amp;"!B10:B1000"),$B154,INDIRECT(Equipo!$E$4&amp;"!"&amp;ADDRESS(10,COLUMN(G$9)-1)&amp;":"&amp;ADDRESS(1000,COLUMN(G$9)-1))),
SUMIF(INDIRECT(Equipo!$F$4&amp;"!B10:B1000"),$B154,INDIRECT(Equipo!$F$4&amp;"!"&amp;ADDRESS(10,COLUMN(G$9)-1)&amp;":"&amp;ADDRESS(1000,COLUMN(G$9)-1))),
SUMIF(INDIRECT(Equipo!$G$4&amp;"!B10:B1000"),$B154,INDIRECT(Equipo!$G$4&amp;"!"&amp;ADDRESS(10,COLUMN(G$9)-1)&amp;":"&amp;ADDRESS(1000,COLUMN(G$9)-1)))))</f>
        <v>-</v>
      </c>
      <c r="H154" s="19" t="str">
        <f t="array" ref="H154">IF(ISBLANK(Tareas!$B150),"-",SUM(
SUMIF(INDIRECT(Equipo!$C$4&amp;"!B10:B1000"),$B154,INDIRECT(Equipo!$C$4&amp;"!"&amp;ADDRESS(10,COLUMN(H$9)-1)&amp;":"&amp;ADDRESS(1000,COLUMN(H$9)-1))),
SUMIF(INDIRECT(Equipo!$D$4&amp;"!B10:B1000"),$B154,INDIRECT(Equipo!$D$4&amp;"!"&amp;ADDRESS(10,COLUMN(H$9)-1)&amp;":"&amp;ADDRESS(1000,COLUMN(H$9)-1))),
SUMIF(INDIRECT(Equipo!$E$4&amp;"!B10:B1000"),$B154,INDIRECT(Equipo!$E$4&amp;"!"&amp;ADDRESS(10,COLUMN(H$9)-1)&amp;":"&amp;ADDRESS(1000,COLUMN(H$9)-1))),
SUMIF(INDIRECT(Equipo!$F$4&amp;"!B10:B1000"),$B154,INDIRECT(Equipo!$F$4&amp;"!"&amp;ADDRESS(10,COLUMN(H$9)-1)&amp;":"&amp;ADDRESS(1000,COLUMN(H$9)-1))),
SUMIF(INDIRECT(Equipo!$G$4&amp;"!B10:B1000"),$B154,INDIRECT(Equipo!$G$4&amp;"!"&amp;ADDRESS(10,COLUMN(H$9)-1)&amp;":"&amp;ADDRESS(1000,COLUMN(H$9)-1)))))</f>
        <v>-</v>
      </c>
      <c r="I154" s="19" t="str">
        <f t="array" ref="I154">IF(ISBLANK(Tareas!$B150),"-",SUM(
SUMIF(INDIRECT(Equipo!$C$4&amp;"!B10:B1000"),$B154,INDIRECT(Equipo!$C$4&amp;"!"&amp;ADDRESS(10,COLUMN(I$9)-1)&amp;":"&amp;ADDRESS(1000,COLUMN(I$9)-1))),
SUMIF(INDIRECT(Equipo!$D$4&amp;"!B10:B1000"),$B154,INDIRECT(Equipo!$D$4&amp;"!"&amp;ADDRESS(10,COLUMN(I$9)-1)&amp;":"&amp;ADDRESS(1000,COLUMN(I$9)-1))),
SUMIF(INDIRECT(Equipo!$E$4&amp;"!B10:B1000"),$B154,INDIRECT(Equipo!$E$4&amp;"!"&amp;ADDRESS(10,COLUMN(I$9)-1)&amp;":"&amp;ADDRESS(1000,COLUMN(I$9)-1))),
SUMIF(INDIRECT(Equipo!$F$4&amp;"!B10:B1000"),$B154,INDIRECT(Equipo!$F$4&amp;"!"&amp;ADDRESS(10,COLUMN(I$9)-1)&amp;":"&amp;ADDRESS(1000,COLUMN(I$9)-1))),
SUMIF(INDIRECT(Equipo!$G$4&amp;"!B10:B1000"),$B154,INDIRECT(Equipo!$G$4&amp;"!"&amp;ADDRESS(10,COLUMN(I$9)-1)&amp;":"&amp;ADDRESS(1000,COLUMN(I$9)-1)))))</f>
        <v>-</v>
      </c>
      <c r="J154" s="19" t="str">
        <f t="array" ref="J154">IF(ISBLANK(Tareas!$B150),"-",SUM(
SUMIF(INDIRECT(Equipo!$C$4&amp;"!B10:B1000"),$B154,INDIRECT(Equipo!$C$4&amp;"!"&amp;ADDRESS(10,COLUMN(J$9)-1)&amp;":"&amp;ADDRESS(1000,COLUMN(J$9)-1))),
SUMIF(INDIRECT(Equipo!$D$4&amp;"!B10:B1000"),$B154,INDIRECT(Equipo!$D$4&amp;"!"&amp;ADDRESS(10,COLUMN(J$9)-1)&amp;":"&amp;ADDRESS(1000,COLUMN(J$9)-1))),
SUMIF(INDIRECT(Equipo!$E$4&amp;"!B10:B1000"),$B154,INDIRECT(Equipo!$E$4&amp;"!"&amp;ADDRESS(10,COLUMN(J$9)-1)&amp;":"&amp;ADDRESS(1000,COLUMN(J$9)-1))),
SUMIF(INDIRECT(Equipo!$F$4&amp;"!B10:B1000"),$B154,INDIRECT(Equipo!$F$4&amp;"!"&amp;ADDRESS(10,COLUMN(J$9)-1)&amp;":"&amp;ADDRESS(1000,COLUMN(J$9)-1))),
SUMIF(INDIRECT(Equipo!$G$4&amp;"!B10:B1000"),$B154,INDIRECT(Equipo!$G$4&amp;"!"&amp;ADDRESS(10,COLUMN(J$9)-1)&amp;":"&amp;ADDRESS(1000,COLUMN(J$9)-1)))))</f>
        <v>-</v>
      </c>
      <c r="K154" s="19" t="str">
        <f t="array" ref="K154">IF(ISBLANK(Tareas!$B150),"-",SUM(
SUMIF(INDIRECT(Equipo!$C$4&amp;"!B10:B1000"),$B154,INDIRECT(Equipo!$C$4&amp;"!"&amp;ADDRESS(10,COLUMN(K$9)-1)&amp;":"&amp;ADDRESS(1000,COLUMN(K$9)-1))),
SUMIF(INDIRECT(Equipo!$D$4&amp;"!B10:B1000"),$B154,INDIRECT(Equipo!$D$4&amp;"!"&amp;ADDRESS(10,COLUMN(K$9)-1)&amp;":"&amp;ADDRESS(1000,COLUMN(K$9)-1))),
SUMIF(INDIRECT(Equipo!$E$4&amp;"!B10:B1000"),$B154,INDIRECT(Equipo!$E$4&amp;"!"&amp;ADDRESS(10,COLUMN(K$9)-1)&amp;":"&amp;ADDRESS(1000,COLUMN(K$9)-1))),
SUMIF(INDIRECT(Equipo!$F$4&amp;"!B10:B1000"),$B154,INDIRECT(Equipo!$F$4&amp;"!"&amp;ADDRESS(10,COLUMN(K$9)-1)&amp;":"&amp;ADDRESS(1000,COLUMN(K$9)-1))),
SUMIF(INDIRECT(Equipo!$G$4&amp;"!B10:B1000"),$B154,INDIRECT(Equipo!$G$4&amp;"!"&amp;ADDRESS(10,COLUMN(K$9)-1)&amp;":"&amp;ADDRESS(1000,COLUMN(K$9)-1)))))</f>
        <v>-</v>
      </c>
    </row>
    <row r="155" ht="15.75" customHeight="1">
      <c r="B155" s="1" t="str">
        <f>IF(ISBLANK(Tareas!B151)," - ",Tareas!B151)</f>
        <v> - </v>
      </c>
      <c r="D155" s="19" t="str">
        <f t="array" ref="D155">IF(ISBLANK(Tareas!$B151),"-",SUM(
SUMIF(INDIRECT(Equipo!$C$4&amp;"!B10:B1000"),$B155,INDIRECT(Equipo!$C$4&amp;"!"&amp;ADDRESS(10,COLUMN(D$9)-1)&amp;":"&amp;ADDRESS(1000,COLUMN(D$9)-1))),
SUMIF(INDIRECT(Equipo!$D$4&amp;"!B10:B1000"),$B155,INDIRECT(Equipo!$D$4&amp;"!"&amp;ADDRESS(10,COLUMN(D$9)-1)&amp;":"&amp;ADDRESS(1000,COLUMN(D$9)-1))),
SUMIF(INDIRECT(Equipo!$E$4&amp;"!B10:B1000"),$B155,INDIRECT(Equipo!$E$4&amp;"!"&amp;ADDRESS(10,COLUMN(D$9)-1)&amp;":"&amp;ADDRESS(1000,COLUMN(D$9)-1))),
SUMIF(INDIRECT(Equipo!$F$4&amp;"!B10:B1000"),$B155,INDIRECT(Equipo!$F$4&amp;"!"&amp;ADDRESS(10,COLUMN(D$9)-1)&amp;":"&amp;ADDRESS(1000,COLUMN(D$9)-1))),
SUMIF(INDIRECT(Equipo!$G$4&amp;"!B10:B1000"),$B155,INDIRECT(Equipo!$G$4&amp;"!"&amp;ADDRESS(10,COLUMN(D$9)-1)&amp;":"&amp;ADDRESS(1000,COLUMN(D$9)-1)))))</f>
        <v>-</v>
      </c>
      <c r="E155" s="19" t="str">
        <f t="array" ref="E155">IF(ISBLANK(Tareas!$B151),"-",SUM(
SUMIF(INDIRECT(Equipo!$C$4&amp;"!B10:B1000"),$B155,INDIRECT(Equipo!$C$4&amp;"!"&amp;ADDRESS(10,COLUMN(E$9)-1)&amp;":"&amp;ADDRESS(1000,COLUMN(E$9)-1))),
SUMIF(INDIRECT(Equipo!$D$4&amp;"!B10:B1000"),$B155,INDIRECT(Equipo!$D$4&amp;"!"&amp;ADDRESS(10,COLUMN(E$9)-1)&amp;":"&amp;ADDRESS(1000,COLUMN(E$9)-1))),
SUMIF(INDIRECT(Equipo!$E$4&amp;"!B10:B1000"),$B155,INDIRECT(Equipo!$E$4&amp;"!"&amp;ADDRESS(10,COLUMN(E$9)-1)&amp;":"&amp;ADDRESS(1000,COLUMN(E$9)-1))),
SUMIF(INDIRECT(Equipo!$F$4&amp;"!B10:B1000"),$B155,INDIRECT(Equipo!$F$4&amp;"!"&amp;ADDRESS(10,COLUMN(E$9)-1)&amp;":"&amp;ADDRESS(1000,COLUMN(E$9)-1))),
SUMIF(INDIRECT(Equipo!$G$4&amp;"!B10:B1000"),$B155,INDIRECT(Equipo!$G$4&amp;"!"&amp;ADDRESS(10,COLUMN(E$9)-1)&amp;":"&amp;ADDRESS(1000,COLUMN(E$9)-1)))))</f>
        <v>-</v>
      </c>
      <c r="F155" s="19" t="str">
        <f t="array" ref="F155">IF(ISBLANK(Tareas!$B151),"-",SUM(
SUMIF(INDIRECT(Equipo!$C$4&amp;"!B10:B1000"),$B155,INDIRECT(Equipo!$C$4&amp;"!"&amp;ADDRESS(10,COLUMN(F$9)-1)&amp;":"&amp;ADDRESS(1000,COLUMN(F$9)-1))),
SUMIF(INDIRECT(Equipo!$D$4&amp;"!B10:B1000"),$B155,INDIRECT(Equipo!$D$4&amp;"!"&amp;ADDRESS(10,COLUMN(F$9)-1)&amp;":"&amp;ADDRESS(1000,COLUMN(F$9)-1))),
SUMIF(INDIRECT(Equipo!$E$4&amp;"!B10:B1000"),$B155,INDIRECT(Equipo!$E$4&amp;"!"&amp;ADDRESS(10,COLUMN(F$9)-1)&amp;":"&amp;ADDRESS(1000,COLUMN(F$9)-1))),
SUMIF(INDIRECT(Equipo!$F$4&amp;"!B10:B1000"),$B155,INDIRECT(Equipo!$F$4&amp;"!"&amp;ADDRESS(10,COLUMN(F$9)-1)&amp;":"&amp;ADDRESS(1000,COLUMN(F$9)-1))),
SUMIF(INDIRECT(Equipo!$G$4&amp;"!B10:B1000"),$B155,INDIRECT(Equipo!$G$4&amp;"!"&amp;ADDRESS(10,COLUMN(F$9)-1)&amp;":"&amp;ADDRESS(1000,COLUMN(F$9)-1)))))</f>
        <v>-</v>
      </c>
      <c r="G155" s="19" t="str">
        <f t="array" ref="G155">IF(ISBLANK(Tareas!$B151),"-",SUM(
SUMIF(INDIRECT(Equipo!$C$4&amp;"!B10:B1000"),$B155,INDIRECT(Equipo!$C$4&amp;"!"&amp;ADDRESS(10,COLUMN(G$9)-1)&amp;":"&amp;ADDRESS(1000,COLUMN(G$9)-1))),
SUMIF(INDIRECT(Equipo!$D$4&amp;"!B10:B1000"),$B155,INDIRECT(Equipo!$D$4&amp;"!"&amp;ADDRESS(10,COLUMN(G$9)-1)&amp;":"&amp;ADDRESS(1000,COLUMN(G$9)-1))),
SUMIF(INDIRECT(Equipo!$E$4&amp;"!B10:B1000"),$B155,INDIRECT(Equipo!$E$4&amp;"!"&amp;ADDRESS(10,COLUMN(G$9)-1)&amp;":"&amp;ADDRESS(1000,COLUMN(G$9)-1))),
SUMIF(INDIRECT(Equipo!$F$4&amp;"!B10:B1000"),$B155,INDIRECT(Equipo!$F$4&amp;"!"&amp;ADDRESS(10,COLUMN(G$9)-1)&amp;":"&amp;ADDRESS(1000,COLUMN(G$9)-1))),
SUMIF(INDIRECT(Equipo!$G$4&amp;"!B10:B1000"),$B155,INDIRECT(Equipo!$G$4&amp;"!"&amp;ADDRESS(10,COLUMN(G$9)-1)&amp;":"&amp;ADDRESS(1000,COLUMN(G$9)-1)))))</f>
        <v>-</v>
      </c>
      <c r="H155" s="19" t="str">
        <f t="array" ref="H155">IF(ISBLANK(Tareas!$B151),"-",SUM(
SUMIF(INDIRECT(Equipo!$C$4&amp;"!B10:B1000"),$B155,INDIRECT(Equipo!$C$4&amp;"!"&amp;ADDRESS(10,COLUMN(H$9)-1)&amp;":"&amp;ADDRESS(1000,COLUMN(H$9)-1))),
SUMIF(INDIRECT(Equipo!$D$4&amp;"!B10:B1000"),$B155,INDIRECT(Equipo!$D$4&amp;"!"&amp;ADDRESS(10,COLUMN(H$9)-1)&amp;":"&amp;ADDRESS(1000,COLUMN(H$9)-1))),
SUMIF(INDIRECT(Equipo!$E$4&amp;"!B10:B1000"),$B155,INDIRECT(Equipo!$E$4&amp;"!"&amp;ADDRESS(10,COLUMN(H$9)-1)&amp;":"&amp;ADDRESS(1000,COLUMN(H$9)-1))),
SUMIF(INDIRECT(Equipo!$F$4&amp;"!B10:B1000"),$B155,INDIRECT(Equipo!$F$4&amp;"!"&amp;ADDRESS(10,COLUMN(H$9)-1)&amp;":"&amp;ADDRESS(1000,COLUMN(H$9)-1))),
SUMIF(INDIRECT(Equipo!$G$4&amp;"!B10:B1000"),$B155,INDIRECT(Equipo!$G$4&amp;"!"&amp;ADDRESS(10,COLUMN(H$9)-1)&amp;":"&amp;ADDRESS(1000,COLUMN(H$9)-1)))))</f>
        <v>-</v>
      </c>
      <c r="I155" s="19" t="str">
        <f t="array" ref="I155">IF(ISBLANK(Tareas!$B151),"-",SUM(
SUMIF(INDIRECT(Equipo!$C$4&amp;"!B10:B1000"),$B155,INDIRECT(Equipo!$C$4&amp;"!"&amp;ADDRESS(10,COLUMN(I$9)-1)&amp;":"&amp;ADDRESS(1000,COLUMN(I$9)-1))),
SUMIF(INDIRECT(Equipo!$D$4&amp;"!B10:B1000"),$B155,INDIRECT(Equipo!$D$4&amp;"!"&amp;ADDRESS(10,COLUMN(I$9)-1)&amp;":"&amp;ADDRESS(1000,COLUMN(I$9)-1))),
SUMIF(INDIRECT(Equipo!$E$4&amp;"!B10:B1000"),$B155,INDIRECT(Equipo!$E$4&amp;"!"&amp;ADDRESS(10,COLUMN(I$9)-1)&amp;":"&amp;ADDRESS(1000,COLUMN(I$9)-1))),
SUMIF(INDIRECT(Equipo!$F$4&amp;"!B10:B1000"),$B155,INDIRECT(Equipo!$F$4&amp;"!"&amp;ADDRESS(10,COLUMN(I$9)-1)&amp;":"&amp;ADDRESS(1000,COLUMN(I$9)-1))),
SUMIF(INDIRECT(Equipo!$G$4&amp;"!B10:B1000"),$B155,INDIRECT(Equipo!$G$4&amp;"!"&amp;ADDRESS(10,COLUMN(I$9)-1)&amp;":"&amp;ADDRESS(1000,COLUMN(I$9)-1)))))</f>
        <v>-</v>
      </c>
      <c r="J155" s="19" t="str">
        <f t="array" ref="J155">IF(ISBLANK(Tareas!$B151),"-",SUM(
SUMIF(INDIRECT(Equipo!$C$4&amp;"!B10:B1000"),$B155,INDIRECT(Equipo!$C$4&amp;"!"&amp;ADDRESS(10,COLUMN(J$9)-1)&amp;":"&amp;ADDRESS(1000,COLUMN(J$9)-1))),
SUMIF(INDIRECT(Equipo!$D$4&amp;"!B10:B1000"),$B155,INDIRECT(Equipo!$D$4&amp;"!"&amp;ADDRESS(10,COLUMN(J$9)-1)&amp;":"&amp;ADDRESS(1000,COLUMN(J$9)-1))),
SUMIF(INDIRECT(Equipo!$E$4&amp;"!B10:B1000"),$B155,INDIRECT(Equipo!$E$4&amp;"!"&amp;ADDRESS(10,COLUMN(J$9)-1)&amp;":"&amp;ADDRESS(1000,COLUMN(J$9)-1))),
SUMIF(INDIRECT(Equipo!$F$4&amp;"!B10:B1000"),$B155,INDIRECT(Equipo!$F$4&amp;"!"&amp;ADDRESS(10,COLUMN(J$9)-1)&amp;":"&amp;ADDRESS(1000,COLUMN(J$9)-1))),
SUMIF(INDIRECT(Equipo!$G$4&amp;"!B10:B1000"),$B155,INDIRECT(Equipo!$G$4&amp;"!"&amp;ADDRESS(10,COLUMN(J$9)-1)&amp;":"&amp;ADDRESS(1000,COLUMN(J$9)-1)))))</f>
        <v>-</v>
      </c>
      <c r="K155" s="19" t="str">
        <f t="array" ref="K155">IF(ISBLANK(Tareas!$B151),"-",SUM(
SUMIF(INDIRECT(Equipo!$C$4&amp;"!B10:B1000"),$B155,INDIRECT(Equipo!$C$4&amp;"!"&amp;ADDRESS(10,COLUMN(K$9)-1)&amp;":"&amp;ADDRESS(1000,COLUMN(K$9)-1))),
SUMIF(INDIRECT(Equipo!$D$4&amp;"!B10:B1000"),$B155,INDIRECT(Equipo!$D$4&amp;"!"&amp;ADDRESS(10,COLUMN(K$9)-1)&amp;":"&amp;ADDRESS(1000,COLUMN(K$9)-1))),
SUMIF(INDIRECT(Equipo!$E$4&amp;"!B10:B1000"),$B155,INDIRECT(Equipo!$E$4&amp;"!"&amp;ADDRESS(10,COLUMN(K$9)-1)&amp;":"&amp;ADDRESS(1000,COLUMN(K$9)-1))),
SUMIF(INDIRECT(Equipo!$F$4&amp;"!B10:B1000"),$B155,INDIRECT(Equipo!$F$4&amp;"!"&amp;ADDRESS(10,COLUMN(K$9)-1)&amp;":"&amp;ADDRESS(1000,COLUMN(K$9)-1))),
SUMIF(INDIRECT(Equipo!$G$4&amp;"!B10:B1000"),$B155,INDIRECT(Equipo!$G$4&amp;"!"&amp;ADDRESS(10,COLUMN(K$9)-1)&amp;":"&amp;ADDRESS(1000,COLUMN(K$9)-1)))))</f>
        <v>-</v>
      </c>
    </row>
    <row r="156" ht="15.75" customHeight="1">
      <c r="B156" s="1" t="str">
        <f>IF(ISBLANK(Tareas!B152)," - ",Tareas!B152)</f>
        <v> - </v>
      </c>
      <c r="D156" s="19" t="str">
        <f t="array" ref="D156">IF(ISBLANK(Tareas!$B152),"-",SUM(
SUMIF(INDIRECT(Equipo!$C$4&amp;"!B10:B1000"),$B156,INDIRECT(Equipo!$C$4&amp;"!"&amp;ADDRESS(10,COLUMN(D$9)-1)&amp;":"&amp;ADDRESS(1000,COLUMN(D$9)-1))),
SUMIF(INDIRECT(Equipo!$D$4&amp;"!B10:B1000"),$B156,INDIRECT(Equipo!$D$4&amp;"!"&amp;ADDRESS(10,COLUMN(D$9)-1)&amp;":"&amp;ADDRESS(1000,COLUMN(D$9)-1))),
SUMIF(INDIRECT(Equipo!$E$4&amp;"!B10:B1000"),$B156,INDIRECT(Equipo!$E$4&amp;"!"&amp;ADDRESS(10,COLUMN(D$9)-1)&amp;":"&amp;ADDRESS(1000,COLUMN(D$9)-1))),
SUMIF(INDIRECT(Equipo!$F$4&amp;"!B10:B1000"),$B156,INDIRECT(Equipo!$F$4&amp;"!"&amp;ADDRESS(10,COLUMN(D$9)-1)&amp;":"&amp;ADDRESS(1000,COLUMN(D$9)-1))),
SUMIF(INDIRECT(Equipo!$G$4&amp;"!B10:B1000"),$B156,INDIRECT(Equipo!$G$4&amp;"!"&amp;ADDRESS(10,COLUMN(D$9)-1)&amp;":"&amp;ADDRESS(1000,COLUMN(D$9)-1)))))</f>
        <v>-</v>
      </c>
      <c r="E156" s="19" t="str">
        <f t="array" ref="E156">IF(ISBLANK(Tareas!$B152),"-",SUM(
SUMIF(INDIRECT(Equipo!$C$4&amp;"!B10:B1000"),$B156,INDIRECT(Equipo!$C$4&amp;"!"&amp;ADDRESS(10,COLUMN(E$9)-1)&amp;":"&amp;ADDRESS(1000,COLUMN(E$9)-1))),
SUMIF(INDIRECT(Equipo!$D$4&amp;"!B10:B1000"),$B156,INDIRECT(Equipo!$D$4&amp;"!"&amp;ADDRESS(10,COLUMN(E$9)-1)&amp;":"&amp;ADDRESS(1000,COLUMN(E$9)-1))),
SUMIF(INDIRECT(Equipo!$E$4&amp;"!B10:B1000"),$B156,INDIRECT(Equipo!$E$4&amp;"!"&amp;ADDRESS(10,COLUMN(E$9)-1)&amp;":"&amp;ADDRESS(1000,COLUMN(E$9)-1))),
SUMIF(INDIRECT(Equipo!$F$4&amp;"!B10:B1000"),$B156,INDIRECT(Equipo!$F$4&amp;"!"&amp;ADDRESS(10,COLUMN(E$9)-1)&amp;":"&amp;ADDRESS(1000,COLUMN(E$9)-1))),
SUMIF(INDIRECT(Equipo!$G$4&amp;"!B10:B1000"),$B156,INDIRECT(Equipo!$G$4&amp;"!"&amp;ADDRESS(10,COLUMN(E$9)-1)&amp;":"&amp;ADDRESS(1000,COLUMN(E$9)-1)))))</f>
        <v>-</v>
      </c>
      <c r="F156" s="19" t="str">
        <f t="array" ref="F156">IF(ISBLANK(Tareas!$B152),"-",SUM(
SUMIF(INDIRECT(Equipo!$C$4&amp;"!B10:B1000"),$B156,INDIRECT(Equipo!$C$4&amp;"!"&amp;ADDRESS(10,COLUMN(F$9)-1)&amp;":"&amp;ADDRESS(1000,COLUMN(F$9)-1))),
SUMIF(INDIRECT(Equipo!$D$4&amp;"!B10:B1000"),$B156,INDIRECT(Equipo!$D$4&amp;"!"&amp;ADDRESS(10,COLUMN(F$9)-1)&amp;":"&amp;ADDRESS(1000,COLUMN(F$9)-1))),
SUMIF(INDIRECT(Equipo!$E$4&amp;"!B10:B1000"),$B156,INDIRECT(Equipo!$E$4&amp;"!"&amp;ADDRESS(10,COLUMN(F$9)-1)&amp;":"&amp;ADDRESS(1000,COLUMN(F$9)-1))),
SUMIF(INDIRECT(Equipo!$F$4&amp;"!B10:B1000"),$B156,INDIRECT(Equipo!$F$4&amp;"!"&amp;ADDRESS(10,COLUMN(F$9)-1)&amp;":"&amp;ADDRESS(1000,COLUMN(F$9)-1))),
SUMIF(INDIRECT(Equipo!$G$4&amp;"!B10:B1000"),$B156,INDIRECT(Equipo!$G$4&amp;"!"&amp;ADDRESS(10,COLUMN(F$9)-1)&amp;":"&amp;ADDRESS(1000,COLUMN(F$9)-1)))))</f>
        <v>-</v>
      </c>
      <c r="G156" s="19" t="str">
        <f t="array" ref="G156">IF(ISBLANK(Tareas!$B152),"-",SUM(
SUMIF(INDIRECT(Equipo!$C$4&amp;"!B10:B1000"),$B156,INDIRECT(Equipo!$C$4&amp;"!"&amp;ADDRESS(10,COLUMN(G$9)-1)&amp;":"&amp;ADDRESS(1000,COLUMN(G$9)-1))),
SUMIF(INDIRECT(Equipo!$D$4&amp;"!B10:B1000"),$B156,INDIRECT(Equipo!$D$4&amp;"!"&amp;ADDRESS(10,COLUMN(G$9)-1)&amp;":"&amp;ADDRESS(1000,COLUMN(G$9)-1))),
SUMIF(INDIRECT(Equipo!$E$4&amp;"!B10:B1000"),$B156,INDIRECT(Equipo!$E$4&amp;"!"&amp;ADDRESS(10,COLUMN(G$9)-1)&amp;":"&amp;ADDRESS(1000,COLUMN(G$9)-1))),
SUMIF(INDIRECT(Equipo!$F$4&amp;"!B10:B1000"),$B156,INDIRECT(Equipo!$F$4&amp;"!"&amp;ADDRESS(10,COLUMN(G$9)-1)&amp;":"&amp;ADDRESS(1000,COLUMN(G$9)-1))),
SUMIF(INDIRECT(Equipo!$G$4&amp;"!B10:B1000"),$B156,INDIRECT(Equipo!$G$4&amp;"!"&amp;ADDRESS(10,COLUMN(G$9)-1)&amp;":"&amp;ADDRESS(1000,COLUMN(G$9)-1)))))</f>
        <v>-</v>
      </c>
      <c r="H156" s="19" t="str">
        <f t="array" ref="H156">IF(ISBLANK(Tareas!$B152),"-",SUM(
SUMIF(INDIRECT(Equipo!$C$4&amp;"!B10:B1000"),$B156,INDIRECT(Equipo!$C$4&amp;"!"&amp;ADDRESS(10,COLUMN(H$9)-1)&amp;":"&amp;ADDRESS(1000,COLUMN(H$9)-1))),
SUMIF(INDIRECT(Equipo!$D$4&amp;"!B10:B1000"),$B156,INDIRECT(Equipo!$D$4&amp;"!"&amp;ADDRESS(10,COLUMN(H$9)-1)&amp;":"&amp;ADDRESS(1000,COLUMN(H$9)-1))),
SUMIF(INDIRECT(Equipo!$E$4&amp;"!B10:B1000"),$B156,INDIRECT(Equipo!$E$4&amp;"!"&amp;ADDRESS(10,COLUMN(H$9)-1)&amp;":"&amp;ADDRESS(1000,COLUMN(H$9)-1))),
SUMIF(INDIRECT(Equipo!$F$4&amp;"!B10:B1000"),$B156,INDIRECT(Equipo!$F$4&amp;"!"&amp;ADDRESS(10,COLUMN(H$9)-1)&amp;":"&amp;ADDRESS(1000,COLUMN(H$9)-1))),
SUMIF(INDIRECT(Equipo!$G$4&amp;"!B10:B1000"),$B156,INDIRECT(Equipo!$G$4&amp;"!"&amp;ADDRESS(10,COLUMN(H$9)-1)&amp;":"&amp;ADDRESS(1000,COLUMN(H$9)-1)))))</f>
        <v>-</v>
      </c>
      <c r="I156" s="19" t="str">
        <f t="array" ref="I156">IF(ISBLANK(Tareas!$B152),"-",SUM(
SUMIF(INDIRECT(Equipo!$C$4&amp;"!B10:B1000"),$B156,INDIRECT(Equipo!$C$4&amp;"!"&amp;ADDRESS(10,COLUMN(I$9)-1)&amp;":"&amp;ADDRESS(1000,COLUMN(I$9)-1))),
SUMIF(INDIRECT(Equipo!$D$4&amp;"!B10:B1000"),$B156,INDIRECT(Equipo!$D$4&amp;"!"&amp;ADDRESS(10,COLUMN(I$9)-1)&amp;":"&amp;ADDRESS(1000,COLUMN(I$9)-1))),
SUMIF(INDIRECT(Equipo!$E$4&amp;"!B10:B1000"),$B156,INDIRECT(Equipo!$E$4&amp;"!"&amp;ADDRESS(10,COLUMN(I$9)-1)&amp;":"&amp;ADDRESS(1000,COLUMN(I$9)-1))),
SUMIF(INDIRECT(Equipo!$F$4&amp;"!B10:B1000"),$B156,INDIRECT(Equipo!$F$4&amp;"!"&amp;ADDRESS(10,COLUMN(I$9)-1)&amp;":"&amp;ADDRESS(1000,COLUMN(I$9)-1))),
SUMIF(INDIRECT(Equipo!$G$4&amp;"!B10:B1000"),$B156,INDIRECT(Equipo!$G$4&amp;"!"&amp;ADDRESS(10,COLUMN(I$9)-1)&amp;":"&amp;ADDRESS(1000,COLUMN(I$9)-1)))))</f>
        <v>-</v>
      </c>
      <c r="J156" s="19" t="str">
        <f t="array" ref="J156">IF(ISBLANK(Tareas!$B152),"-",SUM(
SUMIF(INDIRECT(Equipo!$C$4&amp;"!B10:B1000"),$B156,INDIRECT(Equipo!$C$4&amp;"!"&amp;ADDRESS(10,COLUMN(J$9)-1)&amp;":"&amp;ADDRESS(1000,COLUMN(J$9)-1))),
SUMIF(INDIRECT(Equipo!$D$4&amp;"!B10:B1000"),$B156,INDIRECT(Equipo!$D$4&amp;"!"&amp;ADDRESS(10,COLUMN(J$9)-1)&amp;":"&amp;ADDRESS(1000,COLUMN(J$9)-1))),
SUMIF(INDIRECT(Equipo!$E$4&amp;"!B10:B1000"),$B156,INDIRECT(Equipo!$E$4&amp;"!"&amp;ADDRESS(10,COLUMN(J$9)-1)&amp;":"&amp;ADDRESS(1000,COLUMN(J$9)-1))),
SUMIF(INDIRECT(Equipo!$F$4&amp;"!B10:B1000"),$B156,INDIRECT(Equipo!$F$4&amp;"!"&amp;ADDRESS(10,COLUMN(J$9)-1)&amp;":"&amp;ADDRESS(1000,COLUMN(J$9)-1))),
SUMIF(INDIRECT(Equipo!$G$4&amp;"!B10:B1000"),$B156,INDIRECT(Equipo!$G$4&amp;"!"&amp;ADDRESS(10,COLUMN(J$9)-1)&amp;":"&amp;ADDRESS(1000,COLUMN(J$9)-1)))))</f>
        <v>-</v>
      </c>
      <c r="K156" s="19" t="str">
        <f t="array" ref="K156">IF(ISBLANK(Tareas!$B152),"-",SUM(
SUMIF(INDIRECT(Equipo!$C$4&amp;"!B10:B1000"),$B156,INDIRECT(Equipo!$C$4&amp;"!"&amp;ADDRESS(10,COLUMN(K$9)-1)&amp;":"&amp;ADDRESS(1000,COLUMN(K$9)-1))),
SUMIF(INDIRECT(Equipo!$D$4&amp;"!B10:B1000"),$B156,INDIRECT(Equipo!$D$4&amp;"!"&amp;ADDRESS(10,COLUMN(K$9)-1)&amp;":"&amp;ADDRESS(1000,COLUMN(K$9)-1))),
SUMIF(INDIRECT(Equipo!$E$4&amp;"!B10:B1000"),$B156,INDIRECT(Equipo!$E$4&amp;"!"&amp;ADDRESS(10,COLUMN(K$9)-1)&amp;":"&amp;ADDRESS(1000,COLUMN(K$9)-1))),
SUMIF(INDIRECT(Equipo!$F$4&amp;"!B10:B1000"),$B156,INDIRECT(Equipo!$F$4&amp;"!"&amp;ADDRESS(10,COLUMN(K$9)-1)&amp;":"&amp;ADDRESS(1000,COLUMN(K$9)-1))),
SUMIF(INDIRECT(Equipo!$G$4&amp;"!B10:B1000"),$B156,INDIRECT(Equipo!$G$4&amp;"!"&amp;ADDRESS(10,COLUMN(K$9)-1)&amp;":"&amp;ADDRESS(1000,COLUMN(K$9)-1)))))</f>
        <v>-</v>
      </c>
    </row>
    <row r="157" ht="15.75" customHeight="1">
      <c r="B157" s="1" t="str">
        <f>IF(ISBLANK(Tareas!B153)," - ",Tareas!B153)</f>
        <v> - </v>
      </c>
      <c r="D157" s="19" t="str">
        <f t="array" ref="D157">IF(ISBLANK(Tareas!$B153),"-",SUM(
SUMIF(INDIRECT(Equipo!$C$4&amp;"!B10:B1000"),$B157,INDIRECT(Equipo!$C$4&amp;"!"&amp;ADDRESS(10,COLUMN(D$9)-1)&amp;":"&amp;ADDRESS(1000,COLUMN(D$9)-1))),
SUMIF(INDIRECT(Equipo!$D$4&amp;"!B10:B1000"),$B157,INDIRECT(Equipo!$D$4&amp;"!"&amp;ADDRESS(10,COLUMN(D$9)-1)&amp;":"&amp;ADDRESS(1000,COLUMN(D$9)-1))),
SUMIF(INDIRECT(Equipo!$E$4&amp;"!B10:B1000"),$B157,INDIRECT(Equipo!$E$4&amp;"!"&amp;ADDRESS(10,COLUMN(D$9)-1)&amp;":"&amp;ADDRESS(1000,COLUMN(D$9)-1))),
SUMIF(INDIRECT(Equipo!$F$4&amp;"!B10:B1000"),$B157,INDIRECT(Equipo!$F$4&amp;"!"&amp;ADDRESS(10,COLUMN(D$9)-1)&amp;":"&amp;ADDRESS(1000,COLUMN(D$9)-1))),
SUMIF(INDIRECT(Equipo!$G$4&amp;"!B10:B1000"),$B157,INDIRECT(Equipo!$G$4&amp;"!"&amp;ADDRESS(10,COLUMN(D$9)-1)&amp;":"&amp;ADDRESS(1000,COLUMN(D$9)-1)))))</f>
        <v>-</v>
      </c>
      <c r="E157" s="19" t="str">
        <f t="array" ref="E157">IF(ISBLANK(Tareas!$B153),"-",SUM(
SUMIF(INDIRECT(Equipo!$C$4&amp;"!B10:B1000"),$B157,INDIRECT(Equipo!$C$4&amp;"!"&amp;ADDRESS(10,COLUMN(E$9)-1)&amp;":"&amp;ADDRESS(1000,COLUMN(E$9)-1))),
SUMIF(INDIRECT(Equipo!$D$4&amp;"!B10:B1000"),$B157,INDIRECT(Equipo!$D$4&amp;"!"&amp;ADDRESS(10,COLUMN(E$9)-1)&amp;":"&amp;ADDRESS(1000,COLUMN(E$9)-1))),
SUMIF(INDIRECT(Equipo!$E$4&amp;"!B10:B1000"),$B157,INDIRECT(Equipo!$E$4&amp;"!"&amp;ADDRESS(10,COLUMN(E$9)-1)&amp;":"&amp;ADDRESS(1000,COLUMN(E$9)-1))),
SUMIF(INDIRECT(Equipo!$F$4&amp;"!B10:B1000"),$B157,INDIRECT(Equipo!$F$4&amp;"!"&amp;ADDRESS(10,COLUMN(E$9)-1)&amp;":"&amp;ADDRESS(1000,COLUMN(E$9)-1))),
SUMIF(INDIRECT(Equipo!$G$4&amp;"!B10:B1000"),$B157,INDIRECT(Equipo!$G$4&amp;"!"&amp;ADDRESS(10,COLUMN(E$9)-1)&amp;":"&amp;ADDRESS(1000,COLUMN(E$9)-1)))))</f>
        <v>-</v>
      </c>
      <c r="F157" s="19" t="str">
        <f t="array" ref="F157">IF(ISBLANK(Tareas!$B153),"-",SUM(
SUMIF(INDIRECT(Equipo!$C$4&amp;"!B10:B1000"),$B157,INDIRECT(Equipo!$C$4&amp;"!"&amp;ADDRESS(10,COLUMN(F$9)-1)&amp;":"&amp;ADDRESS(1000,COLUMN(F$9)-1))),
SUMIF(INDIRECT(Equipo!$D$4&amp;"!B10:B1000"),$B157,INDIRECT(Equipo!$D$4&amp;"!"&amp;ADDRESS(10,COLUMN(F$9)-1)&amp;":"&amp;ADDRESS(1000,COLUMN(F$9)-1))),
SUMIF(INDIRECT(Equipo!$E$4&amp;"!B10:B1000"),$B157,INDIRECT(Equipo!$E$4&amp;"!"&amp;ADDRESS(10,COLUMN(F$9)-1)&amp;":"&amp;ADDRESS(1000,COLUMN(F$9)-1))),
SUMIF(INDIRECT(Equipo!$F$4&amp;"!B10:B1000"),$B157,INDIRECT(Equipo!$F$4&amp;"!"&amp;ADDRESS(10,COLUMN(F$9)-1)&amp;":"&amp;ADDRESS(1000,COLUMN(F$9)-1))),
SUMIF(INDIRECT(Equipo!$G$4&amp;"!B10:B1000"),$B157,INDIRECT(Equipo!$G$4&amp;"!"&amp;ADDRESS(10,COLUMN(F$9)-1)&amp;":"&amp;ADDRESS(1000,COLUMN(F$9)-1)))))</f>
        <v>-</v>
      </c>
      <c r="G157" s="19" t="str">
        <f t="array" ref="G157">IF(ISBLANK(Tareas!$B153),"-",SUM(
SUMIF(INDIRECT(Equipo!$C$4&amp;"!B10:B1000"),$B157,INDIRECT(Equipo!$C$4&amp;"!"&amp;ADDRESS(10,COLUMN(G$9)-1)&amp;":"&amp;ADDRESS(1000,COLUMN(G$9)-1))),
SUMIF(INDIRECT(Equipo!$D$4&amp;"!B10:B1000"),$B157,INDIRECT(Equipo!$D$4&amp;"!"&amp;ADDRESS(10,COLUMN(G$9)-1)&amp;":"&amp;ADDRESS(1000,COLUMN(G$9)-1))),
SUMIF(INDIRECT(Equipo!$E$4&amp;"!B10:B1000"),$B157,INDIRECT(Equipo!$E$4&amp;"!"&amp;ADDRESS(10,COLUMN(G$9)-1)&amp;":"&amp;ADDRESS(1000,COLUMN(G$9)-1))),
SUMIF(INDIRECT(Equipo!$F$4&amp;"!B10:B1000"),$B157,INDIRECT(Equipo!$F$4&amp;"!"&amp;ADDRESS(10,COLUMN(G$9)-1)&amp;":"&amp;ADDRESS(1000,COLUMN(G$9)-1))),
SUMIF(INDIRECT(Equipo!$G$4&amp;"!B10:B1000"),$B157,INDIRECT(Equipo!$G$4&amp;"!"&amp;ADDRESS(10,COLUMN(G$9)-1)&amp;":"&amp;ADDRESS(1000,COLUMN(G$9)-1)))))</f>
        <v>-</v>
      </c>
      <c r="H157" s="19" t="str">
        <f t="array" ref="H157">IF(ISBLANK(Tareas!$B153),"-",SUM(
SUMIF(INDIRECT(Equipo!$C$4&amp;"!B10:B1000"),$B157,INDIRECT(Equipo!$C$4&amp;"!"&amp;ADDRESS(10,COLUMN(H$9)-1)&amp;":"&amp;ADDRESS(1000,COLUMN(H$9)-1))),
SUMIF(INDIRECT(Equipo!$D$4&amp;"!B10:B1000"),$B157,INDIRECT(Equipo!$D$4&amp;"!"&amp;ADDRESS(10,COLUMN(H$9)-1)&amp;":"&amp;ADDRESS(1000,COLUMN(H$9)-1))),
SUMIF(INDIRECT(Equipo!$E$4&amp;"!B10:B1000"),$B157,INDIRECT(Equipo!$E$4&amp;"!"&amp;ADDRESS(10,COLUMN(H$9)-1)&amp;":"&amp;ADDRESS(1000,COLUMN(H$9)-1))),
SUMIF(INDIRECT(Equipo!$F$4&amp;"!B10:B1000"),$B157,INDIRECT(Equipo!$F$4&amp;"!"&amp;ADDRESS(10,COLUMN(H$9)-1)&amp;":"&amp;ADDRESS(1000,COLUMN(H$9)-1))),
SUMIF(INDIRECT(Equipo!$G$4&amp;"!B10:B1000"),$B157,INDIRECT(Equipo!$G$4&amp;"!"&amp;ADDRESS(10,COLUMN(H$9)-1)&amp;":"&amp;ADDRESS(1000,COLUMN(H$9)-1)))))</f>
        <v>-</v>
      </c>
      <c r="I157" s="19" t="str">
        <f t="array" ref="I157">IF(ISBLANK(Tareas!$B153),"-",SUM(
SUMIF(INDIRECT(Equipo!$C$4&amp;"!B10:B1000"),$B157,INDIRECT(Equipo!$C$4&amp;"!"&amp;ADDRESS(10,COLUMN(I$9)-1)&amp;":"&amp;ADDRESS(1000,COLUMN(I$9)-1))),
SUMIF(INDIRECT(Equipo!$D$4&amp;"!B10:B1000"),$B157,INDIRECT(Equipo!$D$4&amp;"!"&amp;ADDRESS(10,COLUMN(I$9)-1)&amp;":"&amp;ADDRESS(1000,COLUMN(I$9)-1))),
SUMIF(INDIRECT(Equipo!$E$4&amp;"!B10:B1000"),$B157,INDIRECT(Equipo!$E$4&amp;"!"&amp;ADDRESS(10,COLUMN(I$9)-1)&amp;":"&amp;ADDRESS(1000,COLUMN(I$9)-1))),
SUMIF(INDIRECT(Equipo!$F$4&amp;"!B10:B1000"),$B157,INDIRECT(Equipo!$F$4&amp;"!"&amp;ADDRESS(10,COLUMN(I$9)-1)&amp;":"&amp;ADDRESS(1000,COLUMN(I$9)-1))),
SUMIF(INDIRECT(Equipo!$G$4&amp;"!B10:B1000"),$B157,INDIRECT(Equipo!$G$4&amp;"!"&amp;ADDRESS(10,COLUMN(I$9)-1)&amp;":"&amp;ADDRESS(1000,COLUMN(I$9)-1)))))</f>
        <v>-</v>
      </c>
      <c r="J157" s="19" t="str">
        <f t="array" ref="J157">IF(ISBLANK(Tareas!$B153),"-",SUM(
SUMIF(INDIRECT(Equipo!$C$4&amp;"!B10:B1000"),$B157,INDIRECT(Equipo!$C$4&amp;"!"&amp;ADDRESS(10,COLUMN(J$9)-1)&amp;":"&amp;ADDRESS(1000,COLUMN(J$9)-1))),
SUMIF(INDIRECT(Equipo!$D$4&amp;"!B10:B1000"),$B157,INDIRECT(Equipo!$D$4&amp;"!"&amp;ADDRESS(10,COLUMN(J$9)-1)&amp;":"&amp;ADDRESS(1000,COLUMN(J$9)-1))),
SUMIF(INDIRECT(Equipo!$E$4&amp;"!B10:B1000"),$B157,INDIRECT(Equipo!$E$4&amp;"!"&amp;ADDRESS(10,COLUMN(J$9)-1)&amp;":"&amp;ADDRESS(1000,COLUMN(J$9)-1))),
SUMIF(INDIRECT(Equipo!$F$4&amp;"!B10:B1000"),$B157,INDIRECT(Equipo!$F$4&amp;"!"&amp;ADDRESS(10,COLUMN(J$9)-1)&amp;":"&amp;ADDRESS(1000,COLUMN(J$9)-1))),
SUMIF(INDIRECT(Equipo!$G$4&amp;"!B10:B1000"),$B157,INDIRECT(Equipo!$G$4&amp;"!"&amp;ADDRESS(10,COLUMN(J$9)-1)&amp;":"&amp;ADDRESS(1000,COLUMN(J$9)-1)))))</f>
        <v>-</v>
      </c>
      <c r="K157" s="19" t="str">
        <f t="array" ref="K157">IF(ISBLANK(Tareas!$B153),"-",SUM(
SUMIF(INDIRECT(Equipo!$C$4&amp;"!B10:B1000"),$B157,INDIRECT(Equipo!$C$4&amp;"!"&amp;ADDRESS(10,COLUMN(K$9)-1)&amp;":"&amp;ADDRESS(1000,COLUMN(K$9)-1))),
SUMIF(INDIRECT(Equipo!$D$4&amp;"!B10:B1000"),$B157,INDIRECT(Equipo!$D$4&amp;"!"&amp;ADDRESS(10,COLUMN(K$9)-1)&amp;":"&amp;ADDRESS(1000,COLUMN(K$9)-1))),
SUMIF(INDIRECT(Equipo!$E$4&amp;"!B10:B1000"),$B157,INDIRECT(Equipo!$E$4&amp;"!"&amp;ADDRESS(10,COLUMN(K$9)-1)&amp;":"&amp;ADDRESS(1000,COLUMN(K$9)-1))),
SUMIF(INDIRECT(Equipo!$F$4&amp;"!B10:B1000"),$B157,INDIRECT(Equipo!$F$4&amp;"!"&amp;ADDRESS(10,COLUMN(K$9)-1)&amp;":"&amp;ADDRESS(1000,COLUMN(K$9)-1))),
SUMIF(INDIRECT(Equipo!$G$4&amp;"!B10:B1000"),$B157,INDIRECT(Equipo!$G$4&amp;"!"&amp;ADDRESS(10,COLUMN(K$9)-1)&amp;":"&amp;ADDRESS(1000,COLUMN(K$9)-1)))))</f>
        <v>-</v>
      </c>
    </row>
    <row r="158" ht="15.75" customHeight="1">
      <c r="B158" s="1" t="str">
        <f>IF(ISBLANK(Tareas!B154)," - ",Tareas!B154)</f>
        <v> - </v>
      </c>
      <c r="D158" s="19" t="str">
        <f t="array" ref="D158">IF(ISBLANK(Tareas!$B154),"-",SUM(
SUMIF(INDIRECT(Equipo!$C$4&amp;"!B10:B1000"),$B158,INDIRECT(Equipo!$C$4&amp;"!"&amp;ADDRESS(10,COLUMN(D$9)-1)&amp;":"&amp;ADDRESS(1000,COLUMN(D$9)-1))),
SUMIF(INDIRECT(Equipo!$D$4&amp;"!B10:B1000"),$B158,INDIRECT(Equipo!$D$4&amp;"!"&amp;ADDRESS(10,COLUMN(D$9)-1)&amp;":"&amp;ADDRESS(1000,COLUMN(D$9)-1))),
SUMIF(INDIRECT(Equipo!$E$4&amp;"!B10:B1000"),$B158,INDIRECT(Equipo!$E$4&amp;"!"&amp;ADDRESS(10,COLUMN(D$9)-1)&amp;":"&amp;ADDRESS(1000,COLUMN(D$9)-1))),
SUMIF(INDIRECT(Equipo!$F$4&amp;"!B10:B1000"),$B158,INDIRECT(Equipo!$F$4&amp;"!"&amp;ADDRESS(10,COLUMN(D$9)-1)&amp;":"&amp;ADDRESS(1000,COLUMN(D$9)-1))),
SUMIF(INDIRECT(Equipo!$G$4&amp;"!B10:B1000"),$B158,INDIRECT(Equipo!$G$4&amp;"!"&amp;ADDRESS(10,COLUMN(D$9)-1)&amp;":"&amp;ADDRESS(1000,COLUMN(D$9)-1)))))</f>
        <v>-</v>
      </c>
      <c r="E158" s="19" t="str">
        <f t="array" ref="E158">IF(ISBLANK(Tareas!$B154),"-",SUM(
SUMIF(INDIRECT(Equipo!$C$4&amp;"!B10:B1000"),$B158,INDIRECT(Equipo!$C$4&amp;"!"&amp;ADDRESS(10,COLUMN(E$9)-1)&amp;":"&amp;ADDRESS(1000,COLUMN(E$9)-1))),
SUMIF(INDIRECT(Equipo!$D$4&amp;"!B10:B1000"),$B158,INDIRECT(Equipo!$D$4&amp;"!"&amp;ADDRESS(10,COLUMN(E$9)-1)&amp;":"&amp;ADDRESS(1000,COLUMN(E$9)-1))),
SUMIF(INDIRECT(Equipo!$E$4&amp;"!B10:B1000"),$B158,INDIRECT(Equipo!$E$4&amp;"!"&amp;ADDRESS(10,COLUMN(E$9)-1)&amp;":"&amp;ADDRESS(1000,COLUMN(E$9)-1))),
SUMIF(INDIRECT(Equipo!$F$4&amp;"!B10:B1000"),$B158,INDIRECT(Equipo!$F$4&amp;"!"&amp;ADDRESS(10,COLUMN(E$9)-1)&amp;":"&amp;ADDRESS(1000,COLUMN(E$9)-1))),
SUMIF(INDIRECT(Equipo!$G$4&amp;"!B10:B1000"),$B158,INDIRECT(Equipo!$G$4&amp;"!"&amp;ADDRESS(10,COLUMN(E$9)-1)&amp;":"&amp;ADDRESS(1000,COLUMN(E$9)-1)))))</f>
        <v>-</v>
      </c>
      <c r="F158" s="19" t="str">
        <f t="array" ref="F158">IF(ISBLANK(Tareas!$B154),"-",SUM(
SUMIF(INDIRECT(Equipo!$C$4&amp;"!B10:B1000"),$B158,INDIRECT(Equipo!$C$4&amp;"!"&amp;ADDRESS(10,COLUMN(F$9)-1)&amp;":"&amp;ADDRESS(1000,COLUMN(F$9)-1))),
SUMIF(INDIRECT(Equipo!$D$4&amp;"!B10:B1000"),$B158,INDIRECT(Equipo!$D$4&amp;"!"&amp;ADDRESS(10,COLUMN(F$9)-1)&amp;":"&amp;ADDRESS(1000,COLUMN(F$9)-1))),
SUMIF(INDIRECT(Equipo!$E$4&amp;"!B10:B1000"),$B158,INDIRECT(Equipo!$E$4&amp;"!"&amp;ADDRESS(10,COLUMN(F$9)-1)&amp;":"&amp;ADDRESS(1000,COLUMN(F$9)-1))),
SUMIF(INDIRECT(Equipo!$F$4&amp;"!B10:B1000"),$B158,INDIRECT(Equipo!$F$4&amp;"!"&amp;ADDRESS(10,COLUMN(F$9)-1)&amp;":"&amp;ADDRESS(1000,COLUMN(F$9)-1))),
SUMIF(INDIRECT(Equipo!$G$4&amp;"!B10:B1000"),$B158,INDIRECT(Equipo!$G$4&amp;"!"&amp;ADDRESS(10,COLUMN(F$9)-1)&amp;":"&amp;ADDRESS(1000,COLUMN(F$9)-1)))))</f>
        <v>-</v>
      </c>
      <c r="G158" s="19" t="str">
        <f t="array" ref="G158">IF(ISBLANK(Tareas!$B154),"-",SUM(
SUMIF(INDIRECT(Equipo!$C$4&amp;"!B10:B1000"),$B158,INDIRECT(Equipo!$C$4&amp;"!"&amp;ADDRESS(10,COLUMN(G$9)-1)&amp;":"&amp;ADDRESS(1000,COLUMN(G$9)-1))),
SUMIF(INDIRECT(Equipo!$D$4&amp;"!B10:B1000"),$B158,INDIRECT(Equipo!$D$4&amp;"!"&amp;ADDRESS(10,COLUMN(G$9)-1)&amp;":"&amp;ADDRESS(1000,COLUMN(G$9)-1))),
SUMIF(INDIRECT(Equipo!$E$4&amp;"!B10:B1000"),$B158,INDIRECT(Equipo!$E$4&amp;"!"&amp;ADDRESS(10,COLUMN(G$9)-1)&amp;":"&amp;ADDRESS(1000,COLUMN(G$9)-1))),
SUMIF(INDIRECT(Equipo!$F$4&amp;"!B10:B1000"),$B158,INDIRECT(Equipo!$F$4&amp;"!"&amp;ADDRESS(10,COLUMN(G$9)-1)&amp;":"&amp;ADDRESS(1000,COLUMN(G$9)-1))),
SUMIF(INDIRECT(Equipo!$G$4&amp;"!B10:B1000"),$B158,INDIRECT(Equipo!$G$4&amp;"!"&amp;ADDRESS(10,COLUMN(G$9)-1)&amp;":"&amp;ADDRESS(1000,COLUMN(G$9)-1)))))</f>
        <v>-</v>
      </c>
      <c r="H158" s="19" t="str">
        <f t="array" ref="H158">IF(ISBLANK(Tareas!$B154),"-",SUM(
SUMIF(INDIRECT(Equipo!$C$4&amp;"!B10:B1000"),$B158,INDIRECT(Equipo!$C$4&amp;"!"&amp;ADDRESS(10,COLUMN(H$9)-1)&amp;":"&amp;ADDRESS(1000,COLUMN(H$9)-1))),
SUMIF(INDIRECT(Equipo!$D$4&amp;"!B10:B1000"),$B158,INDIRECT(Equipo!$D$4&amp;"!"&amp;ADDRESS(10,COLUMN(H$9)-1)&amp;":"&amp;ADDRESS(1000,COLUMN(H$9)-1))),
SUMIF(INDIRECT(Equipo!$E$4&amp;"!B10:B1000"),$B158,INDIRECT(Equipo!$E$4&amp;"!"&amp;ADDRESS(10,COLUMN(H$9)-1)&amp;":"&amp;ADDRESS(1000,COLUMN(H$9)-1))),
SUMIF(INDIRECT(Equipo!$F$4&amp;"!B10:B1000"),$B158,INDIRECT(Equipo!$F$4&amp;"!"&amp;ADDRESS(10,COLUMN(H$9)-1)&amp;":"&amp;ADDRESS(1000,COLUMN(H$9)-1))),
SUMIF(INDIRECT(Equipo!$G$4&amp;"!B10:B1000"),$B158,INDIRECT(Equipo!$G$4&amp;"!"&amp;ADDRESS(10,COLUMN(H$9)-1)&amp;":"&amp;ADDRESS(1000,COLUMN(H$9)-1)))))</f>
        <v>-</v>
      </c>
      <c r="I158" s="19" t="str">
        <f t="array" ref="I158">IF(ISBLANK(Tareas!$B154),"-",SUM(
SUMIF(INDIRECT(Equipo!$C$4&amp;"!B10:B1000"),$B158,INDIRECT(Equipo!$C$4&amp;"!"&amp;ADDRESS(10,COLUMN(I$9)-1)&amp;":"&amp;ADDRESS(1000,COLUMN(I$9)-1))),
SUMIF(INDIRECT(Equipo!$D$4&amp;"!B10:B1000"),$B158,INDIRECT(Equipo!$D$4&amp;"!"&amp;ADDRESS(10,COLUMN(I$9)-1)&amp;":"&amp;ADDRESS(1000,COLUMN(I$9)-1))),
SUMIF(INDIRECT(Equipo!$E$4&amp;"!B10:B1000"),$B158,INDIRECT(Equipo!$E$4&amp;"!"&amp;ADDRESS(10,COLUMN(I$9)-1)&amp;":"&amp;ADDRESS(1000,COLUMN(I$9)-1))),
SUMIF(INDIRECT(Equipo!$F$4&amp;"!B10:B1000"),$B158,INDIRECT(Equipo!$F$4&amp;"!"&amp;ADDRESS(10,COLUMN(I$9)-1)&amp;":"&amp;ADDRESS(1000,COLUMN(I$9)-1))),
SUMIF(INDIRECT(Equipo!$G$4&amp;"!B10:B1000"),$B158,INDIRECT(Equipo!$G$4&amp;"!"&amp;ADDRESS(10,COLUMN(I$9)-1)&amp;":"&amp;ADDRESS(1000,COLUMN(I$9)-1)))))</f>
        <v>-</v>
      </c>
      <c r="J158" s="19" t="str">
        <f t="array" ref="J158">IF(ISBLANK(Tareas!$B154),"-",SUM(
SUMIF(INDIRECT(Equipo!$C$4&amp;"!B10:B1000"),$B158,INDIRECT(Equipo!$C$4&amp;"!"&amp;ADDRESS(10,COLUMN(J$9)-1)&amp;":"&amp;ADDRESS(1000,COLUMN(J$9)-1))),
SUMIF(INDIRECT(Equipo!$D$4&amp;"!B10:B1000"),$B158,INDIRECT(Equipo!$D$4&amp;"!"&amp;ADDRESS(10,COLUMN(J$9)-1)&amp;":"&amp;ADDRESS(1000,COLUMN(J$9)-1))),
SUMIF(INDIRECT(Equipo!$E$4&amp;"!B10:B1000"),$B158,INDIRECT(Equipo!$E$4&amp;"!"&amp;ADDRESS(10,COLUMN(J$9)-1)&amp;":"&amp;ADDRESS(1000,COLUMN(J$9)-1))),
SUMIF(INDIRECT(Equipo!$F$4&amp;"!B10:B1000"),$B158,INDIRECT(Equipo!$F$4&amp;"!"&amp;ADDRESS(10,COLUMN(J$9)-1)&amp;":"&amp;ADDRESS(1000,COLUMN(J$9)-1))),
SUMIF(INDIRECT(Equipo!$G$4&amp;"!B10:B1000"),$B158,INDIRECT(Equipo!$G$4&amp;"!"&amp;ADDRESS(10,COLUMN(J$9)-1)&amp;":"&amp;ADDRESS(1000,COLUMN(J$9)-1)))))</f>
        <v>-</v>
      </c>
      <c r="K158" s="19" t="str">
        <f t="array" ref="K158">IF(ISBLANK(Tareas!$B154),"-",SUM(
SUMIF(INDIRECT(Equipo!$C$4&amp;"!B10:B1000"),$B158,INDIRECT(Equipo!$C$4&amp;"!"&amp;ADDRESS(10,COLUMN(K$9)-1)&amp;":"&amp;ADDRESS(1000,COLUMN(K$9)-1))),
SUMIF(INDIRECT(Equipo!$D$4&amp;"!B10:B1000"),$B158,INDIRECT(Equipo!$D$4&amp;"!"&amp;ADDRESS(10,COLUMN(K$9)-1)&amp;":"&amp;ADDRESS(1000,COLUMN(K$9)-1))),
SUMIF(INDIRECT(Equipo!$E$4&amp;"!B10:B1000"),$B158,INDIRECT(Equipo!$E$4&amp;"!"&amp;ADDRESS(10,COLUMN(K$9)-1)&amp;":"&amp;ADDRESS(1000,COLUMN(K$9)-1))),
SUMIF(INDIRECT(Equipo!$F$4&amp;"!B10:B1000"),$B158,INDIRECT(Equipo!$F$4&amp;"!"&amp;ADDRESS(10,COLUMN(K$9)-1)&amp;":"&amp;ADDRESS(1000,COLUMN(K$9)-1))),
SUMIF(INDIRECT(Equipo!$G$4&amp;"!B10:B1000"),$B158,INDIRECT(Equipo!$G$4&amp;"!"&amp;ADDRESS(10,COLUMN(K$9)-1)&amp;":"&amp;ADDRESS(1000,COLUMN(K$9)-1)))))</f>
        <v>-</v>
      </c>
    </row>
    <row r="159" ht="15.75" customHeight="1">
      <c r="B159" s="1" t="str">
        <f>IF(ISBLANK(Tareas!B155)," - ",Tareas!B155)</f>
        <v> - </v>
      </c>
      <c r="D159" s="19" t="str">
        <f t="array" ref="D159">IF(ISBLANK(Tareas!$B155),"-",SUM(
SUMIF(INDIRECT(Equipo!$C$4&amp;"!B10:B1000"),$B159,INDIRECT(Equipo!$C$4&amp;"!"&amp;ADDRESS(10,COLUMN(D$9)-1)&amp;":"&amp;ADDRESS(1000,COLUMN(D$9)-1))),
SUMIF(INDIRECT(Equipo!$D$4&amp;"!B10:B1000"),$B159,INDIRECT(Equipo!$D$4&amp;"!"&amp;ADDRESS(10,COLUMN(D$9)-1)&amp;":"&amp;ADDRESS(1000,COLUMN(D$9)-1))),
SUMIF(INDIRECT(Equipo!$E$4&amp;"!B10:B1000"),$B159,INDIRECT(Equipo!$E$4&amp;"!"&amp;ADDRESS(10,COLUMN(D$9)-1)&amp;":"&amp;ADDRESS(1000,COLUMN(D$9)-1))),
SUMIF(INDIRECT(Equipo!$F$4&amp;"!B10:B1000"),$B159,INDIRECT(Equipo!$F$4&amp;"!"&amp;ADDRESS(10,COLUMN(D$9)-1)&amp;":"&amp;ADDRESS(1000,COLUMN(D$9)-1))),
SUMIF(INDIRECT(Equipo!$G$4&amp;"!B10:B1000"),$B159,INDIRECT(Equipo!$G$4&amp;"!"&amp;ADDRESS(10,COLUMN(D$9)-1)&amp;":"&amp;ADDRESS(1000,COLUMN(D$9)-1)))))</f>
        <v>-</v>
      </c>
      <c r="E159" s="19" t="str">
        <f t="array" ref="E159">IF(ISBLANK(Tareas!$B155),"-",SUM(
SUMIF(INDIRECT(Equipo!$C$4&amp;"!B10:B1000"),$B159,INDIRECT(Equipo!$C$4&amp;"!"&amp;ADDRESS(10,COLUMN(E$9)-1)&amp;":"&amp;ADDRESS(1000,COLUMN(E$9)-1))),
SUMIF(INDIRECT(Equipo!$D$4&amp;"!B10:B1000"),$B159,INDIRECT(Equipo!$D$4&amp;"!"&amp;ADDRESS(10,COLUMN(E$9)-1)&amp;":"&amp;ADDRESS(1000,COLUMN(E$9)-1))),
SUMIF(INDIRECT(Equipo!$E$4&amp;"!B10:B1000"),$B159,INDIRECT(Equipo!$E$4&amp;"!"&amp;ADDRESS(10,COLUMN(E$9)-1)&amp;":"&amp;ADDRESS(1000,COLUMN(E$9)-1))),
SUMIF(INDIRECT(Equipo!$F$4&amp;"!B10:B1000"),$B159,INDIRECT(Equipo!$F$4&amp;"!"&amp;ADDRESS(10,COLUMN(E$9)-1)&amp;":"&amp;ADDRESS(1000,COLUMN(E$9)-1))),
SUMIF(INDIRECT(Equipo!$G$4&amp;"!B10:B1000"),$B159,INDIRECT(Equipo!$G$4&amp;"!"&amp;ADDRESS(10,COLUMN(E$9)-1)&amp;":"&amp;ADDRESS(1000,COLUMN(E$9)-1)))))</f>
        <v>-</v>
      </c>
      <c r="F159" s="19" t="str">
        <f t="array" ref="F159">IF(ISBLANK(Tareas!$B155),"-",SUM(
SUMIF(INDIRECT(Equipo!$C$4&amp;"!B10:B1000"),$B159,INDIRECT(Equipo!$C$4&amp;"!"&amp;ADDRESS(10,COLUMN(F$9)-1)&amp;":"&amp;ADDRESS(1000,COLUMN(F$9)-1))),
SUMIF(INDIRECT(Equipo!$D$4&amp;"!B10:B1000"),$B159,INDIRECT(Equipo!$D$4&amp;"!"&amp;ADDRESS(10,COLUMN(F$9)-1)&amp;":"&amp;ADDRESS(1000,COLUMN(F$9)-1))),
SUMIF(INDIRECT(Equipo!$E$4&amp;"!B10:B1000"),$B159,INDIRECT(Equipo!$E$4&amp;"!"&amp;ADDRESS(10,COLUMN(F$9)-1)&amp;":"&amp;ADDRESS(1000,COLUMN(F$9)-1))),
SUMIF(INDIRECT(Equipo!$F$4&amp;"!B10:B1000"),$B159,INDIRECT(Equipo!$F$4&amp;"!"&amp;ADDRESS(10,COLUMN(F$9)-1)&amp;":"&amp;ADDRESS(1000,COLUMN(F$9)-1))),
SUMIF(INDIRECT(Equipo!$G$4&amp;"!B10:B1000"),$B159,INDIRECT(Equipo!$G$4&amp;"!"&amp;ADDRESS(10,COLUMN(F$9)-1)&amp;":"&amp;ADDRESS(1000,COLUMN(F$9)-1)))))</f>
        <v>-</v>
      </c>
      <c r="G159" s="19" t="str">
        <f t="array" ref="G159">IF(ISBLANK(Tareas!$B155),"-",SUM(
SUMIF(INDIRECT(Equipo!$C$4&amp;"!B10:B1000"),$B159,INDIRECT(Equipo!$C$4&amp;"!"&amp;ADDRESS(10,COLUMN(G$9)-1)&amp;":"&amp;ADDRESS(1000,COLUMN(G$9)-1))),
SUMIF(INDIRECT(Equipo!$D$4&amp;"!B10:B1000"),$B159,INDIRECT(Equipo!$D$4&amp;"!"&amp;ADDRESS(10,COLUMN(G$9)-1)&amp;":"&amp;ADDRESS(1000,COLUMN(G$9)-1))),
SUMIF(INDIRECT(Equipo!$E$4&amp;"!B10:B1000"),$B159,INDIRECT(Equipo!$E$4&amp;"!"&amp;ADDRESS(10,COLUMN(G$9)-1)&amp;":"&amp;ADDRESS(1000,COLUMN(G$9)-1))),
SUMIF(INDIRECT(Equipo!$F$4&amp;"!B10:B1000"),$B159,INDIRECT(Equipo!$F$4&amp;"!"&amp;ADDRESS(10,COLUMN(G$9)-1)&amp;":"&amp;ADDRESS(1000,COLUMN(G$9)-1))),
SUMIF(INDIRECT(Equipo!$G$4&amp;"!B10:B1000"),$B159,INDIRECT(Equipo!$G$4&amp;"!"&amp;ADDRESS(10,COLUMN(G$9)-1)&amp;":"&amp;ADDRESS(1000,COLUMN(G$9)-1)))))</f>
        <v>-</v>
      </c>
      <c r="H159" s="19" t="str">
        <f t="array" ref="H159">IF(ISBLANK(Tareas!$B155),"-",SUM(
SUMIF(INDIRECT(Equipo!$C$4&amp;"!B10:B1000"),$B159,INDIRECT(Equipo!$C$4&amp;"!"&amp;ADDRESS(10,COLUMN(H$9)-1)&amp;":"&amp;ADDRESS(1000,COLUMN(H$9)-1))),
SUMIF(INDIRECT(Equipo!$D$4&amp;"!B10:B1000"),$B159,INDIRECT(Equipo!$D$4&amp;"!"&amp;ADDRESS(10,COLUMN(H$9)-1)&amp;":"&amp;ADDRESS(1000,COLUMN(H$9)-1))),
SUMIF(INDIRECT(Equipo!$E$4&amp;"!B10:B1000"),$B159,INDIRECT(Equipo!$E$4&amp;"!"&amp;ADDRESS(10,COLUMN(H$9)-1)&amp;":"&amp;ADDRESS(1000,COLUMN(H$9)-1))),
SUMIF(INDIRECT(Equipo!$F$4&amp;"!B10:B1000"),$B159,INDIRECT(Equipo!$F$4&amp;"!"&amp;ADDRESS(10,COLUMN(H$9)-1)&amp;":"&amp;ADDRESS(1000,COLUMN(H$9)-1))),
SUMIF(INDIRECT(Equipo!$G$4&amp;"!B10:B1000"),$B159,INDIRECT(Equipo!$G$4&amp;"!"&amp;ADDRESS(10,COLUMN(H$9)-1)&amp;":"&amp;ADDRESS(1000,COLUMN(H$9)-1)))))</f>
        <v>-</v>
      </c>
      <c r="I159" s="19" t="str">
        <f t="array" ref="I159">IF(ISBLANK(Tareas!$B155),"-",SUM(
SUMIF(INDIRECT(Equipo!$C$4&amp;"!B10:B1000"),$B159,INDIRECT(Equipo!$C$4&amp;"!"&amp;ADDRESS(10,COLUMN(I$9)-1)&amp;":"&amp;ADDRESS(1000,COLUMN(I$9)-1))),
SUMIF(INDIRECT(Equipo!$D$4&amp;"!B10:B1000"),$B159,INDIRECT(Equipo!$D$4&amp;"!"&amp;ADDRESS(10,COLUMN(I$9)-1)&amp;":"&amp;ADDRESS(1000,COLUMN(I$9)-1))),
SUMIF(INDIRECT(Equipo!$E$4&amp;"!B10:B1000"),$B159,INDIRECT(Equipo!$E$4&amp;"!"&amp;ADDRESS(10,COLUMN(I$9)-1)&amp;":"&amp;ADDRESS(1000,COLUMN(I$9)-1))),
SUMIF(INDIRECT(Equipo!$F$4&amp;"!B10:B1000"),$B159,INDIRECT(Equipo!$F$4&amp;"!"&amp;ADDRESS(10,COLUMN(I$9)-1)&amp;":"&amp;ADDRESS(1000,COLUMN(I$9)-1))),
SUMIF(INDIRECT(Equipo!$G$4&amp;"!B10:B1000"),$B159,INDIRECT(Equipo!$G$4&amp;"!"&amp;ADDRESS(10,COLUMN(I$9)-1)&amp;":"&amp;ADDRESS(1000,COLUMN(I$9)-1)))))</f>
        <v>-</v>
      </c>
      <c r="J159" s="19" t="str">
        <f t="array" ref="J159">IF(ISBLANK(Tareas!$B155),"-",SUM(
SUMIF(INDIRECT(Equipo!$C$4&amp;"!B10:B1000"),$B159,INDIRECT(Equipo!$C$4&amp;"!"&amp;ADDRESS(10,COLUMN(J$9)-1)&amp;":"&amp;ADDRESS(1000,COLUMN(J$9)-1))),
SUMIF(INDIRECT(Equipo!$D$4&amp;"!B10:B1000"),$B159,INDIRECT(Equipo!$D$4&amp;"!"&amp;ADDRESS(10,COLUMN(J$9)-1)&amp;":"&amp;ADDRESS(1000,COLUMN(J$9)-1))),
SUMIF(INDIRECT(Equipo!$E$4&amp;"!B10:B1000"),$B159,INDIRECT(Equipo!$E$4&amp;"!"&amp;ADDRESS(10,COLUMN(J$9)-1)&amp;":"&amp;ADDRESS(1000,COLUMN(J$9)-1))),
SUMIF(INDIRECT(Equipo!$F$4&amp;"!B10:B1000"),$B159,INDIRECT(Equipo!$F$4&amp;"!"&amp;ADDRESS(10,COLUMN(J$9)-1)&amp;":"&amp;ADDRESS(1000,COLUMN(J$9)-1))),
SUMIF(INDIRECT(Equipo!$G$4&amp;"!B10:B1000"),$B159,INDIRECT(Equipo!$G$4&amp;"!"&amp;ADDRESS(10,COLUMN(J$9)-1)&amp;":"&amp;ADDRESS(1000,COLUMN(J$9)-1)))))</f>
        <v>-</v>
      </c>
      <c r="K159" s="19" t="str">
        <f t="array" ref="K159">IF(ISBLANK(Tareas!$B155),"-",SUM(
SUMIF(INDIRECT(Equipo!$C$4&amp;"!B10:B1000"),$B159,INDIRECT(Equipo!$C$4&amp;"!"&amp;ADDRESS(10,COLUMN(K$9)-1)&amp;":"&amp;ADDRESS(1000,COLUMN(K$9)-1))),
SUMIF(INDIRECT(Equipo!$D$4&amp;"!B10:B1000"),$B159,INDIRECT(Equipo!$D$4&amp;"!"&amp;ADDRESS(10,COLUMN(K$9)-1)&amp;":"&amp;ADDRESS(1000,COLUMN(K$9)-1))),
SUMIF(INDIRECT(Equipo!$E$4&amp;"!B10:B1000"),$B159,INDIRECT(Equipo!$E$4&amp;"!"&amp;ADDRESS(10,COLUMN(K$9)-1)&amp;":"&amp;ADDRESS(1000,COLUMN(K$9)-1))),
SUMIF(INDIRECT(Equipo!$F$4&amp;"!B10:B1000"),$B159,INDIRECT(Equipo!$F$4&amp;"!"&amp;ADDRESS(10,COLUMN(K$9)-1)&amp;":"&amp;ADDRESS(1000,COLUMN(K$9)-1))),
SUMIF(INDIRECT(Equipo!$G$4&amp;"!B10:B1000"),$B159,INDIRECT(Equipo!$G$4&amp;"!"&amp;ADDRESS(10,COLUMN(K$9)-1)&amp;":"&amp;ADDRESS(1000,COLUMN(K$9)-1)))))</f>
        <v>-</v>
      </c>
    </row>
    <row r="160" ht="15.75" customHeight="1">
      <c r="B160" s="1" t="str">
        <f>IF(ISBLANK(Tareas!B156)," - ",Tareas!B156)</f>
        <v> - </v>
      </c>
      <c r="D160" s="19" t="str">
        <f t="array" ref="D160">IF(ISBLANK(Tareas!$B156),"-",SUM(
SUMIF(INDIRECT(Equipo!$C$4&amp;"!B10:B1000"),$B160,INDIRECT(Equipo!$C$4&amp;"!"&amp;ADDRESS(10,COLUMN(D$9)-1)&amp;":"&amp;ADDRESS(1000,COLUMN(D$9)-1))),
SUMIF(INDIRECT(Equipo!$D$4&amp;"!B10:B1000"),$B160,INDIRECT(Equipo!$D$4&amp;"!"&amp;ADDRESS(10,COLUMN(D$9)-1)&amp;":"&amp;ADDRESS(1000,COLUMN(D$9)-1))),
SUMIF(INDIRECT(Equipo!$E$4&amp;"!B10:B1000"),$B160,INDIRECT(Equipo!$E$4&amp;"!"&amp;ADDRESS(10,COLUMN(D$9)-1)&amp;":"&amp;ADDRESS(1000,COLUMN(D$9)-1))),
SUMIF(INDIRECT(Equipo!$F$4&amp;"!B10:B1000"),$B160,INDIRECT(Equipo!$F$4&amp;"!"&amp;ADDRESS(10,COLUMN(D$9)-1)&amp;":"&amp;ADDRESS(1000,COLUMN(D$9)-1))),
SUMIF(INDIRECT(Equipo!$G$4&amp;"!B10:B1000"),$B160,INDIRECT(Equipo!$G$4&amp;"!"&amp;ADDRESS(10,COLUMN(D$9)-1)&amp;":"&amp;ADDRESS(1000,COLUMN(D$9)-1)))))</f>
        <v>-</v>
      </c>
      <c r="E160" s="19" t="str">
        <f t="array" ref="E160">IF(ISBLANK(Tareas!$B156),"-",SUM(
SUMIF(INDIRECT(Equipo!$C$4&amp;"!B10:B1000"),$B160,INDIRECT(Equipo!$C$4&amp;"!"&amp;ADDRESS(10,COLUMN(E$9)-1)&amp;":"&amp;ADDRESS(1000,COLUMN(E$9)-1))),
SUMIF(INDIRECT(Equipo!$D$4&amp;"!B10:B1000"),$B160,INDIRECT(Equipo!$D$4&amp;"!"&amp;ADDRESS(10,COLUMN(E$9)-1)&amp;":"&amp;ADDRESS(1000,COLUMN(E$9)-1))),
SUMIF(INDIRECT(Equipo!$E$4&amp;"!B10:B1000"),$B160,INDIRECT(Equipo!$E$4&amp;"!"&amp;ADDRESS(10,COLUMN(E$9)-1)&amp;":"&amp;ADDRESS(1000,COLUMN(E$9)-1))),
SUMIF(INDIRECT(Equipo!$F$4&amp;"!B10:B1000"),$B160,INDIRECT(Equipo!$F$4&amp;"!"&amp;ADDRESS(10,COLUMN(E$9)-1)&amp;":"&amp;ADDRESS(1000,COLUMN(E$9)-1))),
SUMIF(INDIRECT(Equipo!$G$4&amp;"!B10:B1000"),$B160,INDIRECT(Equipo!$G$4&amp;"!"&amp;ADDRESS(10,COLUMN(E$9)-1)&amp;":"&amp;ADDRESS(1000,COLUMN(E$9)-1)))))</f>
        <v>-</v>
      </c>
      <c r="F160" s="19" t="str">
        <f t="array" ref="F160">IF(ISBLANK(Tareas!$B156),"-",SUM(
SUMIF(INDIRECT(Equipo!$C$4&amp;"!B10:B1000"),$B160,INDIRECT(Equipo!$C$4&amp;"!"&amp;ADDRESS(10,COLUMN(F$9)-1)&amp;":"&amp;ADDRESS(1000,COLUMN(F$9)-1))),
SUMIF(INDIRECT(Equipo!$D$4&amp;"!B10:B1000"),$B160,INDIRECT(Equipo!$D$4&amp;"!"&amp;ADDRESS(10,COLUMN(F$9)-1)&amp;":"&amp;ADDRESS(1000,COLUMN(F$9)-1))),
SUMIF(INDIRECT(Equipo!$E$4&amp;"!B10:B1000"),$B160,INDIRECT(Equipo!$E$4&amp;"!"&amp;ADDRESS(10,COLUMN(F$9)-1)&amp;":"&amp;ADDRESS(1000,COLUMN(F$9)-1))),
SUMIF(INDIRECT(Equipo!$F$4&amp;"!B10:B1000"),$B160,INDIRECT(Equipo!$F$4&amp;"!"&amp;ADDRESS(10,COLUMN(F$9)-1)&amp;":"&amp;ADDRESS(1000,COLUMN(F$9)-1))),
SUMIF(INDIRECT(Equipo!$G$4&amp;"!B10:B1000"),$B160,INDIRECT(Equipo!$G$4&amp;"!"&amp;ADDRESS(10,COLUMN(F$9)-1)&amp;":"&amp;ADDRESS(1000,COLUMN(F$9)-1)))))</f>
        <v>-</v>
      </c>
      <c r="G160" s="19" t="str">
        <f t="array" ref="G160">IF(ISBLANK(Tareas!$B156),"-",SUM(
SUMIF(INDIRECT(Equipo!$C$4&amp;"!B10:B1000"),$B160,INDIRECT(Equipo!$C$4&amp;"!"&amp;ADDRESS(10,COLUMN(G$9)-1)&amp;":"&amp;ADDRESS(1000,COLUMN(G$9)-1))),
SUMIF(INDIRECT(Equipo!$D$4&amp;"!B10:B1000"),$B160,INDIRECT(Equipo!$D$4&amp;"!"&amp;ADDRESS(10,COLUMN(G$9)-1)&amp;":"&amp;ADDRESS(1000,COLUMN(G$9)-1))),
SUMIF(INDIRECT(Equipo!$E$4&amp;"!B10:B1000"),$B160,INDIRECT(Equipo!$E$4&amp;"!"&amp;ADDRESS(10,COLUMN(G$9)-1)&amp;":"&amp;ADDRESS(1000,COLUMN(G$9)-1))),
SUMIF(INDIRECT(Equipo!$F$4&amp;"!B10:B1000"),$B160,INDIRECT(Equipo!$F$4&amp;"!"&amp;ADDRESS(10,COLUMN(G$9)-1)&amp;":"&amp;ADDRESS(1000,COLUMN(G$9)-1))),
SUMIF(INDIRECT(Equipo!$G$4&amp;"!B10:B1000"),$B160,INDIRECT(Equipo!$G$4&amp;"!"&amp;ADDRESS(10,COLUMN(G$9)-1)&amp;":"&amp;ADDRESS(1000,COLUMN(G$9)-1)))))</f>
        <v>-</v>
      </c>
      <c r="H160" s="19" t="str">
        <f t="array" ref="H160">IF(ISBLANK(Tareas!$B156),"-",SUM(
SUMIF(INDIRECT(Equipo!$C$4&amp;"!B10:B1000"),$B160,INDIRECT(Equipo!$C$4&amp;"!"&amp;ADDRESS(10,COLUMN(H$9)-1)&amp;":"&amp;ADDRESS(1000,COLUMN(H$9)-1))),
SUMIF(INDIRECT(Equipo!$D$4&amp;"!B10:B1000"),$B160,INDIRECT(Equipo!$D$4&amp;"!"&amp;ADDRESS(10,COLUMN(H$9)-1)&amp;":"&amp;ADDRESS(1000,COLUMN(H$9)-1))),
SUMIF(INDIRECT(Equipo!$E$4&amp;"!B10:B1000"),$B160,INDIRECT(Equipo!$E$4&amp;"!"&amp;ADDRESS(10,COLUMN(H$9)-1)&amp;":"&amp;ADDRESS(1000,COLUMN(H$9)-1))),
SUMIF(INDIRECT(Equipo!$F$4&amp;"!B10:B1000"),$B160,INDIRECT(Equipo!$F$4&amp;"!"&amp;ADDRESS(10,COLUMN(H$9)-1)&amp;":"&amp;ADDRESS(1000,COLUMN(H$9)-1))),
SUMIF(INDIRECT(Equipo!$G$4&amp;"!B10:B1000"),$B160,INDIRECT(Equipo!$G$4&amp;"!"&amp;ADDRESS(10,COLUMN(H$9)-1)&amp;":"&amp;ADDRESS(1000,COLUMN(H$9)-1)))))</f>
        <v>-</v>
      </c>
      <c r="I160" s="19" t="str">
        <f t="array" ref="I160">IF(ISBLANK(Tareas!$B156),"-",SUM(
SUMIF(INDIRECT(Equipo!$C$4&amp;"!B10:B1000"),$B160,INDIRECT(Equipo!$C$4&amp;"!"&amp;ADDRESS(10,COLUMN(I$9)-1)&amp;":"&amp;ADDRESS(1000,COLUMN(I$9)-1))),
SUMIF(INDIRECT(Equipo!$D$4&amp;"!B10:B1000"),$B160,INDIRECT(Equipo!$D$4&amp;"!"&amp;ADDRESS(10,COLUMN(I$9)-1)&amp;":"&amp;ADDRESS(1000,COLUMN(I$9)-1))),
SUMIF(INDIRECT(Equipo!$E$4&amp;"!B10:B1000"),$B160,INDIRECT(Equipo!$E$4&amp;"!"&amp;ADDRESS(10,COLUMN(I$9)-1)&amp;":"&amp;ADDRESS(1000,COLUMN(I$9)-1))),
SUMIF(INDIRECT(Equipo!$F$4&amp;"!B10:B1000"),$B160,INDIRECT(Equipo!$F$4&amp;"!"&amp;ADDRESS(10,COLUMN(I$9)-1)&amp;":"&amp;ADDRESS(1000,COLUMN(I$9)-1))),
SUMIF(INDIRECT(Equipo!$G$4&amp;"!B10:B1000"),$B160,INDIRECT(Equipo!$G$4&amp;"!"&amp;ADDRESS(10,COLUMN(I$9)-1)&amp;":"&amp;ADDRESS(1000,COLUMN(I$9)-1)))))</f>
        <v>-</v>
      </c>
      <c r="J160" s="19" t="str">
        <f t="array" ref="J160">IF(ISBLANK(Tareas!$B156),"-",SUM(
SUMIF(INDIRECT(Equipo!$C$4&amp;"!B10:B1000"),$B160,INDIRECT(Equipo!$C$4&amp;"!"&amp;ADDRESS(10,COLUMN(J$9)-1)&amp;":"&amp;ADDRESS(1000,COLUMN(J$9)-1))),
SUMIF(INDIRECT(Equipo!$D$4&amp;"!B10:B1000"),$B160,INDIRECT(Equipo!$D$4&amp;"!"&amp;ADDRESS(10,COLUMN(J$9)-1)&amp;":"&amp;ADDRESS(1000,COLUMN(J$9)-1))),
SUMIF(INDIRECT(Equipo!$E$4&amp;"!B10:B1000"),$B160,INDIRECT(Equipo!$E$4&amp;"!"&amp;ADDRESS(10,COLUMN(J$9)-1)&amp;":"&amp;ADDRESS(1000,COLUMN(J$9)-1))),
SUMIF(INDIRECT(Equipo!$F$4&amp;"!B10:B1000"),$B160,INDIRECT(Equipo!$F$4&amp;"!"&amp;ADDRESS(10,COLUMN(J$9)-1)&amp;":"&amp;ADDRESS(1000,COLUMN(J$9)-1))),
SUMIF(INDIRECT(Equipo!$G$4&amp;"!B10:B1000"),$B160,INDIRECT(Equipo!$G$4&amp;"!"&amp;ADDRESS(10,COLUMN(J$9)-1)&amp;":"&amp;ADDRESS(1000,COLUMN(J$9)-1)))))</f>
        <v>-</v>
      </c>
      <c r="K160" s="19" t="str">
        <f t="array" ref="K160">IF(ISBLANK(Tareas!$B156),"-",SUM(
SUMIF(INDIRECT(Equipo!$C$4&amp;"!B10:B1000"),$B160,INDIRECT(Equipo!$C$4&amp;"!"&amp;ADDRESS(10,COLUMN(K$9)-1)&amp;":"&amp;ADDRESS(1000,COLUMN(K$9)-1))),
SUMIF(INDIRECT(Equipo!$D$4&amp;"!B10:B1000"),$B160,INDIRECT(Equipo!$D$4&amp;"!"&amp;ADDRESS(10,COLUMN(K$9)-1)&amp;":"&amp;ADDRESS(1000,COLUMN(K$9)-1))),
SUMIF(INDIRECT(Equipo!$E$4&amp;"!B10:B1000"),$B160,INDIRECT(Equipo!$E$4&amp;"!"&amp;ADDRESS(10,COLUMN(K$9)-1)&amp;":"&amp;ADDRESS(1000,COLUMN(K$9)-1))),
SUMIF(INDIRECT(Equipo!$F$4&amp;"!B10:B1000"),$B160,INDIRECT(Equipo!$F$4&amp;"!"&amp;ADDRESS(10,COLUMN(K$9)-1)&amp;":"&amp;ADDRESS(1000,COLUMN(K$9)-1))),
SUMIF(INDIRECT(Equipo!$G$4&amp;"!B10:B1000"),$B160,INDIRECT(Equipo!$G$4&amp;"!"&amp;ADDRESS(10,COLUMN(K$9)-1)&amp;":"&amp;ADDRESS(1000,COLUMN(K$9)-1)))))</f>
        <v>-</v>
      </c>
    </row>
    <row r="161" ht="15.75" customHeight="1">
      <c r="B161" s="1" t="str">
        <f>IF(ISBLANK(Tareas!B157)," - ",Tareas!B157)</f>
        <v> - </v>
      </c>
      <c r="D161" s="19" t="str">
        <f t="array" ref="D161">IF(ISBLANK(Tareas!$B157),"-",SUM(
SUMIF(INDIRECT(Equipo!$C$4&amp;"!B10:B1000"),$B161,INDIRECT(Equipo!$C$4&amp;"!"&amp;ADDRESS(10,COLUMN(D$9)-1)&amp;":"&amp;ADDRESS(1000,COLUMN(D$9)-1))),
SUMIF(INDIRECT(Equipo!$D$4&amp;"!B10:B1000"),$B161,INDIRECT(Equipo!$D$4&amp;"!"&amp;ADDRESS(10,COLUMN(D$9)-1)&amp;":"&amp;ADDRESS(1000,COLUMN(D$9)-1))),
SUMIF(INDIRECT(Equipo!$E$4&amp;"!B10:B1000"),$B161,INDIRECT(Equipo!$E$4&amp;"!"&amp;ADDRESS(10,COLUMN(D$9)-1)&amp;":"&amp;ADDRESS(1000,COLUMN(D$9)-1))),
SUMIF(INDIRECT(Equipo!$F$4&amp;"!B10:B1000"),$B161,INDIRECT(Equipo!$F$4&amp;"!"&amp;ADDRESS(10,COLUMN(D$9)-1)&amp;":"&amp;ADDRESS(1000,COLUMN(D$9)-1))),
SUMIF(INDIRECT(Equipo!$G$4&amp;"!B10:B1000"),$B161,INDIRECT(Equipo!$G$4&amp;"!"&amp;ADDRESS(10,COLUMN(D$9)-1)&amp;":"&amp;ADDRESS(1000,COLUMN(D$9)-1)))))</f>
        <v>-</v>
      </c>
      <c r="E161" s="19" t="str">
        <f t="array" ref="E161">IF(ISBLANK(Tareas!$B157),"-",SUM(
SUMIF(INDIRECT(Equipo!$C$4&amp;"!B10:B1000"),$B161,INDIRECT(Equipo!$C$4&amp;"!"&amp;ADDRESS(10,COLUMN(E$9)-1)&amp;":"&amp;ADDRESS(1000,COLUMN(E$9)-1))),
SUMIF(INDIRECT(Equipo!$D$4&amp;"!B10:B1000"),$B161,INDIRECT(Equipo!$D$4&amp;"!"&amp;ADDRESS(10,COLUMN(E$9)-1)&amp;":"&amp;ADDRESS(1000,COLUMN(E$9)-1))),
SUMIF(INDIRECT(Equipo!$E$4&amp;"!B10:B1000"),$B161,INDIRECT(Equipo!$E$4&amp;"!"&amp;ADDRESS(10,COLUMN(E$9)-1)&amp;":"&amp;ADDRESS(1000,COLUMN(E$9)-1))),
SUMIF(INDIRECT(Equipo!$F$4&amp;"!B10:B1000"),$B161,INDIRECT(Equipo!$F$4&amp;"!"&amp;ADDRESS(10,COLUMN(E$9)-1)&amp;":"&amp;ADDRESS(1000,COLUMN(E$9)-1))),
SUMIF(INDIRECT(Equipo!$G$4&amp;"!B10:B1000"),$B161,INDIRECT(Equipo!$G$4&amp;"!"&amp;ADDRESS(10,COLUMN(E$9)-1)&amp;":"&amp;ADDRESS(1000,COLUMN(E$9)-1)))))</f>
        <v>-</v>
      </c>
      <c r="F161" s="19" t="str">
        <f t="array" ref="F161">IF(ISBLANK(Tareas!$B157),"-",SUM(
SUMIF(INDIRECT(Equipo!$C$4&amp;"!B10:B1000"),$B161,INDIRECT(Equipo!$C$4&amp;"!"&amp;ADDRESS(10,COLUMN(F$9)-1)&amp;":"&amp;ADDRESS(1000,COLUMN(F$9)-1))),
SUMIF(INDIRECT(Equipo!$D$4&amp;"!B10:B1000"),$B161,INDIRECT(Equipo!$D$4&amp;"!"&amp;ADDRESS(10,COLUMN(F$9)-1)&amp;":"&amp;ADDRESS(1000,COLUMN(F$9)-1))),
SUMIF(INDIRECT(Equipo!$E$4&amp;"!B10:B1000"),$B161,INDIRECT(Equipo!$E$4&amp;"!"&amp;ADDRESS(10,COLUMN(F$9)-1)&amp;":"&amp;ADDRESS(1000,COLUMN(F$9)-1))),
SUMIF(INDIRECT(Equipo!$F$4&amp;"!B10:B1000"),$B161,INDIRECT(Equipo!$F$4&amp;"!"&amp;ADDRESS(10,COLUMN(F$9)-1)&amp;":"&amp;ADDRESS(1000,COLUMN(F$9)-1))),
SUMIF(INDIRECT(Equipo!$G$4&amp;"!B10:B1000"),$B161,INDIRECT(Equipo!$G$4&amp;"!"&amp;ADDRESS(10,COLUMN(F$9)-1)&amp;":"&amp;ADDRESS(1000,COLUMN(F$9)-1)))))</f>
        <v>-</v>
      </c>
      <c r="G161" s="19" t="str">
        <f t="array" ref="G161">IF(ISBLANK(Tareas!$B157),"-",SUM(
SUMIF(INDIRECT(Equipo!$C$4&amp;"!B10:B1000"),$B161,INDIRECT(Equipo!$C$4&amp;"!"&amp;ADDRESS(10,COLUMN(G$9)-1)&amp;":"&amp;ADDRESS(1000,COLUMN(G$9)-1))),
SUMIF(INDIRECT(Equipo!$D$4&amp;"!B10:B1000"),$B161,INDIRECT(Equipo!$D$4&amp;"!"&amp;ADDRESS(10,COLUMN(G$9)-1)&amp;":"&amp;ADDRESS(1000,COLUMN(G$9)-1))),
SUMIF(INDIRECT(Equipo!$E$4&amp;"!B10:B1000"),$B161,INDIRECT(Equipo!$E$4&amp;"!"&amp;ADDRESS(10,COLUMN(G$9)-1)&amp;":"&amp;ADDRESS(1000,COLUMN(G$9)-1))),
SUMIF(INDIRECT(Equipo!$F$4&amp;"!B10:B1000"),$B161,INDIRECT(Equipo!$F$4&amp;"!"&amp;ADDRESS(10,COLUMN(G$9)-1)&amp;":"&amp;ADDRESS(1000,COLUMN(G$9)-1))),
SUMIF(INDIRECT(Equipo!$G$4&amp;"!B10:B1000"),$B161,INDIRECT(Equipo!$G$4&amp;"!"&amp;ADDRESS(10,COLUMN(G$9)-1)&amp;":"&amp;ADDRESS(1000,COLUMN(G$9)-1)))))</f>
        <v>-</v>
      </c>
      <c r="H161" s="19" t="str">
        <f t="array" ref="H161">IF(ISBLANK(Tareas!$B157),"-",SUM(
SUMIF(INDIRECT(Equipo!$C$4&amp;"!B10:B1000"),$B161,INDIRECT(Equipo!$C$4&amp;"!"&amp;ADDRESS(10,COLUMN(H$9)-1)&amp;":"&amp;ADDRESS(1000,COLUMN(H$9)-1))),
SUMIF(INDIRECT(Equipo!$D$4&amp;"!B10:B1000"),$B161,INDIRECT(Equipo!$D$4&amp;"!"&amp;ADDRESS(10,COLUMN(H$9)-1)&amp;":"&amp;ADDRESS(1000,COLUMN(H$9)-1))),
SUMIF(INDIRECT(Equipo!$E$4&amp;"!B10:B1000"),$B161,INDIRECT(Equipo!$E$4&amp;"!"&amp;ADDRESS(10,COLUMN(H$9)-1)&amp;":"&amp;ADDRESS(1000,COLUMN(H$9)-1))),
SUMIF(INDIRECT(Equipo!$F$4&amp;"!B10:B1000"),$B161,INDIRECT(Equipo!$F$4&amp;"!"&amp;ADDRESS(10,COLUMN(H$9)-1)&amp;":"&amp;ADDRESS(1000,COLUMN(H$9)-1))),
SUMIF(INDIRECT(Equipo!$G$4&amp;"!B10:B1000"),$B161,INDIRECT(Equipo!$G$4&amp;"!"&amp;ADDRESS(10,COLUMN(H$9)-1)&amp;":"&amp;ADDRESS(1000,COLUMN(H$9)-1)))))</f>
        <v>-</v>
      </c>
      <c r="I161" s="19" t="str">
        <f t="array" ref="I161">IF(ISBLANK(Tareas!$B157),"-",SUM(
SUMIF(INDIRECT(Equipo!$C$4&amp;"!B10:B1000"),$B161,INDIRECT(Equipo!$C$4&amp;"!"&amp;ADDRESS(10,COLUMN(I$9)-1)&amp;":"&amp;ADDRESS(1000,COLUMN(I$9)-1))),
SUMIF(INDIRECT(Equipo!$D$4&amp;"!B10:B1000"),$B161,INDIRECT(Equipo!$D$4&amp;"!"&amp;ADDRESS(10,COLUMN(I$9)-1)&amp;":"&amp;ADDRESS(1000,COLUMN(I$9)-1))),
SUMIF(INDIRECT(Equipo!$E$4&amp;"!B10:B1000"),$B161,INDIRECT(Equipo!$E$4&amp;"!"&amp;ADDRESS(10,COLUMN(I$9)-1)&amp;":"&amp;ADDRESS(1000,COLUMN(I$9)-1))),
SUMIF(INDIRECT(Equipo!$F$4&amp;"!B10:B1000"),$B161,INDIRECT(Equipo!$F$4&amp;"!"&amp;ADDRESS(10,COLUMN(I$9)-1)&amp;":"&amp;ADDRESS(1000,COLUMN(I$9)-1))),
SUMIF(INDIRECT(Equipo!$G$4&amp;"!B10:B1000"),$B161,INDIRECT(Equipo!$G$4&amp;"!"&amp;ADDRESS(10,COLUMN(I$9)-1)&amp;":"&amp;ADDRESS(1000,COLUMN(I$9)-1)))))</f>
        <v>-</v>
      </c>
      <c r="J161" s="19" t="str">
        <f t="array" ref="J161">IF(ISBLANK(Tareas!$B157),"-",SUM(
SUMIF(INDIRECT(Equipo!$C$4&amp;"!B10:B1000"),$B161,INDIRECT(Equipo!$C$4&amp;"!"&amp;ADDRESS(10,COLUMN(J$9)-1)&amp;":"&amp;ADDRESS(1000,COLUMN(J$9)-1))),
SUMIF(INDIRECT(Equipo!$D$4&amp;"!B10:B1000"),$B161,INDIRECT(Equipo!$D$4&amp;"!"&amp;ADDRESS(10,COLUMN(J$9)-1)&amp;":"&amp;ADDRESS(1000,COLUMN(J$9)-1))),
SUMIF(INDIRECT(Equipo!$E$4&amp;"!B10:B1000"),$B161,INDIRECT(Equipo!$E$4&amp;"!"&amp;ADDRESS(10,COLUMN(J$9)-1)&amp;":"&amp;ADDRESS(1000,COLUMN(J$9)-1))),
SUMIF(INDIRECT(Equipo!$F$4&amp;"!B10:B1000"),$B161,INDIRECT(Equipo!$F$4&amp;"!"&amp;ADDRESS(10,COLUMN(J$9)-1)&amp;":"&amp;ADDRESS(1000,COLUMN(J$9)-1))),
SUMIF(INDIRECT(Equipo!$G$4&amp;"!B10:B1000"),$B161,INDIRECT(Equipo!$G$4&amp;"!"&amp;ADDRESS(10,COLUMN(J$9)-1)&amp;":"&amp;ADDRESS(1000,COLUMN(J$9)-1)))))</f>
        <v>-</v>
      </c>
      <c r="K161" s="19" t="str">
        <f t="array" ref="K161">IF(ISBLANK(Tareas!$B157),"-",SUM(
SUMIF(INDIRECT(Equipo!$C$4&amp;"!B10:B1000"),$B161,INDIRECT(Equipo!$C$4&amp;"!"&amp;ADDRESS(10,COLUMN(K$9)-1)&amp;":"&amp;ADDRESS(1000,COLUMN(K$9)-1))),
SUMIF(INDIRECT(Equipo!$D$4&amp;"!B10:B1000"),$B161,INDIRECT(Equipo!$D$4&amp;"!"&amp;ADDRESS(10,COLUMN(K$9)-1)&amp;":"&amp;ADDRESS(1000,COLUMN(K$9)-1))),
SUMIF(INDIRECT(Equipo!$E$4&amp;"!B10:B1000"),$B161,INDIRECT(Equipo!$E$4&amp;"!"&amp;ADDRESS(10,COLUMN(K$9)-1)&amp;":"&amp;ADDRESS(1000,COLUMN(K$9)-1))),
SUMIF(INDIRECT(Equipo!$F$4&amp;"!B10:B1000"),$B161,INDIRECT(Equipo!$F$4&amp;"!"&amp;ADDRESS(10,COLUMN(K$9)-1)&amp;":"&amp;ADDRESS(1000,COLUMN(K$9)-1))),
SUMIF(INDIRECT(Equipo!$G$4&amp;"!B10:B1000"),$B161,INDIRECT(Equipo!$G$4&amp;"!"&amp;ADDRESS(10,COLUMN(K$9)-1)&amp;":"&amp;ADDRESS(1000,COLUMN(K$9)-1)))))</f>
        <v>-</v>
      </c>
    </row>
    <row r="162" ht="15.75" customHeight="1">
      <c r="B162" s="1" t="str">
        <f>IF(ISBLANK(Tareas!B158)," - ",Tareas!B158)</f>
        <v> - </v>
      </c>
      <c r="D162" s="19" t="str">
        <f t="array" ref="D162">IF(ISBLANK(Tareas!$B158),"-",SUM(
SUMIF(INDIRECT(Equipo!$C$4&amp;"!B10:B1000"),$B162,INDIRECT(Equipo!$C$4&amp;"!"&amp;ADDRESS(10,COLUMN(D$9)-1)&amp;":"&amp;ADDRESS(1000,COLUMN(D$9)-1))),
SUMIF(INDIRECT(Equipo!$D$4&amp;"!B10:B1000"),$B162,INDIRECT(Equipo!$D$4&amp;"!"&amp;ADDRESS(10,COLUMN(D$9)-1)&amp;":"&amp;ADDRESS(1000,COLUMN(D$9)-1))),
SUMIF(INDIRECT(Equipo!$E$4&amp;"!B10:B1000"),$B162,INDIRECT(Equipo!$E$4&amp;"!"&amp;ADDRESS(10,COLUMN(D$9)-1)&amp;":"&amp;ADDRESS(1000,COLUMN(D$9)-1))),
SUMIF(INDIRECT(Equipo!$F$4&amp;"!B10:B1000"),$B162,INDIRECT(Equipo!$F$4&amp;"!"&amp;ADDRESS(10,COLUMN(D$9)-1)&amp;":"&amp;ADDRESS(1000,COLUMN(D$9)-1))),
SUMIF(INDIRECT(Equipo!$G$4&amp;"!B10:B1000"),$B162,INDIRECT(Equipo!$G$4&amp;"!"&amp;ADDRESS(10,COLUMN(D$9)-1)&amp;":"&amp;ADDRESS(1000,COLUMN(D$9)-1)))))</f>
        <v>-</v>
      </c>
      <c r="E162" s="19" t="str">
        <f t="array" ref="E162">IF(ISBLANK(Tareas!$B158),"-",SUM(
SUMIF(INDIRECT(Equipo!$C$4&amp;"!B10:B1000"),$B162,INDIRECT(Equipo!$C$4&amp;"!"&amp;ADDRESS(10,COLUMN(E$9)-1)&amp;":"&amp;ADDRESS(1000,COLUMN(E$9)-1))),
SUMIF(INDIRECT(Equipo!$D$4&amp;"!B10:B1000"),$B162,INDIRECT(Equipo!$D$4&amp;"!"&amp;ADDRESS(10,COLUMN(E$9)-1)&amp;":"&amp;ADDRESS(1000,COLUMN(E$9)-1))),
SUMIF(INDIRECT(Equipo!$E$4&amp;"!B10:B1000"),$B162,INDIRECT(Equipo!$E$4&amp;"!"&amp;ADDRESS(10,COLUMN(E$9)-1)&amp;":"&amp;ADDRESS(1000,COLUMN(E$9)-1))),
SUMIF(INDIRECT(Equipo!$F$4&amp;"!B10:B1000"),$B162,INDIRECT(Equipo!$F$4&amp;"!"&amp;ADDRESS(10,COLUMN(E$9)-1)&amp;":"&amp;ADDRESS(1000,COLUMN(E$9)-1))),
SUMIF(INDIRECT(Equipo!$G$4&amp;"!B10:B1000"),$B162,INDIRECT(Equipo!$G$4&amp;"!"&amp;ADDRESS(10,COLUMN(E$9)-1)&amp;":"&amp;ADDRESS(1000,COLUMN(E$9)-1)))))</f>
        <v>-</v>
      </c>
      <c r="F162" s="19" t="str">
        <f t="array" ref="F162">IF(ISBLANK(Tareas!$B158),"-",SUM(
SUMIF(INDIRECT(Equipo!$C$4&amp;"!B10:B1000"),$B162,INDIRECT(Equipo!$C$4&amp;"!"&amp;ADDRESS(10,COLUMN(F$9)-1)&amp;":"&amp;ADDRESS(1000,COLUMN(F$9)-1))),
SUMIF(INDIRECT(Equipo!$D$4&amp;"!B10:B1000"),$B162,INDIRECT(Equipo!$D$4&amp;"!"&amp;ADDRESS(10,COLUMN(F$9)-1)&amp;":"&amp;ADDRESS(1000,COLUMN(F$9)-1))),
SUMIF(INDIRECT(Equipo!$E$4&amp;"!B10:B1000"),$B162,INDIRECT(Equipo!$E$4&amp;"!"&amp;ADDRESS(10,COLUMN(F$9)-1)&amp;":"&amp;ADDRESS(1000,COLUMN(F$9)-1))),
SUMIF(INDIRECT(Equipo!$F$4&amp;"!B10:B1000"),$B162,INDIRECT(Equipo!$F$4&amp;"!"&amp;ADDRESS(10,COLUMN(F$9)-1)&amp;":"&amp;ADDRESS(1000,COLUMN(F$9)-1))),
SUMIF(INDIRECT(Equipo!$G$4&amp;"!B10:B1000"),$B162,INDIRECT(Equipo!$G$4&amp;"!"&amp;ADDRESS(10,COLUMN(F$9)-1)&amp;":"&amp;ADDRESS(1000,COLUMN(F$9)-1)))))</f>
        <v>-</v>
      </c>
      <c r="G162" s="19" t="str">
        <f t="array" ref="G162">IF(ISBLANK(Tareas!$B158),"-",SUM(
SUMIF(INDIRECT(Equipo!$C$4&amp;"!B10:B1000"),$B162,INDIRECT(Equipo!$C$4&amp;"!"&amp;ADDRESS(10,COLUMN(G$9)-1)&amp;":"&amp;ADDRESS(1000,COLUMN(G$9)-1))),
SUMIF(INDIRECT(Equipo!$D$4&amp;"!B10:B1000"),$B162,INDIRECT(Equipo!$D$4&amp;"!"&amp;ADDRESS(10,COLUMN(G$9)-1)&amp;":"&amp;ADDRESS(1000,COLUMN(G$9)-1))),
SUMIF(INDIRECT(Equipo!$E$4&amp;"!B10:B1000"),$B162,INDIRECT(Equipo!$E$4&amp;"!"&amp;ADDRESS(10,COLUMN(G$9)-1)&amp;":"&amp;ADDRESS(1000,COLUMN(G$9)-1))),
SUMIF(INDIRECT(Equipo!$F$4&amp;"!B10:B1000"),$B162,INDIRECT(Equipo!$F$4&amp;"!"&amp;ADDRESS(10,COLUMN(G$9)-1)&amp;":"&amp;ADDRESS(1000,COLUMN(G$9)-1))),
SUMIF(INDIRECT(Equipo!$G$4&amp;"!B10:B1000"),$B162,INDIRECT(Equipo!$G$4&amp;"!"&amp;ADDRESS(10,COLUMN(G$9)-1)&amp;":"&amp;ADDRESS(1000,COLUMN(G$9)-1)))))</f>
        <v>-</v>
      </c>
      <c r="H162" s="19" t="str">
        <f t="array" ref="H162">IF(ISBLANK(Tareas!$B158),"-",SUM(
SUMIF(INDIRECT(Equipo!$C$4&amp;"!B10:B1000"),$B162,INDIRECT(Equipo!$C$4&amp;"!"&amp;ADDRESS(10,COLUMN(H$9)-1)&amp;":"&amp;ADDRESS(1000,COLUMN(H$9)-1))),
SUMIF(INDIRECT(Equipo!$D$4&amp;"!B10:B1000"),$B162,INDIRECT(Equipo!$D$4&amp;"!"&amp;ADDRESS(10,COLUMN(H$9)-1)&amp;":"&amp;ADDRESS(1000,COLUMN(H$9)-1))),
SUMIF(INDIRECT(Equipo!$E$4&amp;"!B10:B1000"),$B162,INDIRECT(Equipo!$E$4&amp;"!"&amp;ADDRESS(10,COLUMN(H$9)-1)&amp;":"&amp;ADDRESS(1000,COLUMN(H$9)-1))),
SUMIF(INDIRECT(Equipo!$F$4&amp;"!B10:B1000"),$B162,INDIRECT(Equipo!$F$4&amp;"!"&amp;ADDRESS(10,COLUMN(H$9)-1)&amp;":"&amp;ADDRESS(1000,COLUMN(H$9)-1))),
SUMIF(INDIRECT(Equipo!$G$4&amp;"!B10:B1000"),$B162,INDIRECT(Equipo!$G$4&amp;"!"&amp;ADDRESS(10,COLUMN(H$9)-1)&amp;":"&amp;ADDRESS(1000,COLUMN(H$9)-1)))))</f>
        <v>-</v>
      </c>
      <c r="I162" s="19" t="str">
        <f t="array" ref="I162">IF(ISBLANK(Tareas!$B158),"-",SUM(
SUMIF(INDIRECT(Equipo!$C$4&amp;"!B10:B1000"),$B162,INDIRECT(Equipo!$C$4&amp;"!"&amp;ADDRESS(10,COLUMN(I$9)-1)&amp;":"&amp;ADDRESS(1000,COLUMN(I$9)-1))),
SUMIF(INDIRECT(Equipo!$D$4&amp;"!B10:B1000"),$B162,INDIRECT(Equipo!$D$4&amp;"!"&amp;ADDRESS(10,COLUMN(I$9)-1)&amp;":"&amp;ADDRESS(1000,COLUMN(I$9)-1))),
SUMIF(INDIRECT(Equipo!$E$4&amp;"!B10:B1000"),$B162,INDIRECT(Equipo!$E$4&amp;"!"&amp;ADDRESS(10,COLUMN(I$9)-1)&amp;":"&amp;ADDRESS(1000,COLUMN(I$9)-1))),
SUMIF(INDIRECT(Equipo!$F$4&amp;"!B10:B1000"),$B162,INDIRECT(Equipo!$F$4&amp;"!"&amp;ADDRESS(10,COLUMN(I$9)-1)&amp;":"&amp;ADDRESS(1000,COLUMN(I$9)-1))),
SUMIF(INDIRECT(Equipo!$G$4&amp;"!B10:B1000"),$B162,INDIRECT(Equipo!$G$4&amp;"!"&amp;ADDRESS(10,COLUMN(I$9)-1)&amp;":"&amp;ADDRESS(1000,COLUMN(I$9)-1)))))</f>
        <v>-</v>
      </c>
      <c r="J162" s="19" t="str">
        <f t="array" ref="J162">IF(ISBLANK(Tareas!$B158),"-",SUM(
SUMIF(INDIRECT(Equipo!$C$4&amp;"!B10:B1000"),$B162,INDIRECT(Equipo!$C$4&amp;"!"&amp;ADDRESS(10,COLUMN(J$9)-1)&amp;":"&amp;ADDRESS(1000,COLUMN(J$9)-1))),
SUMIF(INDIRECT(Equipo!$D$4&amp;"!B10:B1000"),$B162,INDIRECT(Equipo!$D$4&amp;"!"&amp;ADDRESS(10,COLUMN(J$9)-1)&amp;":"&amp;ADDRESS(1000,COLUMN(J$9)-1))),
SUMIF(INDIRECT(Equipo!$E$4&amp;"!B10:B1000"),$B162,INDIRECT(Equipo!$E$4&amp;"!"&amp;ADDRESS(10,COLUMN(J$9)-1)&amp;":"&amp;ADDRESS(1000,COLUMN(J$9)-1))),
SUMIF(INDIRECT(Equipo!$F$4&amp;"!B10:B1000"),$B162,INDIRECT(Equipo!$F$4&amp;"!"&amp;ADDRESS(10,COLUMN(J$9)-1)&amp;":"&amp;ADDRESS(1000,COLUMN(J$9)-1))),
SUMIF(INDIRECT(Equipo!$G$4&amp;"!B10:B1000"),$B162,INDIRECT(Equipo!$G$4&amp;"!"&amp;ADDRESS(10,COLUMN(J$9)-1)&amp;":"&amp;ADDRESS(1000,COLUMN(J$9)-1)))))</f>
        <v>-</v>
      </c>
      <c r="K162" s="19" t="str">
        <f t="array" ref="K162">IF(ISBLANK(Tareas!$B158),"-",SUM(
SUMIF(INDIRECT(Equipo!$C$4&amp;"!B10:B1000"),$B162,INDIRECT(Equipo!$C$4&amp;"!"&amp;ADDRESS(10,COLUMN(K$9)-1)&amp;":"&amp;ADDRESS(1000,COLUMN(K$9)-1))),
SUMIF(INDIRECT(Equipo!$D$4&amp;"!B10:B1000"),$B162,INDIRECT(Equipo!$D$4&amp;"!"&amp;ADDRESS(10,COLUMN(K$9)-1)&amp;":"&amp;ADDRESS(1000,COLUMN(K$9)-1))),
SUMIF(INDIRECT(Equipo!$E$4&amp;"!B10:B1000"),$B162,INDIRECT(Equipo!$E$4&amp;"!"&amp;ADDRESS(10,COLUMN(K$9)-1)&amp;":"&amp;ADDRESS(1000,COLUMN(K$9)-1))),
SUMIF(INDIRECT(Equipo!$F$4&amp;"!B10:B1000"),$B162,INDIRECT(Equipo!$F$4&amp;"!"&amp;ADDRESS(10,COLUMN(K$9)-1)&amp;":"&amp;ADDRESS(1000,COLUMN(K$9)-1))),
SUMIF(INDIRECT(Equipo!$G$4&amp;"!B10:B1000"),$B162,INDIRECT(Equipo!$G$4&amp;"!"&amp;ADDRESS(10,COLUMN(K$9)-1)&amp;":"&amp;ADDRESS(1000,COLUMN(K$9)-1)))))</f>
        <v>-</v>
      </c>
    </row>
    <row r="163" ht="15.75" customHeight="1">
      <c r="B163" s="1" t="str">
        <f>IF(ISBLANK(Tareas!B159)," - ",Tareas!B159)</f>
        <v> - </v>
      </c>
      <c r="D163" s="19" t="str">
        <f t="array" ref="D163">IF(ISBLANK(Tareas!$B159),"-",SUM(
SUMIF(INDIRECT(Equipo!$C$4&amp;"!B10:B1000"),$B163,INDIRECT(Equipo!$C$4&amp;"!"&amp;ADDRESS(10,COLUMN(D$9)-1)&amp;":"&amp;ADDRESS(1000,COLUMN(D$9)-1))),
SUMIF(INDIRECT(Equipo!$D$4&amp;"!B10:B1000"),$B163,INDIRECT(Equipo!$D$4&amp;"!"&amp;ADDRESS(10,COLUMN(D$9)-1)&amp;":"&amp;ADDRESS(1000,COLUMN(D$9)-1))),
SUMIF(INDIRECT(Equipo!$E$4&amp;"!B10:B1000"),$B163,INDIRECT(Equipo!$E$4&amp;"!"&amp;ADDRESS(10,COLUMN(D$9)-1)&amp;":"&amp;ADDRESS(1000,COLUMN(D$9)-1))),
SUMIF(INDIRECT(Equipo!$F$4&amp;"!B10:B1000"),$B163,INDIRECT(Equipo!$F$4&amp;"!"&amp;ADDRESS(10,COLUMN(D$9)-1)&amp;":"&amp;ADDRESS(1000,COLUMN(D$9)-1))),
SUMIF(INDIRECT(Equipo!$G$4&amp;"!B10:B1000"),$B163,INDIRECT(Equipo!$G$4&amp;"!"&amp;ADDRESS(10,COLUMN(D$9)-1)&amp;":"&amp;ADDRESS(1000,COLUMN(D$9)-1)))))</f>
        <v>-</v>
      </c>
      <c r="E163" s="19" t="str">
        <f t="array" ref="E163">IF(ISBLANK(Tareas!$B159),"-",SUM(
SUMIF(INDIRECT(Equipo!$C$4&amp;"!B10:B1000"),$B163,INDIRECT(Equipo!$C$4&amp;"!"&amp;ADDRESS(10,COLUMN(E$9)-1)&amp;":"&amp;ADDRESS(1000,COLUMN(E$9)-1))),
SUMIF(INDIRECT(Equipo!$D$4&amp;"!B10:B1000"),$B163,INDIRECT(Equipo!$D$4&amp;"!"&amp;ADDRESS(10,COLUMN(E$9)-1)&amp;":"&amp;ADDRESS(1000,COLUMN(E$9)-1))),
SUMIF(INDIRECT(Equipo!$E$4&amp;"!B10:B1000"),$B163,INDIRECT(Equipo!$E$4&amp;"!"&amp;ADDRESS(10,COLUMN(E$9)-1)&amp;":"&amp;ADDRESS(1000,COLUMN(E$9)-1))),
SUMIF(INDIRECT(Equipo!$F$4&amp;"!B10:B1000"),$B163,INDIRECT(Equipo!$F$4&amp;"!"&amp;ADDRESS(10,COLUMN(E$9)-1)&amp;":"&amp;ADDRESS(1000,COLUMN(E$9)-1))),
SUMIF(INDIRECT(Equipo!$G$4&amp;"!B10:B1000"),$B163,INDIRECT(Equipo!$G$4&amp;"!"&amp;ADDRESS(10,COLUMN(E$9)-1)&amp;":"&amp;ADDRESS(1000,COLUMN(E$9)-1)))))</f>
        <v>-</v>
      </c>
      <c r="F163" s="19" t="str">
        <f t="array" ref="F163">IF(ISBLANK(Tareas!$B159),"-",SUM(
SUMIF(INDIRECT(Equipo!$C$4&amp;"!B10:B1000"),$B163,INDIRECT(Equipo!$C$4&amp;"!"&amp;ADDRESS(10,COLUMN(F$9)-1)&amp;":"&amp;ADDRESS(1000,COLUMN(F$9)-1))),
SUMIF(INDIRECT(Equipo!$D$4&amp;"!B10:B1000"),$B163,INDIRECT(Equipo!$D$4&amp;"!"&amp;ADDRESS(10,COLUMN(F$9)-1)&amp;":"&amp;ADDRESS(1000,COLUMN(F$9)-1))),
SUMIF(INDIRECT(Equipo!$E$4&amp;"!B10:B1000"),$B163,INDIRECT(Equipo!$E$4&amp;"!"&amp;ADDRESS(10,COLUMN(F$9)-1)&amp;":"&amp;ADDRESS(1000,COLUMN(F$9)-1))),
SUMIF(INDIRECT(Equipo!$F$4&amp;"!B10:B1000"),$B163,INDIRECT(Equipo!$F$4&amp;"!"&amp;ADDRESS(10,COLUMN(F$9)-1)&amp;":"&amp;ADDRESS(1000,COLUMN(F$9)-1))),
SUMIF(INDIRECT(Equipo!$G$4&amp;"!B10:B1000"),$B163,INDIRECT(Equipo!$G$4&amp;"!"&amp;ADDRESS(10,COLUMN(F$9)-1)&amp;":"&amp;ADDRESS(1000,COLUMN(F$9)-1)))))</f>
        <v>-</v>
      </c>
      <c r="G163" s="19" t="str">
        <f t="array" ref="G163">IF(ISBLANK(Tareas!$B159),"-",SUM(
SUMIF(INDIRECT(Equipo!$C$4&amp;"!B10:B1000"),$B163,INDIRECT(Equipo!$C$4&amp;"!"&amp;ADDRESS(10,COLUMN(G$9)-1)&amp;":"&amp;ADDRESS(1000,COLUMN(G$9)-1))),
SUMIF(INDIRECT(Equipo!$D$4&amp;"!B10:B1000"),$B163,INDIRECT(Equipo!$D$4&amp;"!"&amp;ADDRESS(10,COLUMN(G$9)-1)&amp;":"&amp;ADDRESS(1000,COLUMN(G$9)-1))),
SUMIF(INDIRECT(Equipo!$E$4&amp;"!B10:B1000"),$B163,INDIRECT(Equipo!$E$4&amp;"!"&amp;ADDRESS(10,COLUMN(G$9)-1)&amp;":"&amp;ADDRESS(1000,COLUMN(G$9)-1))),
SUMIF(INDIRECT(Equipo!$F$4&amp;"!B10:B1000"),$B163,INDIRECT(Equipo!$F$4&amp;"!"&amp;ADDRESS(10,COLUMN(G$9)-1)&amp;":"&amp;ADDRESS(1000,COLUMN(G$9)-1))),
SUMIF(INDIRECT(Equipo!$G$4&amp;"!B10:B1000"),$B163,INDIRECT(Equipo!$G$4&amp;"!"&amp;ADDRESS(10,COLUMN(G$9)-1)&amp;":"&amp;ADDRESS(1000,COLUMN(G$9)-1)))))</f>
        <v>-</v>
      </c>
      <c r="H163" s="19" t="str">
        <f t="array" ref="H163">IF(ISBLANK(Tareas!$B159),"-",SUM(
SUMIF(INDIRECT(Equipo!$C$4&amp;"!B10:B1000"),$B163,INDIRECT(Equipo!$C$4&amp;"!"&amp;ADDRESS(10,COLUMN(H$9)-1)&amp;":"&amp;ADDRESS(1000,COLUMN(H$9)-1))),
SUMIF(INDIRECT(Equipo!$D$4&amp;"!B10:B1000"),$B163,INDIRECT(Equipo!$D$4&amp;"!"&amp;ADDRESS(10,COLUMN(H$9)-1)&amp;":"&amp;ADDRESS(1000,COLUMN(H$9)-1))),
SUMIF(INDIRECT(Equipo!$E$4&amp;"!B10:B1000"),$B163,INDIRECT(Equipo!$E$4&amp;"!"&amp;ADDRESS(10,COLUMN(H$9)-1)&amp;":"&amp;ADDRESS(1000,COLUMN(H$9)-1))),
SUMIF(INDIRECT(Equipo!$F$4&amp;"!B10:B1000"),$B163,INDIRECT(Equipo!$F$4&amp;"!"&amp;ADDRESS(10,COLUMN(H$9)-1)&amp;":"&amp;ADDRESS(1000,COLUMN(H$9)-1))),
SUMIF(INDIRECT(Equipo!$G$4&amp;"!B10:B1000"),$B163,INDIRECT(Equipo!$G$4&amp;"!"&amp;ADDRESS(10,COLUMN(H$9)-1)&amp;":"&amp;ADDRESS(1000,COLUMN(H$9)-1)))))</f>
        <v>-</v>
      </c>
      <c r="I163" s="19" t="str">
        <f t="array" ref="I163">IF(ISBLANK(Tareas!$B159),"-",SUM(
SUMIF(INDIRECT(Equipo!$C$4&amp;"!B10:B1000"),$B163,INDIRECT(Equipo!$C$4&amp;"!"&amp;ADDRESS(10,COLUMN(I$9)-1)&amp;":"&amp;ADDRESS(1000,COLUMN(I$9)-1))),
SUMIF(INDIRECT(Equipo!$D$4&amp;"!B10:B1000"),$B163,INDIRECT(Equipo!$D$4&amp;"!"&amp;ADDRESS(10,COLUMN(I$9)-1)&amp;":"&amp;ADDRESS(1000,COLUMN(I$9)-1))),
SUMIF(INDIRECT(Equipo!$E$4&amp;"!B10:B1000"),$B163,INDIRECT(Equipo!$E$4&amp;"!"&amp;ADDRESS(10,COLUMN(I$9)-1)&amp;":"&amp;ADDRESS(1000,COLUMN(I$9)-1))),
SUMIF(INDIRECT(Equipo!$F$4&amp;"!B10:B1000"),$B163,INDIRECT(Equipo!$F$4&amp;"!"&amp;ADDRESS(10,COLUMN(I$9)-1)&amp;":"&amp;ADDRESS(1000,COLUMN(I$9)-1))),
SUMIF(INDIRECT(Equipo!$G$4&amp;"!B10:B1000"),$B163,INDIRECT(Equipo!$G$4&amp;"!"&amp;ADDRESS(10,COLUMN(I$9)-1)&amp;":"&amp;ADDRESS(1000,COLUMN(I$9)-1)))))</f>
        <v>-</v>
      </c>
      <c r="J163" s="19" t="str">
        <f t="array" ref="J163">IF(ISBLANK(Tareas!$B159),"-",SUM(
SUMIF(INDIRECT(Equipo!$C$4&amp;"!B10:B1000"),$B163,INDIRECT(Equipo!$C$4&amp;"!"&amp;ADDRESS(10,COLUMN(J$9)-1)&amp;":"&amp;ADDRESS(1000,COLUMN(J$9)-1))),
SUMIF(INDIRECT(Equipo!$D$4&amp;"!B10:B1000"),$B163,INDIRECT(Equipo!$D$4&amp;"!"&amp;ADDRESS(10,COLUMN(J$9)-1)&amp;":"&amp;ADDRESS(1000,COLUMN(J$9)-1))),
SUMIF(INDIRECT(Equipo!$E$4&amp;"!B10:B1000"),$B163,INDIRECT(Equipo!$E$4&amp;"!"&amp;ADDRESS(10,COLUMN(J$9)-1)&amp;":"&amp;ADDRESS(1000,COLUMN(J$9)-1))),
SUMIF(INDIRECT(Equipo!$F$4&amp;"!B10:B1000"),$B163,INDIRECT(Equipo!$F$4&amp;"!"&amp;ADDRESS(10,COLUMN(J$9)-1)&amp;":"&amp;ADDRESS(1000,COLUMN(J$9)-1))),
SUMIF(INDIRECT(Equipo!$G$4&amp;"!B10:B1000"),$B163,INDIRECT(Equipo!$G$4&amp;"!"&amp;ADDRESS(10,COLUMN(J$9)-1)&amp;":"&amp;ADDRESS(1000,COLUMN(J$9)-1)))))</f>
        <v>-</v>
      </c>
      <c r="K163" s="19" t="str">
        <f t="array" ref="K163">IF(ISBLANK(Tareas!$B159),"-",SUM(
SUMIF(INDIRECT(Equipo!$C$4&amp;"!B10:B1000"),$B163,INDIRECT(Equipo!$C$4&amp;"!"&amp;ADDRESS(10,COLUMN(K$9)-1)&amp;":"&amp;ADDRESS(1000,COLUMN(K$9)-1))),
SUMIF(INDIRECT(Equipo!$D$4&amp;"!B10:B1000"),$B163,INDIRECT(Equipo!$D$4&amp;"!"&amp;ADDRESS(10,COLUMN(K$9)-1)&amp;":"&amp;ADDRESS(1000,COLUMN(K$9)-1))),
SUMIF(INDIRECT(Equipo!$E$4&amp;"!B10:B1000"),$B163,INDIRECT(Equipo!$E$4&amp;"!"&amp;ADDRESS(10,COLUMN(K$9)-1)&amp;":"&amp;ADDRESS(1000,COLUMN(K$9)-1))),
SUMIF(INDIRECT(Equipo!$F$4&amp;"!B10:B1000"),$B163,INDIRECT(Equipo!$F$4&amp;"!"&amp;ADDRESS(10,COLUMN(K$9)-1)&amp;":"&amp;ADDRESS(1000,COLUMN(K$9)-1))),
SUMIF(INDIRECT(Equipo!$G$4&amp;"!B10:B1000"),$B163,INDIRECT(Equipo!$G$4&amp;"!"&amp;ADDRESS(10,COLUMN(K$9)-1)&amp;":"&amp;ADDRESS(1000,COLUMN(K$9)-1)))))</f>
        <v>-</v>
      </c>
    </row>
    <row r="164" ht="15.75" customHeight="1">
      <c r="B164" s="1" t="str">
        <f>IF(ISBLANK(Tareas!B160)," - ",Tareas!B160)</f>
        <v> - </v>
      </c>
      <c r="D164" s="19" t="str">
        <f t="array" ref="D164">IF(ISBLANK(Tareas!$B160),"-",SUM(
SUMIF(INDIRECT(Equipo!$C$4&amp;"!B10:B1000"),$B164,INDIRECT(Equipo!$C$4&amp;"!"&amp;ADDRESS(10,COLUMN(D$9)-1)&amp;":"&amp;ADDRESS(1000,COLUMN(D$9)-1))),
SUMIF(INDIRECT(Equipo!$D$4&amp;"!B10:B1000"),$B164,INDIRECT(Equipo!$D$4&amp;"!"&amp;ADDRESS(10,COLUMN(D$9)-1)&amp;":"&amp;ADDRESS(1000,COLUMN(D$9)-1))),
SUMIF(INDIRECT(Equipo!$E$4&amp;"!B10:B1000"),$B164,INDIRECT(Equipo!$E$4&amp;"!"&amp;ADDRESS(10,COLUMN(D$9)-1)&amp;":"&amp;ADDRESS(1000,COLUMN(D$9)-1))),
SUMIF(INDIRECT(Equipo!$F$4&amp;"!B10:B1000"),$B164,INDIRECT(Equipo!$F$4&amp;"!"&amp;ADDRESS(10,COLUMN(D$9)-1)&amp;":"&amp;ADDRESS(1000,COLUMN(D$9)-1))),
SUMIF(INDIRECT(Equipo!$G$4&amp;"!B10:B1000"),$B164,INDIRECT(Equipo!$G$4&amp;"!"&amp;ADDRESS(10,COLUMN(D$9)-1)&amp;":"&amp;ADDRESS(1000,COLUMN(D$9)-1)))))</f>
        <v>-</v>
      </c>
      <c r="E164" s="19" t="str">
        <f t="array" ref="E164">IF(ISBLANK(Tareas!$B160),"-",SUM(
SUMIF(INDIRECT(Equipo!$C$4&amp;"!B10:B1000"),$B164,INDIRECT(Equipo!$C$4&amp;"!"&amp;ADDRESS(10,COLUMN(E$9)-1)&amp;":"&amp;ADDRESS(1000,COLUMN(E$9)-1))),
SUMIF(INDIRECT(Equipo!$D$4&amp;"!B10:B1000"),$B164,INDIRECT(Equipo!$D$4&amp;"!"&amp;ADDRESS(10,COLUMN(E$9)-1)&amp;":"&amp;ADDRESS(1000,COLUMN(E$9)-1))),
SUMIF(INDIRECT(Equipo!$E$4&amp;"!B10:B1000"),$B164,INDIRECT(Equipo!$E$4&amp;"!"&amp;ADDRESS(10,COLUMN(E$9)-1)&amp;":"&amp;ADDRESS(1000,COLUMN(E$9)-1))),
SUMIF(INDIRECT(Equipo!$F$4&amp;"!B10:B1000"),$B164,INDIRECT(Equipo!$F$4&amp;"!"&amp;ADDRESS(10,COLUMN(E$9)-1)&amp;":"&amp;ADDRESS(1000,COLUMN(E$9)-1))),
SUMIF(INDIRECT(Equipo!$G$4&amp;"!B10:B1000"),$B164,INDIRECT(Equipo!$G$4&amp;"!"&amp;ADDRESS(10,COLUMN(E$9)-1)&amp;":"&amp;ADDRESS(1000,COLUMN(E$9)-1)))))</f>
        <v>-</v>
      </c>
      <c r="F164" s="19" t="str">
        <f t="array" ref="F164">IF(ISBLANK(Tareas!$B160),"-",SUM(
SUMIF(INDIRECT(Equipo!$C$4&amp;"!B10:B1000"),$B164,INDIRECT(Equipo!$C$4&amp;"!"&amp;ADDRESS(10,COLUMN(F$9)-1)&amp;":"&amp;ADDRESS(1000,COLUMN(F$9)-1))),
SUMIF(INDIRECT(Equipo!$D$4&amp;"!B10:B1000"),$B164,INDIRECT(Equipo!$D$4&amp;"!"&amp;ADDRESS(10,COLUMN(F$9)-1)&amp;":"&amp;ADDRESS(1000,COLUMN(F$9)-1))),
SUMIF(INDIRECT(Equipo!$E$4&amp;"!B10:B1000"),$B164,INDIRECT(Equipo!$E$4&amp;"!"&amp;ADDRESS(10,COLUMN(F$9)-1)&amp;":"&amp;ADDRESS(1000,COLUMN(F$9)-1))),
SUMIF(INDIRECT(Equipo!$F$4&amp;"!B10:B1000"),$B164,INDIRECT(Equipo!$F$4&amp;"!"&amp;ADDRESS(10,COLUMN(F$9)-1)&amp;":"&amp;ADDRESS(1000,COLUMN(F$9)-1))),
SUMIF(INDIRECT(Equipo!$G$4&amp;"!B10:B1000"),$B164,INDIRECT(Equipo!$G$4&amp;"!"&amp;ADDRESS(10,COLUMN(F$9)-1)&amp;":"&amp;ADDRESS(1000,COLUMN(F$9)-1)))))</f>
        <v>-</v>
      </c>
      <c r="G164" s="19" t="str">
        <f t="array" ref="G164">IF(ISBLANK(Tareas!$B160),"-",SUM(
SUMIF(INDIRECT(Equipo!$C$4&amp;"!B10:B1000"),$B164,INDIRECT(Equipo!$C$4&amp;"!"&amp;ADDRESS(10,COLUMN(G$9)-1)&amp;":"&amp;ADDRESS(1000,COLUMN(G$9)-1))),
SUMIF(INDIRECT(Equipo!$D$4&amp;"!B10:B1000"),$B164,INDIRECT(Equipo!$D$4&amp;"!"&amp;ADDRESS(10,COLUMN(G$9)-1)&amp;":"&amp;ADDRESS(1000,COLUMN(G$9)-1))),
SUMIF(INDIRECT(Equipo!$E$4&amp;"!B10:B1000"),$B164,INDIRECT(Equipo!$E$4&amp;"!"&amp;ADDRESS(10,COLUMN(G$9)-1)&amp;":"&amp;ADDRESS(1000,COLUMN(G$9)-1))),
SUMIF(INDIRECT(Equipo!$F$4&amp;"!B10:B1000"),$B164,INDIRECT(Equipo!$F$4&amp;"!"&amp;ADDRESS(10,COLUMN(G$9)-1)&amp;":"&amp;ADDRESS(1000,COLUMN(G$9)-1))),
SUMIF(INDIRECT(Equipo!$G$4&amp;"!B10:B1000"),$B164,INDIRECT(Equipo!$G$4&amp;"!"&amp;ADDRESS(10,COLUMN(G$9)-1)&amp;":"&amp;ADDRESS(1000,COLUMN(G$9)-1)))))</f>
        <v>-</v>
      </c>
      <c r="H164" s="19" t="str">
        <f t="array" ref="H164">IF(ISBLANK(Tareas!$B160),"-",SUM(
SUMIF(INDIRECT(Equipo!$C$4&amp;"!B10:B1000"),$B164,INDIRECT(Equipo!$C$4&amp;"!"&amp;ADDRESS(10,COLUMN(H$9)-1)&amp;":"&amp;ADDRESS(1000,COLUMN(H$9)-1))),
SUMIF(INDIRECT(Equipo!$D$4&amp;"!B10:B1000"),$B164,INDIRECT(Equipo!$D$4&amp;"!"&amp;ADDRESS(10,COLUMN(H$9)-1)&amp;":"&amp;ADDRESS(1000,COLUMN(H$9)-1))),
SUMIF(INDIRECT(Equipo!$E$4&amp;"!B10:B1000"),$B164,INDIRECT(Equipo!$E$4&amp;"!"&amp;ADDRESS(10,COLUMN(H$9)-1)&amp;":"&amp;ADDRESS(1000,COLUMN(H$9)-1))),
SUMIF(INDIRECT(Equipo!$F$4&amp;"!B10:B1000"),$B164,INDIRECT(Equipo!$F$4&amp;"!"&amp;ADDRESS(10,COLUMN(H$9)-1)&amp;":"&amp;ADDRESS(1000,COLUMN(H$9)-1))),
SUMIF(INDIRECT(Equipo!$G$4&amp;"!B10:B1000"),$B164,INDIRECT(Equipo!$G$4&amp;"!"&amp;ADDRESS(10,COLUMN(H$9)-1)&amp;":"&amp;ADDRESS(1000,COLUMN(H$9)-1)))))</f>
        <v>-</v>
      </c>
      <c r="I164" s="19" t="str">
        <f t="array" ref="I164">IF(ISBLANK(Tareas!$B160),"-",SUM(
SUMIF(INDIRECT(Equipo!$C$4&amp;"!B10:B1000"),$B164,INDIRECT(Equipo!$C$4&amp;"!"&amp;ADDRESS(10,COLUMN(I$9)-1)&amp;":"&amp;ADDRESS(1000,COLUMN(I$9)-1))),
SUMIF(INDIRECT(Equipo!$D$4&amp;"!B10:B1000"),$B164,INDIRECT(Equipo!$D$4&amp;"!"&amp;ADDRESS(10,COLUMN(I$9)-1)&amp;":"&amp;ADDRESS(1000,COLUMN(I$9)-1))),
SUMIF(INDIRECT(Equipo!$E$4&amp;"!B10:B1000"),$B164,INDIRECT(Equipo!$E$4&amp;"!"&amp;ADDRESS(10,COLUMN(I$9)-1)&amp;":"&amp;ADDRESS(1000,COLUMN(I$9)-1))),
SUMIF(INDIRECT(Equipo!$F$4&amp;"!B10:B1000"),$B164,INDIRECT(Equipo!$F$4&amp;"!"&amp;ADDRESS(10,COLUMN(I$9)-1)&amp;":"&amp;ADDRESS(1000,COLUMN(I$9)-1))),
SUMIF(INDIRECT(Equipo!$G$4&amp;"!B10:B1000"),$B164,INDIRECT(Equipo!$G$4&amp;"!"&amp;ADDRESS(10,COLUMN(I$9)-1)&amp;":"&amp;ADDRESS(1000,COLUMN(I$9)-1)))))</f>
        <v>-</v>
      </c>
      <c r="J164" s="19" t="str">
        <f t="array" ref="J164">IF(ISBLANK(Tareas!$B160),"-",SUM(
SUMIF(INDIRECT(Equipo!$C$4&amp;"!B10:B1000"),$B164,INDIRECT(Equipo!$C$4&amp;"!"&amp;ADDRESS(10,COLUMN(J$9)-1)&amp;":"&amp;ADDRESS(1000,COLUMN(J$9)-1))),
SUMIF(INDIRECT(Equipo!$D$4&amp;"!B10:B1000"),$B164,INDIRECT(Equipo!$D$4&amp;"!"&amp;ADDRESS(10,COLUMN(J$9)-1)&amp;":"&amp;ADDRESS(1000,COLUMN(J$9)-1))),
SUMIF(INDIRECT(Equipo!$E$4&amp;"!B10:B1000"),$B164,INDIRECT(Equipo!$E$4&amp;"!"&amp;ADDRESS(10,COLUMN(J$9)-1)&amp;":"&amp;ADDRESS(1000,COLUMN(J$9)-1))),
SUMIF(INDIRECT(Equipo!$F$4&amp;"!B10:B1000"),$B164,INDIRECT(Equipo!$F$4&amp;"!"&amp;ADDRESS(10,COLUMN(J$9)-1)&amp;":"&amp;ADDRESS(1000,COLUMN(J$9)-1))),
SUMIF(INDIRECT(Equipo!$G$4&amp;"!B10:B1000"),$B164,INDIRECT(Equipo!$G$4&amp;"!"&amp;ADDRESS(10,COLUMN(J$9)-1)&amp;":"&amp;ADDRESS(1000,COLUMN(J$9)-1)))))</f>
        <v>-</v>
      </c>
      <c r="K164" s="19" t="str">
        <f t="array" ref="K164">IF(ISBLANK(Tareas!$B160),"-",SUM(
SUMIF(INDIRECT(Equipo!$C$4&amp;"!B10:B1000"),$B164,INDIRECT(Equipo!$C$4&amp;"!"&amp;ADDRESS(10,COLUMN(K$9)-1)&amp;":"&amp;ADDRESS(1000,COLUMN(K$9)-1))),
SUMIF(INDIRECT(Equipo!$D$4&amp;"!B10:B1000"),$B164,INDIRECT(Equipo!$D$4&amp;"!"&amp;ADDRESS(10,COLUMN(K$9)-1)&amp;":"&amp;ADDRESS(1000,COLUMN(K$9)-1))),
SUMIF(INDIRECT(Equipo!$E$4&amp;"!B10:B1000"),$B164,INDIRECT(Equipo!$E$4&amp;"!"&amp;ADDRESS(10,COLUMN(K$9)-1)&amp;":"&amp;ADDRESS(1000,COLUMN(K$9)-1))),
SUMIF(INDIRECT(Equipo!$F$4&amp;"!B10:B1000"),$B164,INDIRECT(Equipo!$F$4&amp;"!"&amp;ADDRESS(10,COLUMN(K$9)-1)&amp;":"&amp;ADDRESS(1000,COLUMN(K$9)-1))),
SUMIF(INDIRECT(Equipo!$G$4&amp;"!B10:B1000"),$B164,INDIRECT(Equipo!$G$4&amp;"!"&amp;ADDRESS(10,COLUMN(K$9)-1)&amp;":"&amp;ADDRESS(1000,COLUMN(K$9)-1)))))</f>
        <v>-</v>
      </c>
    </row>
    <row r="165" ht="15.75" customHeight="1">
      <c r="B165" s="1" t="str">
        <f>IF(ISBLANK(Tareas!B161)," - ",Tareas!B161)</f>
        <v> - </v>
      </c>
      <c r="D165" s="19" t="str">
        <f t="array" ref="D165">IF(ISBLANK(Tareas!$B161),"-",SUM(
SUMIF(INDIRECT(Equipo!$C$4&amp;"!B10:B1000"),$B165,INDIRECT(Equipo!$C$4&amp;"!"&amp;ADDRESS(10,COLUMN(D$9)-1)&amp;":"&amp;ADDRESS(1000,COLUMN(D$9)-1))),
SUMIF(INDIRECT(Equipo!$D$4&amp;"!B10:B1000"),$B165,INDIRECT(Equipo!$D$4&amp;"!"&amp;ADDRESS(10,COLUMN(D$9)-1)&amp;":"&amp;ADDRESS(1000,COLUMN(D$9)-1))),
SUMIF(INDIRECT(Equipo!$E$4&amp;"!B10:B1000"),$B165,INDIRECT(Equipo!$E$4&amp;"!"&amp;ADDRESS(10,COLUMN(D$9)-1)&amp;":"&amp;ADDRESS(1000,COLUMN(D$9)-1))),
SUMIF(INDIRECT(Equipo!$F$4&amp;"!B10:B1000"),$B165,INDIRECT(Equipo!$F$4&amp;"!"&amp;ADDRESS(10,COLUMN(D$9)-1)&amp;":"&amp;ADDRESS(1000,COLUMN(D$9)-1))),
SUMIF(INDIRECT(Equipo!$G$4&amp;"!B10:B1000"),$B165,INDIRECT(Equipo!$G$4&amp;"!"&amp;ADDRESS(10,COLUMN(D$9)-1)&amp;":"&amp;ADDRESS(1000,COLUMN(D$9)-1)))))</f>
        <v>-</v>
      </c>
      <c r="E165" s="19" t="str">
        <f t="array" ref="E165">IF(ISBLANK(Tareas!$B161),"-",SUM(
SUMIF(INDIRECT(Equipo!$C$4&amp;"!B10:B1000"),$B165,INDIRECT(Equipo!$C$4&amp;"!"&amp;ADDRESS(10,COLUMN(E$9)-1)&amp;":"&amp;ADDRESS(1000,COLUMN(E$9)-1))),
SUMIF(INDIRECT(Equipo!$D$4&amp;"!B10:B1000"),$B165,INDIRECT(Equipo!$D$4&amp;"!"&amp;ADDRESS(10,COLUMN(E$9)-1)&amp;":"&amp;ADDRESS(1000,COLUMN(E$9)-1))),
SUMIF(INDIRECT(Equipo!$E$4&amp;"!B10:B1000"),$B165,INDIRECT(Equipo!$E$4&amp;"!"&amp;ADDRESS(10,COLUMN(E$9)-1)&amp;":"&amp;ADDRESS(1000,COLUMN(E$9)-1))),
SUMIF(INDIRECT(Equipo!$F$4&amp;"!B10:B1000"),$B165,INDIRECT(Equipo!$F$4&amp;"!"&amp;ADDRESS(10,COLUMN(E$9)-1)&amp;":"&amp;ADDRESS(1000,COLUMN(E$9)-1))),
SUMIF(INDIRECT(Equipo!$G$4&amp;"!B10:B1000"),$B165,INDIRECT(Equipo!$G$4&amp;"!"&amp;ADDRESS(10,COLUMN(E$9)-1)&amp;":"&amp;ADDRESS(1000,COLUMN(E$9)-1)))))</f>
        <v>-</v>
      </c>
      <c r="F165" s="19" t="str">
        <f t="array" ref="F165">IF(ISBLANK(Tareas!$B161),"-",SUM(
SUMIF(INDIRECT(Equipo!$C$4&amp;"!B10:B1000"),$B165,INDIRECT(Equipo!$C$4&amp;"!"&amp;ADDRESS(10,COLUMN(F$9)-1)&amp;":"&amp;ADDRESS(1000,COLUMN(F$9)-1))),
SUMIF(INDIRECT(Equipo!$D$4&amp;"!B10:B1000"),$B165,INDIRECT(Equipo!$D$4&amp;"!"&amp;ADDRESS(10,COLUMN(F$9)-1)&amp;":"&amp;ADDRESS(1000,COLUMN(F$9)-1))),
SUMIF(INDIRECT(Equipo!$E$4&amp;"!B10:B1000"),$B165,INDIRECT(Equipo!$E$4&amp;"!"&amp;ADDRESS(10,COLUMN(F$9)-1)&amp;":"&amp;ADDRESS(1000,COLUMN(F$9)-1))),
SUMIF(INDIRECT(Equipo!$F$4&amp;"!B10:B1000"),$B165,INDIRECT(Equipo!$F$4&amp;"!"&amp;ADDRESS(10,COLUMN(F$9)-1)&amp;":"&amp;ADDRESS(1000,COLUMN(F$9)-1))),
SUMIF(INDIRECT(Equipo!$G$4&amp;"!B10:B1000"),$B165,INDIRECT(Equipo!$G$4&amp;"!"&amp;ADDRESS(10,COLUMN(F$9)-1)&amp;":"&amp;ADDRESS(1000,COLUMN(F$9)-1)))))</f>
        <v>-</v>
      </c>
      <c r="G165" s="19" t="str">
        <f t="array" ref="G165">IF(ISBLANK(Tareas!$B161),"-",SUM(
SUMIF(INDIRECT(Equipo!$C$4&amp;"!B10:B1000"),$B165,INDIRECT(Equipo!$C$4&amp;"!"&amp;ADDRESS(10,COLUMN(G$9)-1)&amp;":"&amp;ADDRESS(1000,COLUMN(G$9)-1))),
SUMIF(INDIRECT(Equipo!$D$4&amp;"!B10:B1000"),$B165,INDIRECT(Equipo!$D$4&amp;"!"&amp;ADDRESS(10,COLUMN(G$9)-1)&amp;":"&amp;ADDRESS(1000,COLUMN(G$9)-1))),
SUMIF(INDIRECT(Equipo!$E$4&amp;"!B10:B1000"),$B165,INDIRECT(Equipo!$E$4&amp;"!"&amp;ADDRESS(10,COLUMN(G$9)-1)&amp;":"&amp;ADDRESS(1000,COLUMN(G$9)-1))),
SUMIF(INDIRECT(Equipo!$F$4&amp;"!B10:B1000"),$B165,INDIRECT(Equipo!$F$4&amp;"!"&amp;ADDRESS(10,COLUMN(G$9)-1)&amp;":"&amp;ADDRESS(1000,COLUMN(G$9)-1))),
SUMIF(INDIRECT(Equipo!$G$4&amp;"!B10:B1000"),$B165,INDIRECT(Equipo!$G$4&amp;"!"&amp;ADDRESS(10,COLUMN(G$9)-1)&amp;":"&amp;ADDRESS(1000,COLUMN(G$9)-1)))))</f>
        <v>-</v>
      </c>
      <c r="H165" s="19" t="str">
        <f t="array" ref="H165">IF(ISBLANK(Tareas!$B161),"-",SUM(
SUMIF(INDIRECT(Equipo!$C$4&amp;"!B10:B1000"),$B165,INDIRECT(Equipo!$C$4&amp;"!"&amp;ADDRESS(10,COLUMN(H$9)-1)&amp;":"&amp;ADDRESS(1000,COLUMN(H$9)-1))),
SUMIF(INDIRECT(Equipo!$D$4&amp;"!B10:B1000"),$B165,INDIRECT(Equipo!$D$4&amp;"!"&amp;ADDRESS(10,COLUMN(H$9)-1)&amp;":"&amp;ADDRESS(1000,COLUMN(H$9)-1))),
SUMIF(INDIRECT(Equipo!$E$4&amp;"!B10:B1000"),$B165,INDIRECT(Equipo!$E$4&amp;"!"&amp;ADDRESS(10,COLUMN(H$9)-1)&amp;":"&amp;ADDRESS(1000,COLUMN(H$9)-1))),
SUMIF(INDIRECT(Equipo!$F$4&amp;"!B10:B1000"),$B165,INDIRECT(Equipo!$F$4&amp;"!"&amp;ADDRESS(10,COLUMN(H$9)-1)&amp;":"&amp;ADDRESS(1000,COLUMN(H$9)-1))),
SUMIF(INDIRECT(Equipo!$G$4&amp;"!B10:B1000"),$B165,INDIRECT(Equipo!$G$4&amp;"!"&amp;ADDRESS(10,COLUMN(H$9)-1)&amp;":"&amp;ADDRESS(1000,COLUMN(H$9)-1)))))</f>
        <v>-</v>
      </c>
      <c r="I165" s="19" t="str">
        <f t="array" ref="I165">IF(ISBLANK(Tareas!$B161),"-",SUM(
SUMIF(INDIRECT(Equipo!$C$4&amp;"!B10:B1000"),$B165,INDIRECT(Equipo!$C$4&amp;"!"&amp;ADDRESS(10,COLUMN(I$9)-1)&amp;":"&amp;ADDRESS(1000,COLUMN(I$9)-1))),
SUMIF(INDIRECT(Equipo!$D$4&amp;"!B10:B1000"),$B165,INDIRECT(Equipo!$D$4&amp;"!"&amp;ADDRESS(10,COLUMN(I$9)-1)&amp;":"&amp;ADDRESS(1000,COLUMN(I$9)-1))),
SUMIF(INDIRECT(Equipo!$E$4&amp;"!B10:B1000"),$B165,INDIRECT(Equipo!$E$4&amp;"!"&amp;ADDRESS(10,COLUMN(I$9)-1)&amp;":"&amp;ADDRESS(1000,COLUMN(I$9)-1))),
SUMIF(INDIRECT(Equipo!$F$4&amp;"!B10:B1000"),$B165,INDIRECT(Equipo!$F$4&amp;"!"&amp;ADDRESS(10,COLUMN(I$9)-1)&amp;":"&amp;ADDRESS(1000,COLUMN(I$9)-1))),
SUMIF(INDIRECT(Equipo!$G$4&amp;"!B10:B1000"),$B165,INDIRECT(Equipo!$G$4&amp;"!"&amp;ADDRESS(10,COLUMN(I$9)-1)&amp;":"&amp;ADDRESS(1000,COLUMN(I$9)-1)))))</f>
        <v>-</v>
      </c>
      <c r="J165" s="19" t="str">
        <f t="array" ref="J165">IF(ISBLANK(Tareas!$B161),"-",SUM(
SUMIF(INDIRECT(Equipo!$C$4&amp;"!B10:B1000"),$B165,INDIRECT(Equipo!$C$4&amp;"!"&amp;ADDRESS(10,COLUMN(J$9)-1)&amp;":"&amp;ADDRESS(1000,COLUMN(J$9)-1))),
SUMIF(INDIRECT(Equipo!$D$4&amp;"!B10:B1000"),$B165,INDIRECT(Equipo!$D$4&amp;"!"&amp;ADDRESS(10,COLUMN(J$9)-1)&amp;":"&amp;ADDRESS(1000,COLUMN(J$9)-1))),
SUMIF(INDIRECT(Equipo!$E$4&amp;"!B10:B1000"),$B165,INDIRECT(Equipo!$E$4&amp;"!"&amp;ADDRESS(10,COLUMN(J$9)-1)&amp;":"&amp;ADDRESS(1000,COLUMN(J$9)-1))),
SUMIF(INDIRECT(Equipo!$F$4&amp;"!B10:B1000"),$B165,INDIRECT(Equipo!$F$4&amp;"!"&amp;ADDRESS(10,COLUMN(J$9)-1)&amp;":"&amp;ADDRESS(1000,COLUMN(J$9)-1))),
SUMIF(INDIRECT(Equipo!$G$4&amp;"!B10:B1000"),$B165,INDIRECT(Equipo!$G$4&amp;"!"&amp;ADDRESS(10,COLUMN(J$9)-1)&amp;":"&amp;ADDRESS(1000,COLUMN(J$9)-1)))))</f>
        <v>-</v>
      </c>
      <c r="K165" s="19" t="str">
        <f t="array" ref="K165">IF(ISBLANK(Tareas!$B161),"-",SUM(
SUMIF(INDIRECT(Equipo!$C$4&amp;"!B10:B1000"),$B165,INDIRECT(Equipo!$C$4&amp;"!"&amp;ADDRESS(10,COLUMN(K$9)-1)&amp;":"&amp;ADDRESS(1000,COLUMN(K$9)-1))),
SUMIF(INDIRECT(Equipo!$D$4&amp;"!B10:B1000"),$B165,INDIRECT(Equipo!$D$4&amp;"!"&amp;ADDRESS(10,COLUMN(K$9)-1)&amp;":"&amp;ADDRESS(1000,COLUMN(K$9)-1))),
SUMIF(INDIRECT(Equipo!$E$4&amp;"!B10:B1000"),$B165,INDIRECT(Equipo!$E$4&amp;"!"&amp;ADDRESS(10,COLUMN(K$9)-1)&amp;":"&amp;ADDRESS(1000,COLUMN(K$9)-1))),
SUMIF(INDIRECT(Equipo!$F$4&amp;"!B10:B1000"),$B165,INDIRECT(Equipo!$F$4&amp;"!"&amp;ADDRESS(10,COLUMN(K$9)-1)&amp;":"&amp;ADDRESS(1000,COLUMN(K$9)-1))),
SUMIF(INDIRECT(Equipo!$G$4&amp;"!B10:B1000"),$B165,INDIRECT(Equipo!$G$4&amp;"!"&amp;ADDRESS(10,COLUMN(K$9)-1)&amp;":"&amp;ADDRESS(1000,COLUMN(K$9)-1)))))</f>
        <v>-</v>
      </c>
    </row>
    <row r="166" ht="15.75" customHeight="1">
      <c r="B166" s="1" t="str">
        <f>IF(ISBLANK(Tareas!B162)," - ",Tareas!B162)</f>
        <v> - </v>
      </c>
      <c r="D166" s="19" t="str">
        <f t="array" ref="D166">IF(ISBLANK(Tareas!$B162),"-",SUM(
SUMIF(INDIRECT(Equipo!$C$4&amp;"!B10:B1000"),$B166,INDIRECT(Equipo!$C$4&amp;"!"&amp;ADDRESS(10,COLUMN(D$9)-1)&amp;":"&amp;ADDRESS(1000,COLUMN(D$9)-1))),
SUMIF(INDIRECT(Equipo!$D$4&amp;"!B10:B1000"),$B166,INDIRECT(Equipo!$D$4&amp;"!"&amp;ADDRESS(10,COLUMN(D$9)-1)&amp;":"&amp;ADDRESS(1000,COLUMN(D$9)-1))),
SUMIF(INDIRECT(Equipo!$E$4&amp;"!B10:B1000"),$B166,INDIRECT(Equipo!$E$4&amp;"!"&amp;ADDRESS(10,COLUMN(D$9)-1)&amp;":"&amp;ADDRESS(1000,COLUMN(D$9)-1))),
SUMIF(INDIRECT(Equipo!$F$4&amp;"!B10:B1000"),$B166,INDIRECT(Equipo!$F$4&amp;"!"&amp;ADDRESS(10,COLUMN(D$9)-1)&amp;":"&amp;ADDRESS(1000,COLUMN(D$9)-1))),
SUMIF(INDIRECT(Equipo!$G$4&amp;"!B10:B1000"),$B166,INDIRECT(Equipo!$G$4&amp;"!"&amp;ADDRESS(10,COLUMN(D$9)-1)&amp;":"&amp;ADDRESS(1000,COLUMN(D$9)-1)))))</f>
        <v>-</v>
      </c>
      <c r="E166" s="19" t="str">
        <f t="array" ref="E166">IF(ISBLANK(Tareas!$B162),"-",SUM(
SUMIF(INDIRECT(Equipo!$C$4&amp;"!B10:B1000"),$B166,INDIRECT(Equipo!$C$4&amp;"!"&amp;ADDRESS(10,COLUMN(E$9)-1)&amp;":"&amp;ADDRESS(1000,COLUMN(E$9)-1))),
SUMIF(INDIRECT(Equipo!$D$4&amp;"!B10:B1000"),$B166,INDIRECT(Equipo!$D$4&amp;"!"&amp;ADDRESS(10,COLUMN(E$9)-1)&amp;":"&amp;ADDRESS(1000,COLUMN(E$9)-1))),
SUMIF(INDIRECT(Equipo!$E$4&amp;"!B10:B1000"),$B166,INDIRECT(Equipo!$E$4&amp;"!"&amp;ADDRESS(10,COLUMN(E$9)-1)&amp;":"&amp;ADDRESS(1000,COLUMN(E$9)-1))),
SUMIF(INDIRECT(Equipo!$F$4&amp;"!B10:B1000"),$B166,INDIRECT(Equipo!$F$4&amp;"!"&amp;ADDRESS(10,COLUMN(E$9)-1)&amp;":"&amp;ADDRESS(1000,COLUMN(E$9)-1))),
SUMIF(INDIRECT(Equipo!$G$4&amp;"!B10:B1000"),$B166,INDIRECT(Equipo!$G$4&amp;"!"&amp;ADDRESS(10,COLUMN(E$9)-1)&amp;":"&amp;ADDRESS(1000,COLUMN(E$9)-1)))))</f>
        <v>-</v>
      </c>
      <c r="F166" s="19" t="str">
        <f t="array" ref="F166">IF(ISBLANK(Tareas!$B162),"-",SUM(
SUMIF(INDIRECT(Equipo!$C$4&amp;"!B10:B1000"),$B166,INDIRECT(Equipo!$C$4&amp;"!"&amp;ADDRESS(10,COLUMN(F$9)-1)&amp;":"&amp;ADDRESS(1000,COLUMN(F$9)-1))),
SUMIF(INDIRECT(Equipo!$D$4&amp;"!B10:B1000"),$B166,INDIRECT(Equipo!$D$4&amp;"!"&amp;ADDRESS(10,COLUMN(F$9)-1)&amp;":"&amp;ADDRESS(1000,COLUMN(F$9)-1))),
SUMIF(INDIRECT(Equipo!$E$4&amp;"!B10:B1000"),$B166,INDIRECT(Equipo!$E$4&amp;"!"&amp;ADDRESS(10,COLUMN(F$9)-1)&amp;":"&amp;ADDRESS(1000,COLUMN(F$9)-1))),
SUMIF(INDIRECT(Equipo!$F$4&amp;"!B10:B1000"),$B166,INDIRECT(Equipo!$F$4&amp;"!"&amp;ADDRESS(10,COLUMN(F$9)-1)&amp;":"&amp;ADDRESS(1000,COLUMN(F$9)-1))),
SUMIF(INDIRECT(Equipo!$G$4&amp;"!B10:B1000"),$B166,INDIRECT(Equipo!$G$4&amp;"!"&amp;ADDRESS(10,COLUMN(F$9)-1)&amp;":"&amp;ADDRESS(1000,COLUMN(F$9)-1)))))</f>
        <v>-</v>
      </c>
      <c r="G166" s="19" t="str">
        <f t="array" ref="G166">IF(ISBLANK(Tareas!$B162),"-",SUM(
SUMIF(INDIRECT(Equipo!$C$4&amp;"!B10:B1000"),$B166,INDIRECT(Equipo!$C$4&amp;"!"&amp;ADDRESS(10,COLUMN(G$9)-1)&amp;":"&amp;ADDRESS(1000,COLUMN(G$9)-1))),
SUMIF(INDIRECT(Equipo!$D$4&amp;"!B10:B1000"),$B166,INDIRECT(Equipo!$D$4&amp;"!"&amp;ADDRESS(10,COLUMN(G$9)-1)&amp;":"&amp;ADDRESS(1000,COLUMN(G$9)-1))),
SUMIF(INDIRECT(Equipo!$E$4&amp;"!B10:B1000"),$B166,INDIRECT(Equipo!$E$4&amp;"!"&amp;ADDRESS(10,COLUMN(G$9)-1)&amp;":"&amp;ADDRESS(1000,COLUMN(G$9)-1))),
SUMIF(INDIRECT(Equipo!$F$4&amp;"!B10:B1000"),$B166,INDIRECT(Equipo!$F$4&amp;"!"&amp;ADDRESS(10,COLUMN(G$9)-1)&amp;":"&amp;ADDRESS(1000,COLUMN(G$9)-1))),
SUMIF(INDIRECT(Equipo!$G$4&amp;"!B10:B1000"),$B166,INDIRECT(Equipo!$G$4&amp;"!"&amp;ADDRESS(10,COLUMN(G$9)-1)&amp;":"&amp;ADDRESS(1000,COLUMN(G$9)-1)))))</f>
        <v>-</v>
      </c>
      <c r="H166" s="19" t="str">
        <f t="array" ref="H166">IF(ISBLANK(Tareas!$B162),"-",SUM(
SUMIF(INDIRECT(Equipo!$C$4&amp;"!B10:B1000"),$B166,INDIRECT(Equipo!$C$4&amp;"!"&amp;ADDRESS(10,COLUMN(H$9)-1)&amp;":"&amp;ADDRESS(1000,COLUMN(H$9)-1))),
SUMIF(INDIRECT(Equipo!$D$4&amp;"!B10:B1000"),$B166,INDIRECT(Equipo!$D$4&amp;"!"&amp;ADDRESS(10,COLUMN(H$9)-1)&amp;":"&amp;ADDRESS(1000,COLUMN(H$9)-1))),
SUMIF(INDIRECT(Equipo!$E$4&amp;"!B10:B1000"),$B166,INDIRECT(Equipo!$E$4&amp;"!"&amp;ADDRESS(10,COLUMN(H$9)-1)&amp;":"&amp;ADDRESS(1000,COLUMN(H$9)-1))),
SUMIF(INDIRECT(Equipo!$F$4&amp;"!B10:B1000"),$B166,INDIRECT(Equipo!$F$4&amp;"!"&amp;ADDRESS(10,COLUMN(H$9)-1)&amp;":"&amp;ADDRESS(1000,COLUMN(H$9)-1))),
SUMIF(INDIRECT(Equipo!$G$4&amp;"!B10:B1000"),$B166,INDIRECT(Equipo!$G$4&amp;"!"&amp;ADDRESS(10,COLUMN(H$9)-1)&amp;":"&amp;ADDRESS(1000,COLUMN(H$9)-1)))))</f>
        <v>-</v>
      </c>
      <c r="I166" s="19" t="str">
        <f t="array" ref="I166">IF(ISBLANK(Tareas!$B162),"-",SUM(
SUMIF(INDIRECT(Equipo!$C$4&amp;"!B10:B1000"),$B166,INDIRECT(Equipo!$C$4&amp;"!"&amp;ADDRESS(10,COLUMN(I$9)-1)&amp;":"&amp;ADDRESS(1000,COLUMN(I$9)-1))),
SUMIF(INDIRECT(Equipo!$D$4&amp;"!B10:B1000"),$B166,INDIRECT(Equipo!$D$4&amp;"!"&amp;ADDRESS(10,COLUMN(I$9)-1)&amp;":"&amp;ADDRESS(1000,COLUMN(I$9)-1))),
SUMIF(INDIRECT(Equipo!$E$4&amp;"!B10:B1000"),$B166,INDIRECT(Equipo!$E$4&amp;"!"&amp;ADDRESS(10,COLUMN(I$9)-1)&amp;":"&amp;ADDRESS(1000,COLUMN(I$9)-1))),
SUMIF(INDIRECT(Equipo!$F$4&amp;"!B10:B1000"),$B166,INDIRECT(Equipo!$F$4&amp;"!"&amp;ADDRESS(10,COLUMN(I$9)-1)&amp;":"&amp;ADDRESS(1000,COLUMN(I$9)-1))),
SUMIF(INDIRECT(Equipo!$G$4&amp;"!B10:B1000"),$B166,INDIRECT(Equipo!$G$4&amp;"!"&amp;ADDRESS(10,COLUMN(I$9)-1)&amp;":"&amp;ADDRESS(1000,COLUMN(I$9)-1)))))</f>
        <v>-</v>
      </c>
      <c r="J166" s="19" t="str">
        <f t="array" ref="J166">IF(ISBLANK(Tareas!$B162),"-",SUM(
SUMIF(INDIRECT(Equipo!$C$4&amp;"!B10:B1000"),$B166,INDIRECT(Equipo!$C$4&amp;"!"&amp;ADDRESS(10,COLUMN(J$9)-1)&amp;":"&amp;ADDRESS(1000,COLUMN(J$9)-1))),
SUMIF(INDIRECT(Equipo!$D$4&amp;"!B10:B1000"),$B166,INDIRECT(Equipo!$D$4&amp;"!"&amp;ADDRESS(10,COLUMN(J$9)-1)&amp;":"&amp;ADDRESS(1000,COLUMN(J$9)-1))),
SUMIF(INDIRECT(Equipo!$E$4&amp;"!B10:B1000"),$B166,INDIRECT(Equipo!$E$4&amp;"!"&amp;ADDRESS(10,COLUMN(J$9)-1)&amp;":"&amp;ADDRESS(1000,COLUMN(J$9)-1))),
SUMIF(INDIRECT(Equipo!$F$4&amp;"!B10:B1000"),$B166,INDIRECT(Equipo!$F$4&amp;"!"&amp;ADDRESS(10,COLUMN(J$9)-1)&amp;":"&amp;ADDRESS(1000,COLUMN(J$9)-1))),
SUMIF(INDIRECT(Equipo!$G$4&amp;"!B10:B1000"),$B166,INDIRECT(Equipo!$G$4&amp;"!"&amp;ADDRESS(10,COLUMN(J$9)-1)&amp;":"&amp;ADDRESS(1000,COLUMN(J$9)-1)))))</f>
        <v>-</v>
      </c>
      <c r="K166" s="19" t="str">
        <f t="array" ref="K166">IF(ISBLANK(Tareas!$B162),"-",SUM(
SUMIF(INDIRECT(Equipo!$C$4&amp;"!B10:B1000"),$B166,INDIRECT(Equipo!$C$4&amp;"!"&amp;ADDRESS(10,COLUMN(K$9)-1)&amp;":"&amp;ADDRESS(1000,COLUMN(K$9)-1))),
SUMIF(INDIRECT(Equipo!$D$4&amp;"!B10:B1000"),$B166,INDIRECT(Equipo!$D$4&amp;"!"&amp;ADDRESS(10,COLUMN(K$9)-1)&amp;":"&amp;ADDRESS(1000,COLUMN(K$9)-1))),
SUMIF(INDIRECT(Equipo!$E$4&amp;"!B10:B1000"),$B166,INDIRECT(Equipo!$E$4&amp;"!"&amp;ADDRESS(10,COLUMN(K$9)-1)&amp;":"&amp;ADDRESS(1000,COLUMN(K$9)-1))),
SUMIF(INDIRECT(Equipo!$F$4&amp;"!B10:B1000"),$B166,INDIRECT(Equipo!$F$4&amp;"!"&amp;ADDRESS(10,COLUMN(K$9)-1)&amp;":"&amp;ADDRESS(1000,COLUMN(K$9)-1))),
SUMIF(INDIRECT(Equipo!$G$4&amp;"!B10:B1000"),$B166,INDIRECT(Equipo!$G$4&amp;"!"&amp;ADDRESS(10,COLUMN(K$9)-1)&amp;":"&amp;ADDRESS(1000,COLUMN(K$9)-1)))))</f>
        <v>-</v>
      </c>
    </row>
    <row r="167" ht="15.75" customHeight="1">
      <c r="B167" s="1" t="str">
        <f>IF(ISBLANK(Tareas!B163)," - ",Tareas!B163)</f>
        <v> - </v>
      </c>
      <c r="D167" s="19" t="str">
        <f t="array" ref="D167">IF(ISBLANK(Tareas!$B163),"-",SUM(
SUMIF(INDIRECT(Equipo!$C$4&amp;"!B10:B1000"),$B167,INDIRECT(Equipo!$C$4&amp;"!"&amp;ADDRESS(10,COLUMN(D$9)-1)&amp;":"&amp;ADDRESS(1000,COLUMN(D$9)-1))),
SUMIF(INDIRECT(Equipo!$D$4&amp;"!B10:B1000"),$B167,INDIRECT(Equipo!$D$4&amp;"!"&amp;ADDRESS(10,COLUMN(D$9)-1)&amp;":"&amp;ADDRESS(1000,COLUMN(D$9)-1))),
SUMIF(INDIRECT(Equipo!$E$4&amp;"!B10:B1000"),$B167,INDIRECT(Equipo!$E$4&amp;"!"&amp;ADDRESS(10,COLUMN(D$9)-1)&amp;":"&amp;ADDRESS(1000,COLUMN(D$9)-1))),
SUMIF(INDIRECT(Equipo!$F$4&amp;"!B10:B1000"),$B167,INDIRECT(Equipo!$F$4&amp;"!"&amp;ADDRESS(10,COLUMN(D$9)-1)&amp;":"&amp;ADDRESS(1000,COLUMN(D$9)-1))),
SUMIF(INDIRECT(Equipo!$G$4&amp;"!B10:B1000"),$B167,INDIRECT(Equipo!$G$4&amp;"!"&amp;ADDRESS(10,COLUMN(D$9)-1)&amp;":"&amp;ADDRESS(1000,COLUMN(D$9)-1)))))</f>
        <v>-</v>
      </c>
      <c r="E167" s="19" t="str">
        <f t="array" ref="E167">IF(ISBLANK(Tareas!$B163),"-",SUM(
SUMIF(INDIRECT(Equipo!$C$4&amp;"!B10:B1000"),$B167,INDIRECT(Equipo!$C$4&amp;"!"&amp;ADDRESS(10,COLUMN(E$9)-1)&amp;":"&amp;ADDRESS(1000,COLUMN(E$9)-1))),
SUMIF(INDIRECT(Equipo!$D$4&amp;"!B10:B1000"),$B167,INDIRECT(Equipo!$D$4&amp;"!"&amp;ADDRESS(10,COLUMN(E$9)-1)&amp;":"&amp;ADDRESS(1000,COLUMN(E$9)-1))),
SUMIF(INDIRECT(Equipo!$E$4&amp;"!B10:B1000"),$B167,INDIRECT(Equipo!$E$4&amp;"!"&amp;ADDRESS(10,COLUMN(E$9)-1)&amp;":"&amp;ADDRESS(1000,COLUMN(E$9)-1))),
SUMIF(INDIRECT(Equipo!$F$4&amp;"!B10:B1000"),$B167,INDIRECT(Equipo!$F$4&amp;"!"&amp;ADDRESS(10,COLUMN(E$9)-1)&amp;":"&amp;ADDRESS(1000,COLUMN(E$9)-1))),
SUMIF(INDIRECT(Equipo!$G$4&amp;"!B10:B1000"),$B167,INDIRECT(Equipo!$G$4&amp;"!"&amp;ADDRESS(10,COLUMN(E$9)-1)&amp;":"&amp;ADDRESS(1000,COLUMN(E$9)-1)))))</f>
        <v>-</v>
      </c>
      <c r="F167" s="19" t="str">
        <f t="array" ref="F167">IF(ISBLANK(Tareas!$B163),"-",SUM(
SUMIF(INDIRECT(Equipo!$C$4&amp;"!B10:B1000"),$B167,INDIRECT(Equipo!$C$4&amp;"!"&amp;ADDRESS(10,COLUMN(F$9)-1)&amp;":"&amp;ADDRESS(1000,COLUMN(F$9)-1))),
SUMIF(INDIRECT(Equipo!$D$4&amp;"!B10:B1000"),$B167,INDIRECT(Equipo!$D$4&amp;"!"&amp;ADDRESS(10,COLUMN(F$9)-1)&amp;":"&amp;ADDRESS(1000,COLUMN(F$9)-1))),
SUMIF(INDIRECT(Equipo!$E$4&amp;"!B10:B1000"),$B167,INDIRECT(Equipo!$E$4&amp;"!"&amp;ADDRESS(10,COLUMN(F$9)-1)&amp;":"&amp;ADDRESS(1000,COLUMN(F$9)-1))),
SUMIF(INDIRECT(Equipo!$F$4&amp;"!B10:B1000"),$B167,INDIRECT(Equipo!$F$4&amp;"!"&amp;ADDRESS(10,COLUMN(F$9)-1)&amp;":"&amp;ADDRESS(1000,COLUMN(F$9)-1))),
SUMIF(INDIRECT(Equipo!$G$4&amp;"!B10:B1000"),$B167,INDIRECT(Equipo!$G$4&amp;"!"&amp;ADDRESS(10,COLUMN(F$9)-1)&amp;":"&amp;ADDRESS(1000,COLUMN(F$9)-1)))))</f>
        <v>-</v>
      </c>
      <c r="G167" s="19" t="str">
        <f t="array" ref="G167">IF(ISBLANK(Tareas!$B163),"-",SUM(
SUMIF(INDIRECT(Equipo!$C$4&amp;"!B10:B1000"),$B167,INDIRECT(Equipo!$C$4&amp;"!"&amp;ADDRESS(10,COLUMN(G$9)-1)&amp;":"&amp;ADDRESS(1000,COLUMN(G$9)-1))),
SUMIF(INDIRECT(Equipo!$D$4&amp;"!B10:B1000"),$B167,INDIRECT(Equipo!$D$4&amp;"!"&amp;ADDRESS(10,COLUMN(G$9)-1)&amp;":"&amp;ADDRESS(1000,COLUMN(G$9)-1))),
SUMIF(INDIRECT(Equipo!$E$4&amp;"!B10:B1000"),$B167,INDIRECT(Equipo!$E$4&amp;"!"&amp;ADDRESS(10,COLUMN(G$9)-1)&amp;":"&amp;ADDRESS(1000,COLUMN(G$9)-1))),
SUMIF(INDIRECT(Equipo!$F$4&amp;"!B10:B1000"),$B167,INDIRECT(Equipo!$F$4&amp;"!"&amp;ADDRESS(10,COLUMN(G$9)-1)&amp;":"&amp;ADDRESS(1000,COLUMN(G$9)-1))),
SUMIF(INDIRECT(Equipo!$G$4&amp;"!B10:B1000"),$B167,INDIRECT(Equipo!$G$4&amp;"!"&amp;ADDRESS(10,COLUMN(G$9)-1)&amp;":"&amp;ADDRESS(1000,COLUMN(G$9)-1)))))</f>
        <v>-</v>
      </c>
      <c r="H167" s="19" t="str">
        <f t="array" ref="H167">IF(ISBLANK(Tareas!$B163),"-",SUM(
SUMIF(INDIRECT(Equipo!$C$4&amp;"!B10:B1000"),$B167,INDIRECT(Equipo!$C$4&amp;"!"&amp;ADDRESS(10,COLUMN(H$9)-1)&amp;":"&amp;ADDRESS(1000,COLUMN(H$9)-1))),
SUMIF(INDIRECT(Equipo!$D$4&amp;"!B10:B1000"),$B167,INDIRECT(Equipo!$D$4&amp;"!"&amp;ADDRESS(10,COLUMN(H$9)-1)&amp;":"&amp;ADDRESS(1000,COLUMN(H$9)-1))),
SUMIF(INDIRECT(Equipo!$E$4&amp;"!B10:B1000"),$B167,INDIRECT(Equipo!$E$4&amp;"!"&amp;ADDRESS(10,COLUMN(H$9)-1)&amp;":"&amp;ADDRESS(1000,COLUMN(H$9)-1))),
SUMIF(INDIRECT(Equipo!$F$4&amp;"!B10:B1000"),$B167,INDIRECT(Equipo!$F$4&amp;"!"&amp;ADDRESS(10,COLUMN(H$9)-1)&amp;":"&amp;ADDRESS(1000,COLUMN(H$9)-1))),
SUMIF(INDIRECT(Equipo!$G$4&amp;"!B10:B1000"),$B167,INDIRECT(Equipo!$G$4&amp;"!"&amp;ADDRESS(10,COLUMN(H$9)-1)&amp;":"&amp;ADDRESS(1000,COLUMN(H$9)-1)))))</f>
        <v>-</v>
      </c>
      <c r="I167" s="19" t="str">
        <f t="array" ref="I167">IF(ISBLANK(Tareas!$B163),"-",SUM(
SUMIF(INDIRECT(Equipo!$C$4&amp;"!B10:B1000"),$B167,INDIRECT(Equipo!$C$4&amp;"!"&amp;ADDRESS(10,COLUMN(I$9)-1)&amp;":"&amp;ADDRESS(1000,COLUMN(I$9)-1))),
SUMIF(INDIRECT(Equipo!$D$4&amp;"!B10:B1000"),$B167,INDIRECT(Equipo!$D$4&amp;"!"&amp;ADDRESS(10,COLUMN(I$9)-1)&amp;":"&amp;ADDRESS(1000,COLUMN(I$9)-1))),
SUMIF(INDIRECT(Equipo!$E$4&amp;"!B10:B1000"),$B167,INDIRECT(Equipo!$E$4&amp;"!"&amp;ADDRESS(10,COLUMN(I$9)-1)&amp;":"&amp;ADDRESS(1000,COLUMN(I$9)-1))),
SUMIF(INDIRECT(Equipo!$F$4&amp;"!B10:B1000"),$B167,INDIRECT(Equipo!$F$4&amp;"!"&amp;ADDRESS(10,COLUMN(I$9)-1)&amp;":"&amp;ADDRESS(1000,COLUMN(I$9)-1))),
SUMIF(INDIRECT(Equipo!$G$4&amp;"!B10:B1000"),$B167,INDIRECT(Equipo!$G$4&amp;"!"&amp;ADDRESS(10,COLUMN(I$9)-1)&amp;":"&amp;ADDRESS(1000,COLUMN(I$9)-1)))))</f>
        <v>-</v>
      </c>
      <c r="J167" s="19" t="str">
        <f t="array" ref="J167">IF(ISBLANK(Tareas!$B163),"-",SUM(
SUMIF(INDIRECT(Equipo!$C$4&amp;"!B10:B1000"),$B167,INDIRECT(Equipo!$C$4&amp;"!"&amp;ADDRESS(10,COLUMN(J$9)-1)&amp;":"&amp;ADDRESS(1000,COLUMN(J$9)-1))),
SUMIF(INDIRECT(Equipo!$D$4&amp;"!B10:B1000"),$B167,INDIRECT(Equipo!$D$4&amp;"!"&amp;ADDRESS(10,COLUMN(J$9)-1)&amp;":"&amp;ADDRESS(1000,COLUMN(J$9)-1))),
SUMIF(INDIRECT(Equipo!$E$4&amp;"!B10:B1000"),$B167,INDIRECT(Equipo!$E$4&amp;"!"&amp;ADDRESS(10,COLUMN(J$9)-1)&amp;":"&amp;ADDRESS(1000,COLUMN(J$9)-1))),
SUMIF(INDIRECT(Equipo!$F$4&amp;"!B10:B1000"),$B167,INDIRECT(Equipo!$F$4&amp;"!"&amp;ADDRESS(10,COLUMN(J$9)-1)&amp;":"&amp;ADDRESS(1000,COLUMN(J$9)-1))),
SUMIF(INDIRECT(Equipo!$G$4&amp;"!B10:B1000"),$B167,INDIRECT(Equipo!$G$4&amp;"!"&amp;ADDRESS(10,COLUMN(J$9)-1)&amp;":"&amp;ADDRESS(1000,COLUMN(J$9)-1)))))</f>
        <v>-</v>
      </c>
      <c r="K167" s="19" t="str">
        <f t="array" ref="K167">IF(ISBLANK(Tareas!$B163),"-",SUM(
SUMIF(INDIRECT(Equipo!$C$4&amp;"!B10:B1000"),$B167,INDIRECT(Equipo!$C$4&amp;"!"&amp;ADDRESS(10,COLUMN(K$9)-1)&amp;":"&amp;ADDRESS(1000,COLUMN(K$9)-1))),
SUMIF(INDIRECT(Equipo!$D$4&amp;"!B10:B1000"),$B167,INDIRECT(Equipo!$D$4&amp;"!"&amp;ADDRESS(10,COLUMN(K$9)-1)&amp;":"&amp;ADDRESS(1000,COLUMN(K$9)-1))),
SUMIF(INDIRECT(Equipo!$E$4&amp;"!B10:B1000"),$B167,INDIRECT(Equipo!$E$4&amp;"!"&amp;ADDRESS(10,COLUMN(K$9)-1)&amp;":"&amp;ADDRESS(1000,COLUMN(K$9)-1))),
SUMIF(INDIRECT(Equipo!$F$4&amp;"!B10:B1000"),$B167,INDIRECT(Equipo!$F$4&amp;"!"&amp;ADDRESS(10,COLUMN(K$9)-1)&amp;":"&amp;ADDRESS(1000,COLUMN(K$9)-1))),
SUMIF(INDIRECT(Equipo!$G$4&amp;"!B10:B1000"),$B167,INDIRECT(Equipo!$G$4&amp;"!"&amp;ADDRESS(10,COLUMN(K$9)-1)&amp;":"&amp;ADDRESS(1000,COLUMN(K$9)-1)))))</f>
        <v>-</v>
      </c>
    </row>
    <row r="168" ht="15.75" customHeight="1">
      <c r="B168" s="1" t="str">
        <f>IF(ISBLANK(Tareas!B164)," - ",Tareas!B164)</f>
        <v> - </v>
      </c>
      <c r="D168" s="19" t="str">
        <f t="array" ref="D168">IF(ISBLANK(Tareas!$B164),"-",SUM(
SUMIF(INDIRECT(Equipo!$C$4&amp;"!B10:B1000"),$B168,INDIRECT(Equipo!$C$4&amp;"!"&amp;ADDRESS(10,COLUMN(D$9)-1)&amp;":"&amp;ADDRESS(1000,COLUMN(D$9)-1))),
SUMIF(INDIRECT(Equipo!$D$4&amp;"!B10:B1000"),$B168,INDIRECT(Equipo!$D$4&amp;"!"&amp;ADDRESS(10,COLUMN(D$9)-1)&amp;":"&amp;ADDRESS(1000,COLUMN(D$9)-1))),
SUMIF(INDIRECT(Equipo!$E$4&amp;"!B10:B1000"),$B168,INDIRECT(Equipo!$E$4&amp;"!"&amp;ADDRESS(10,COLUMN(D$9)-1)&amp;":"&amp;ADDRESS(1000,COLUMN(D$9)-1))),
SUMIF(INDIRECT(Equipo!$F$4&amp;"!B10:B1000"),$B168,INDIRECT(Equipo!$F$4&amp;"!"&amp;ADDRESS(10,COLUMN(D$9)-1)&amp;":"&amp;ADDRESS(1000,COLUMN(D$9)-1))),
SUMIF(INDIRECT(Equipo!$G$4&amp;"!B10:B1000"),$B168,INDIRECT(Equipo!$G$4&amp;"!"&amp;ADDRESS(10,COLUMN(D$9)-1)&amp;":"&amp;ADDRESS(1000,COLUMN(D$9)-1)))))</f>
        <v>-</v>
      </c>
      <c r="E168" s="19" t="str">
        <f t="array" ref="E168">IF(ISBLANK(Tareas!$B164),"-",SUM(
SUMIF(INDIRECT(Equipo!$C$4&amp;"!B10:B1000"),$B168,INDIRECT(Equipo!$C$4&amp;"!"&amp;ADDRESS(10,COLUMN(E$9)-1)&amp;":"&amp;ADDRESS(1000,COLUMN(E$9)-1))),
SUMIF(INDIRECT(Equipo!$D$4&amp;"!B10:B1000"),$B168,INDIRECT(Equipo!$D$4&amp;"!"&amp;ADDRESS(10,COLUMN(E$9)-1)&amp;":"&amp;ADDRESS(1000,COLUMN(E$9)-1))),
SUMIF(INDIRECT(Equipo!$E$4&amp;"!B10:B1000"),$B168,INDIRECT(Equipo!$E$4&amp;"!"&amp;ADDRESS(10,COLUMN(E$9)-1)&amp;":"&amp;ADDRESS(1000,COLUMN(E$9)-1))),
SUMIF(INDIRECT(Equipo!$F$4&amp;"!B10:B1000"),$B168,INDIRECT(Equipo!$F$4&amp;"!"&amp;ADDRESS(10,COLUMN(E$9)-1)&amp;":"&amp;ADDRESS(1000,COLUMN(E$9)-1))),
SUMIF(INDIRECT(Equipo!$G$4&amp;"!B10:B1000"),$B168,INDIRECT(Equipo!$G$4&amp;"!"&amp;ADDRESS(10,COLUMN(E$9)-1)&amp;":"&amp;ADDRESS(1000,COLUMN(E$9)-1)))))</f>
        <v>-</v>
      </c>
      <c r="F168" s="19" t="str">
        <f t="array" ref="F168">IF(ISBLANK(Tareas!$B164),"-",SUM(
SUMIF(INDIRECT(Equipo!$C$4&amp;"!B10:B1000"),$B168,INDIRECT(Equipo!$C$4&amp;"!"&amp;ADDRESS(10,COLUMN(F$9)-1)&amp;":"&amp;ADDRESS(1000,COLUMN(F$9)-1))),
SUMIF(INDIRECT(Equipo!$D$4&amp;"!B10:B1000"),$B168,INDIRECT(Equipo!$D$4&amp;"!"&amp;ADDRESS(10,COLUMN(F$9)-1)&amp;":"&amp;ADDRESS(1000,COLUMN(F$9)-1))),
SUMIF(INDIRECT(Equipo!$E$4&amp;"!B10:B1000"),$B168,INDIRECT(Equipo!$E$4&amp;"!"&amp;ADDRESS(10,COLUMN(F$9)-1)&amp;":"&amp;ADDRESS(1000,COLUMN(F$9)-1))),
SUMIF(INDIRECT(Equipo!$F$4&amp;"!B10:B1000"),$B168,INDIRECT(Equipo!$F$4&amp;"!"&amp;ADDRESS(10,COLUMN(F$9)-1)&amp;":"&amp;ADDRESS(1000,COLUMN(F$9)-1))),
SUMIF(INDIRECT(Equipo!$G$4&amp;"!B10:B1000"),$B168,INDIRECT(Equipo!$G$4&amp;"!"&amp;ADDRESS(10,COLUMN(F$9)-1)&amp;":"&amp;ADDRESS(1000,COLUMN(F$9)-1)))))</f>
        <v>-</v>
      </c>
      <c r="G168" s="19" t="str">
        <f t="array" ref="G168">IF(ISBLANK(Tareas!$B164),"-",SUM(
SUMIF(INDIRECT(Equipo!$C$4&amp;"!B10:B1000"),$B168,INDIRECT(Equipo!$C$4&amp;"!"&amp;ADDRESS(10,COLUMN(G$9)-1)&amp;":"&amp;ADDRESS(1000,COLUMN(G$9)-1))),
SUMIF(INDIRECT(Equipo!$D$4&amp;"!B10:B1000"),$B168,INDIRECT(Equipo!$D$4&amp;"!"&amp;ADDRESS(10,COLUMN(G$9)-1)&amp;":"&amp;ADDRESS(1000,COLUMN(G$9)-1))),
SUMIF(INDIRECT(Equipo!$E$4&amp;"!B10:B1000"),$B168,INDIRECT(Equipo!$E$4&amp;"!"&amp;ADDRESS(10,COLUMN(G$9)-1)&amp;":"&amp;ADDRESS(1000,COLUMN(G$9)-1))),
SUMIF(INDIRECT(Equipo!$F$4&amp;"!B10:B1000"),$B168,INDIRECT(Equipo!$F$4&amp;"!"&amp;ADDRESS(10,COLUMN(G$9)-1)&amp;":"&amp;ADDRESS(1000,COLUMN(G$9)-1))),
SUMIF(INDIRECT(Equipo!$G$4&amp;"!B10:B1000"),$B168,INDIRECT(Equipo!$G$4&amp;"!"&amp;ADDRESS(10,COLUMN(G$9)-1)&amp;":"&amp;ADDRESS(1000,COLUMN(G$9)-1)))))</f>
        <v>-</v>
      </c>
      <c r="H168" s="19" t="str">
        <f t="array" ref="H168">IF(ISBLANK(Tareas!$B164),"-",SUM(
SUMIF(INDIRECT(Equipo!$C$4&amp;"!B10:B1000"),$B168,INDIRECT(Equipo!$C$4&amp;"!"&amp;ADDRESS(10,COLUMN(H$9)-1)&amp;":"&amp;ADDRESS(1000,COLUMN(H$9)-1))),
SUMIF(INDIRECT(Equipo!$D$4&amp;"!B10:B1000"),$B168,INDIRECT(Equipo!$D$4&amp;"!"&amp;ADDRESS(10,COLUMN(H$9)-1)&amp;":"&amp;ADDRESS(1000,COLUMN(H$9)-1))),
SUMIF(INDIRECT(Equipo!$E$4&amp;"!B10:B1000"),$B168,INDIRECT(Equipo!$E$4&amp;"!"&amp;ADDRESS(10,COLUMN(H$9)-1)&amp;":"&amp;ADDRESS(1000,COLUMN(H$9)-1))),
SUMIF(INDIRECT(Equipo!$F$4&amp;"!B10:B1000"),$B168,INDIRECT(Equipo!$F$4&amp;"!"&amp;ADDRESS(10,COLUMN(H$9)-1)&amp;":"&amp;ADDRESS(1000,COLUMN(H$9)-1))),
SUMIF(INDIRECT(Equipo!$G$4&amp;"!B10:B1000"),$B168,INDIRECT(Equipo!$G$4&amp;"!"&amp;ADDRESS(10,COLUMN(H$9)-1)&amp;":"&amp;ADDRESS(1000,COLUMN(H$9)-1)))))</f>
        <v>-</v>
      </c>
      <c r="I168" s="19" t="str">
        <f t="array" ref="I168">IF(ISBLANK(Tareas!$B164),"-",SUM(
SUMIF(INDIRECT(Equipo!$C$4&amp;"!B10:B1000"),$B168,INDIRECT(Equipo!$C$4&amp;"!"&amp;ADDRESS(10,COLUMN(I$9)-1)&amp;":"&amp;ADDRESS(1000,COLUMN(I$9)-1))),
SUMIF(INDIRECT(Equipo!$D$4&amp;"!B10:B1000"),$B168,INDIRECT(Equipo!$D$4&amp;"!"&amp;ADDRESS(10,COLUMN(I$9)-1)&amp;":"&amp;ADDRESS(1000,COLUMN(I$9)-1))),
SUMIF(INDIRECT(Equipo!$E$4&amp;"!B10:B1000"),$B168,INDIRECT(Equipo!$E$4&amp;"!"&amp;ADDRESS(10,COLUMN(I$9)-1)&amp;":"&amp;ADDRESS(1000,COLUMN(I$9)-1))),
SUMIF(INDIRECT(Equipo!$F$4&amp;"!B10:B1000"),$B168,INDIRECT(Equipo!$F$4&amp;"!"&amp;ADDRESS(10,COLUMN(I$9)-1)&amp;":"&amp;ADDRESS(1000,COLUMN(I$9)-1))),
SUMIF(INDIRECT(Equipo!$G$4&amp;"!B10:B1000"),$B168,INDIRECT(Equipo!$G$4&amp;"!"&amp;ADDRESS(10,COLUMN(I$9)-1)&amp;":"&amp;ADDRESS(1000,COLUMN(I$9)-1)))))</f>
        <v>-</v>
      </c>
      <c r="J168" s="19" t="str">
        <f t="array" ref="J168">IF(ISBLANK(Tareas!$B164),"-",SUM(
SUMIF(INDIRECT(Equipo!$C$4&amp;"!B10:B1000"),$B168,INDIRECT(Equipo!$C$4&amp;"!"&amp;ADDRESS(10,COLUMN(J$9)-1)&amp;":"&amp;ADDRESS(1000,COLUMN(J$9)-1))),
SUMIF(INDIRECT(Equipo!$D$4&amp;"!B10:B1000"),$B168,INDIRECT(Equipo!$D$4&amp;"!"&amp;ADDRESS(10,COLUMN(J$9)-1)&amp;":"&amp;ADDRESS(1000,COLUMN(J$9)-1))),
SUMIF(INDIRECT(Equipo!$E$4&amp;"!B10:B1000"),$B168,INDIRECT(Equipo!$E$4&amp;"!"&amp;ADDRESS(10,COLUMN(J$9)-1)&amp;":"&amp;ADDRESS(1000,COLUMN(J$9)-1))),
SUMIF(INDIRECT(Equipo!$F$4&amp;"!B10:B1000"),$B168,INDIRECT(Equipo!$F$4&amp;"!"&amp;ADDRESS(10,COLUMN(J$9)-1)&amp;":"&amp;ADDRESS(1000,COLUMN(J$9)-1))),
SUMIF(INDIRECT(Equipo!$G$4&amp;"!B10:B1000"),$B168,INDIRECT(Equipo!$G$4&amp;"!"&amp;ADDRESS(10,COLUMN(J$9)-1)&amp;":"&amp;ADDRESS(1000,COLUMN(J$9)-1)))))</f>
        <v>-</v>
      </c>
      <c r="K168" s="19" t="str">
        <f t="array" ref="K168">IF(ISBLANK(Tareas!$B164),"-",SUM(
SUMIF(INDIRECT(Equipo!$C$4&amp;"!B10:B1000"),$B168,INDIRECT(Equipo!$C$4&amp;"!"&amp;ADDRESS(10,COLUMN(K$9)-1)&amp;":"&amp;ADDRESS(1000,COLUMN(K$9)-1))),
SUMIF(INDIRECT(Equipo!$D$4&amp;"!B10:B1000"),$B168,INDIRECT(Equipo!$D$4&amp;"!"&amp;ADDRESS(10,COLUMN(K$9)-1)&amp;":"&amp;ADDRESS(1000,COLUMN(K$9)-1))),
SUMIF(INDIRECT(Equipo!$E$4&amp;"!B10:B1000"),$B168,INDIRECT(Equipo!$E$4&amp;"!"&amp;ADDRESS(10,COLUMN(K$9)-1)&amp;":"&amp;ADDRESS(1000,COLUMN(K$9)-1))),
SUMIF(INDIRECT(Equipo!$F$4&amp;"!B10:B1000"),$B168,INDIRECT(Equipo!$F$4&amp;"!"&amp;ADDRESS(10,COLUMN(K$9)-1)&amp;":"&amp;ADDRESS(1000,COLUMN(K$9)-1))),
SUMIF(INDIRECT(Equipo!$G$4&amp;"!B10:B1000"),$B168,INDIRECT(Equipo!$G$4&amp;"!"&amp;ADDRESS(10,COLUMN(K$9)-1)&amp;":"&amp;ADDRESS(1000,COLUMN(K$9)-1)))))</f>
        <v>-</v>
      </c>
    </row>
    <row r="169" ht="15.75" customHeight="1">
      <c r="B169" s="1" t="str">
        <f>IF(ISBLANK(Tareas!B165)," - ",Tareas!B165)</f>
        <v> - </v>
      </c>
      <c r="D169" s="19" t="str">
        <f t="array" ref="D169">IF(ISBLANK(Tareas!$B165),"-",SUM(
SUMIF(INDIRECT(Equipo!$C$4&amp;"!B10:B1000"),$B169,INDIRECT(Equipo!$C$4&amp;"!"&amp;ADDRESS(10,COLUMN(D$9)-1)&amp;":"&amp;ADDRESS(1000,COLUMN(D$9)-1))),
SUMIF(INDIRECT(Equipo!$D$4&amp;"!B10:B1000"),$B169,INDIRECT(Equipo!$D$4&amp;"!"&amp;ADDRESS(10,COLUMN(D$9)-1)&amp;":"&amp;ADDRESS(1000,COLUMN(D$9)-1))),
SUMIF(INDIRECT(Equipo!$E$4&amp;"!B10:B1000"),$B169,INDIRECT(Equipo!$E$4&amp;"!"&amp;ADDRESS(10,COLUMN(D$9)-1)&amp;":"&amp;ADDRESS(1000,COLUMN(D$9)-1))),
SUMIF(INDIRECT(Equipo!$F$4&amp;"!B10:B1000"),$B169,INDIRECT(Equipo!$F$4&amp;"!"&amp;ADDRESS(10,COLUMN(D$9)-1)&amp;":"&amp;ADDRESS(1000,COLUMN(D$9)-1))),
SUMIF(INDIRECT(Equipo!$G$4&amp;"!B10:B1000"),$B169,INDIRECT(Equipo!$G$4&amp;"!"&amp;ADDRESS(10,COLUMN(D$9)-1)&amp;":"&amp;ADDRESS(1000,COLUMN(D$9)-1)))))</f>
        <v>-</v>
      </c>
      <c r="E169" s="19" t="str">
        <f t="array" ref="E169">IF(ISBLANK(Tareas!$B165),"-",SUM(
SUMIF(INDIRECT(Equipo!$C$4&amp;"!B10:B1000"),$B169,INDIRECT(Equipo!$C$4&amp;"!"&amp;ADDRESS(10,COLUMN(E$9)-1)&amp;":"&amp;ADDRESS(1000,COLUMN(E$9)-1))),
SUMIF(INDIRECT(Equipo!$D$4&amp;"!B10:B1000"),$B169,INDIRECT(Equipo!$D$4&amp;"!"&amp;ADDRESS(10,COLUMN(E$9)-1)&amp;":"&amp;ADDRESS(1000,COLUMN(E$9)-1))),
SUMIF(INDIRECT(Equipo!$E$4&amp;"!B10:B1000"),$B169,INDIRECT(Equipo!$E$4&amp;"!"&amp;ADDRESS(10,COLUMN(E$9)-1)&amp;":"&amp;ADDRESS(1000,COLUMN(E$9)-1))),
SUMIF(INDIRECT(Equipo!$F$4&amp;"!B10:B1000"),$B169,INDIRECT(Equipo!$F$4&amp;"!"&amp;ADDRESS(10,COLUMN(E$9)-1)&amp;":"&amp;ADDRESS(1000,COLUMN(E$9)-1))),
SUMIF(INDIRECT(Equipo!$G$4&amp;"!B10:B1000"),$B169,INDIRECT(Equipo!$G$4&amp;"!"&amp;ADDRESS(10,COLUMN(E$9)-1)&amp;":"&amp;ADDRESS(1000,COLUMN(E$9)-1)))))</f>
        <v>-</v>
      </c>
      <c r="F169" s="19" t="str">
        <f t="array" ref="F169">IF(ISBLANK(Tareas!$B165),"-",SUM(
SUMIF(INDIRECT(Equipo!$C$4&amp;"!B10:B1000"),$B169,INDIRECT(Equipo!$C$4&amp;"!"&amp;ADDRESS(10,COLUMN(F$9)-1)&amp;":"&amp;ADDRESS(1000,COLUMN(F$9)-1))),
SUMIF(INDIRECT(Equipo!$D$4&amp;"!B10:B1000"),$B169,INDIRECT(Equipo!$D$4&amp;"!"&amp;ADDRESS(10,COLUMN(F$9)-1)&amp;":"&amp;ADDRESS(1000,COLUMN(F$9)-1))),
SUMIF(INDIRECT(Equipo!$E$4&amp;"!B10:B1000"),$B169,INDIRECT(Equipo!$E$4&amp;"!"&amp;ADDRESS(10,COLUMN(F$9)-1)&amp;":"&amp;ADDRESS(1000,COLUMN(F$9)-1))),
SUMIF(INDIRECT(Equipo!$F$4&amp;"!B10:B1000"),$B169,INDIRECT(Equipo!$F$4&amp;"!"&amp;ADDRESS(10,COLUMN(F$9)-1)&amp;":"&amp;ADDRESS(1000,COLUMN(F$9)-1))),
SUMIF(INDIRECT(Equipo!$G$4&amp;"!B10:B1000"),$B169,INDIRECT(Equipo!$G$4&amp;"!"&amp;ADDRESS(10,COLUMN(F$9)-1)&amp;":"&amp;ADDRESS(1000,COLUMN(F$9)-1)))))</f>
        <v>-</v>
      </c>
      <c r="G169" s="19" t="str">
        <f t="array" ref="G169">IF(ISBLANK(Tareas!$B165),"-",SUM(
SUMIF(INDIRECT(Equipo!$C$4&amp;"!B10:B1000"),$B169,INDIRECT(Equipo!$C$4&amp;"!"&amp;ADDRESS(10,COLUMN(G$9)-1)&amp;":"&amp;ADDRESS(1000,COLUMN(G$9)-1))),
SUMIF(INDIRECT(Equipo!$D$4&amp;"!B10:B1000"),$B169,INDIRECT(Equipo!$D$4&amp;"!"&amp;ADDRESS(10,COLUMN(G$9)-1)&amp;":"&amp;ADDRESS(1000,COLUMN(G$9)-1))),
SUMIF(INDIRECT(Equipo!$E$4&amp;"!B10:B1000"),$B169,INDIRECT(Equipo!$E$4&amp;"!"&amp;ADDRESS(10,COLUMN(G$9)-1)&amp;":"&amp;ADDRESS(1000,COLUMN(G$9)-1))),
SUMIF(INDIRECT(Equipo!$F$4&amp;"!B10:B1000"),$B169,INDIRECT(Equipo!$F$4&amp;"!"&amp;ADDRESS(10,COLUMN(G$9)-1)&amp;":"&amp;ADDRESS(1000,COLUMN(G$9)-1))),
SUMIF(INDIRECT(Equipo!$G$4&amp;"!B10:B1000"),$B169,INDIRECT(Equipo!$G$4&amp;"!"&amp;ADDRESS(10,COLUMN(G$9)-1)&amp;":"&amp;ADDRESS(1000,COLUMN(G$9)-1)))))</f>
        <v>-</v>
      </c>
      <c r="H169" s="19" t="str">
        <f t="array" ref="H169">IF(ISBLANK(Tareas!$B165),"-",SUM(
SUMIF(INDIRECT(Equipo!$C$4&amp;"!B10:B1000"),$B169,INDIRECT(Equipo!$C$4&amp;"!"&amp;ADDRESS(10,COLUMN(H$9)-1)&amp;":"&amp;ADDRESS(1000,COLUMN(H$9)-1))),
SUMIF(INDIRECT(Equipo!$D$4&amp;"!B10:B1000"),$B169,INDIRECT(Equipo!$D$4&amp;"!"&amp;ADDRESS(10,COLUMN(H$9)-1)&amp;":"&amp;ADDRESS(1000,COLUMN(H$9)-1))),
SUMIF(INDIRECT(Equipo!$E$4&amp;"!B10:B1000"),$B169,INDIRECT(Equipo!$E$4&amp;"!"&amp;ADDRESS(10,COLUMN(H$9)-1)&amp;":"&amp;ADDRESS(1000,COLUMN(H$9)-1))),
SUMIF(INDIRECT(Equipo!$F$4&amp;"!B10:B1000"),$B169,INDIRECT(Equipo!$F$4&amp;"!"&amp;ADDRESS(10,COLUMN(H$9)-1)&amp;":"&amp;ADDRESS(1000,COLUMN(H$9)-1))),
SUMIF(INDIRECT(Equipo!$G$4&amp;"!B10:B1000"),$B169,INDIRECT(Equipo!$G$4&amp;"!"&amp;ADDRESS(10,COLUMN(H$9)-1)&amp;":"&amp;ADDRESS(1000,COLUMN(H$9)-1)))))</f>
        <v>-</v>
      </c>
      <c r="I169" s="19" t="str">
        <f t="array" ref="I169">IF(ISBLANK(Tareas!$B165),"-",SUM(
SUMIF(INDIRECT(Equipo!$C$4&amp;"!B10:B1000"),$B169,INDIRECT(Equipo!$C$4&amp;"!"&amp;ADDRESS(10,COLUMN(I$9)-1)&amp;":"&amp;ADDRESS(1000,COLUMN(I$9)-1))),
SUMIF(INDIRECT(Equipo!$D$4&amp;"!B10:B1000"),$B169,INDIRECT(Equipo!$D$4&amp;"!"&amp;ADDRESS(10,COLUMN(I$9)-1)&amp;":"&amp;ADDRESS(1000,COLUMN(I$9)-1))),
SUMIF(INDIRECT(Equipo!$E$4&amp;"!B10:B1000"),$B169,INDIRECT(Equipo!$E$4&amp;"!"&amp;ADDRESS(10,COLUMN(I$9)-1)&amp;":"&amp;ADDRESS(1000,COLUMN(I$9)-1))),
SUMIF(INDIRECT(Equipo!$F$4&amp;"!B10:B1000"),$B169,INDIRECT(Equipo!$F$4&amp;"!"&amp;ADDRESS(10,COLUMN(I$9)-1)&amp;":"&amp;ADDRESS(1000,COLUMN(I$9)-1))),
SUMIF(INDIRECT(Equipo!$G$4&amp;"!B10:B1000"),$B169,INDIRECT(Equipo!$G$4&amp;"!"&amp;ADDRESS(10,COLUMN(I$9)-1)&amp;":"&amp;ADDRESS(1000,COLUMN(I$9)-1)))))</f>
        <v>-</v>
      </c>
      <c r="J169" s="19" t="str">
        <f t="array" ref="J169">IF(ISBLANK(Tareas!$B165),"-",SUM(
SUMIF(INDIRECT(Equipo!$C$4&amp;"!B10:B1000"),$B169,INDIRECT(Equipo!$C$4&amp;"!"&amp;ADDRESS(10,COLUMN(J$9)-1)&amp;":"&amp;ADDRESS(1000,COLUMN(J$9)-1))),
SUMIF(INDIRECT(Equipo!$D$4&amp;"!B10:B1000"),$B169,INDIRECT(Equipo!$D$4&amp;"!"&amp;ADDRESS(10,COLUMN(J$9)-1)&amp;":"&amp;ADDRESS(1000,COLUMN(J$9)-1))),
SUMIF(INDIRECT(Equipo!$E$4&amp;"!B10:B1000"),$B169,INDIRECT(Equipo!$E$4&amp;"!"&amp;ADDRESS(10,COLUMN(J$9)-1)&amp;":"&amp;ADDRESS(1000,COLUMN(J$9)-1))),
SUMIF(INDIRECT(Equipo!$F$4&amp;"!B10:B1000"),$B169,INDIRECT(Equipo!$F$4&amp;"!"&amp;ADDRESS(10,COLUMN(J$9)-1)&amp;":"&amp;ADDRESS(1000,COLUMN(J$9)-1))),
SUMIF(INDIRECT(Equipo!$G$4&amp;"!B10:B1000"),$B169,INDIRECT(Equipo!$G$4&amp;"!"&amp;ADDRESS(10,COLUMN(J$9)-1)&amp;":"&amp;ADDRESS(1000,COLUMN(J$9)-1)))))</f>
        <v>-</v>
      </c>
      <c r="K169" s="19" t="str">
        <f t="array" ref="K169">IF(ISBLANK(Tareas!$B165),"-",SUM(
SUMIF(INDIRECT(Equipo!$C$4&amp;"!B10:B1000"),$B169,INDIRECT(Equipo!$C$4&amp;"!"&amp;ADDRESS(10,COLUMN(K$9)-1)&amp;":"&amp;ADDRESS(1000,COLUMN(K$9)-1))),
SUMIF(INDIRECT(Equipo!$D$4&amp;"!B10:B1000"),$B169,INDIRECT(Equipo!$D$4&amp;"!"&amp;ADDRESS(10,COLUMN(K$9)-1)&amp;":"&amp;ADDRESS(1000,COLUMN(K$9)-1))),
SUMIF(INDIRECT(Equipo!$E$4&amp;"!B10:B1000"),$B169,INDIRECT(Equipo!$E$4&amp;"!"&amp;ADDRESS(10,COLUMN(K$9)-1)&amp;":"&amp;ADDRESS(1000,COLUMN(K$9)-1))),
SUMIF(INDIRECT(Equipo!$F$4&amp;"!B10:B1000"),$B169,INDIRECT(Equipo!$F$4&amp;"!"&amp;ADDRESS(10,COLUMN(K$9)-1)&amp;":"&amp;ADDRESS(1000,COLUMN(K$9)-1))),
SUMIF(INDIRECT(Equipo!$G$4&amp;"!B10:B1000"),$B169,INDIRECT(Equipo!$G$4&amp;"!"&amp;ADDRESS(10,COLUMN(K$9)-1)&amp;":"&amp;ADDRESS(1000,COLUMN(K$9)-1)))))</f>
        <v>-</v>
      </c>
    </row>
    <row r="170" ht="15.75" customHeight="1">
      <c r="B170" s="1" t="str">
        <f>IF(ISBLANK(Tareas!B166)," - ",Tareas!B166)</f>
        <v> - </v>
      </c>
      <c r="D170" s="19" t="str">
        <f t="array" ref="D170">IF(ISBLANK(Tareas!$B166),"-",SUM(
SUMIF(INDIRECT(Equipo!$C$4&amp;"!B10:B1000"),$B170,INDIRECT(Equipo!$C$4&amp;"!"&amp;ADDRESS(10,COLUMN(D$9)-1)&amp;":"&amp;ADDRESS(1000,COLUMN(D$9)-1))),
SUMIF(INDIRECT(Equipo!$D$4&amp;"!B10:B1000"),$B170,INDIRECT(Equipo!$D$4&amp;"!"&amp;ADDRESS(10,COLUMN(D$9)-1)&amp;":"&amp;ADDRESS(1000,COLUMN(D$9)-1))),
SUMIF(INDIRECT(Equipo!$E$4&amp;"!B10:B1000"),$B170,INDIRECT(Equipo!$E$4&amp;"!"&amp;ADDRESS(10,COLUMN(D$9)-1)&amp;":"&amp;ADDRESS(1000,COLUMN(D$9)-1))),
SUMIF(INDIRECT(Equipo!$F$4&amp;"!B10:B1000"),$B170,INDIRECT(Equipo!$F$4&amp;"!"&amp;ADDRESS(10,COLUMN(D$9)-1)&amp;":"&amp;ADDRESS(1000,COLUMN(D$9)-1))),
SUMIF(INDIRECT(Equipo!$G$4&amp;"!B10:B1000"),$B170,INDIRECT(Equipo!$G$4&amp;"!"&amp;ADDRESS(10,COLUMN(D$9)-1)&amp;":"&amp;ADDRESS(1000,COLUMN(D$9)-1)))))</f>
        <v>-</v>
      </c>
      <c r="E170" s="19" t="str">
        <f t="array" ref="E170">IF(ISBLANK(Tareas!$B166),"-",SUM(
SUMIF(INDIRECT(Equipo!$C$4&amp;"!B10:B1000"),$B170,INDIRECT(Equipo!$C$4&amp;"!"&amp;ADDRESS(10,COLUMN(E$9)-1)&amp;":"&amp;ADDRESS(1000,COLUMN(E$9)-1))),
SUMIF(INDIRECT(Equipo!$D$4&amp;"!B10:B1000"),$B170,INDIRECT(Equipo!$D$4&amp;"!"&amp;ADDRESS(10,COLUMN(E$9)-1)&amp;":"&amp;ADDRESS(1000,COLUMN(E$9)-1))),
SUMIF(INDIRECT(Equipo!$E$4&amp;"!B10:B1000"),$B170,INDIRECT(Equipo!$E$4&amp;"!"&amp;ADDRESS(10,COLUMN(E$9)-1)&amp;":"&amp;ADDRESS(1000,COLUMN(E$9)-1))),
SUMIF(INDIRECT(Equipo!$F$4&amp;"!B10:B1000"),$B170,INDIRECT(Equipo!$F$4&amp;"!"&amp;ADDRESS(10,COLUMN(E$9)-1)&amp;":"&amp;ADDRESS(1000,COLUMN(E$9)-1))),
SUMIF(INDIRECT(Equipo!$G$4&amp;"!B10:B1000"),$B170,INDIRECT(Equipo!$G$4&amp;"!"&amp;ADDRESS(10,COLUMN(E$9)-1)&amp;":"&amp;ADDRESS(1000,COLUMN(E$9)-1)))))</f>
        <v>-</v>
      </c>
      <c r="F170" s="19" t="str">
        <f t="array" ref="F170">IF(ISBLANK(Tareas!$B166),"-",SUM(
SUMIF(INDIRECT(Equipo!$C$4&amp;"!B10:B1000"),$B170,INDIRECT(Equipo!$C$4&amp;"!"&amp;ADDRESS(10,COLUMN(F$9)-1)&amp;":"&amp;ADDRESS(1000,COLUMN(F$9)-1))),
SUMIF(INDIRECT(Equipo!$D$4&amp;"!B10:B1000"),$B170,INDIRECT(Equipo!$D$4&amp;"!"&amp;ADDRESS(10,COLUMN(F$9)-1)&amp;":"&amp;ADDRESS(1000,COLUMN(F$9)-1))),
SUMIF(INDIRECT(Equipo!$E$4&amp;"!B10:B1000"),$B170,INDIRECT(Equipo!$E$4&amp;"!"&amp;ADDRESS(10,COLUMN(F$9)-1)&amp;":"&amp;ADDRESS(1000,COLUMN(F$9)-1))),
SUMIF(INDIRECT(Equipo!$F$4&amp;"!B10:B1000"),$B170,INDIRECT(Equipo!$F$4&amp;"!"&amp;ADDRESS(10,COLUMN(F$9)-1)&amp;":"&amp;ADDRESS(1000,COLUMN(F$9)-1))),
SUMIF(INDIRECT(Equipo!$G$4&amp;"!B10:B1000"),$B170,INDIRECT(Equipo!$G$4&amp;"!"&amp;ADDRESS(10,COLUMN(F$9)-1)&amp;":"&amp;ADDRESS(1000,COLUMN(F$9)-1)))))</f>
        <v>-</v>
      </c>
      <c r="G170" s="19" t="str">
        <f t="array" ref="G170">IF(ISBLANK(Tareas!$B166),"-",SUM(
SUMIF(INDIRECT(Equipo!$C$4&amp;"!B10:B1000"),$B170,INDIRECT(Equipo!$C$4&amp;"!"&amp;ADDRESS(10,COLUMN(G$9)-1)&amp;":"&amp;ADDRESS(1000,COLUMN(G$9)-1))),
SUMIF(INDIRECT(Equipo!$D$4&amp;"!B10:B1000"),$B170,INDIRECT(Equipo!$D$4&amp;"!"&amp;ADDRESS(10,COLUMN(G$9)-1)&amp;":"&amp;ADDRESS(1000,COLUMN(G$9)-1))),
SUMIF(INDIRECT(Equipo!$E$4&amp;"!B10:B1000"),$B170,INDIRECT(Equipo!$E$4&amp;"!"&amp;ADDRESS(10,COLUMN(G$9)-1)&amp;":"&amp;ADDRESS(1000,COLUMN(G$9)-1))),
SUMIF(INDIRECT(Equipo!$F$4&amp;"!B10:B1000"),$B170,INDIRECT(Equipo!$F$4&amp;"!"&amp;ADDRESS(10,COLUMN(G$9)-1)&amp;":"&amp;ADDRESS(1000,COLUMN(G$9)-1))),
SUMIF(INDIRECT(Equipo!$G$4&amp;"!B10:B1000"),$B170,INDIRECT(Equipo!$G$4&amp;"!"&amp;ADDRESS(10,COLUMN(G$9)-1)&amp;":"&amp;ADDRESS(1000,COLUMN(G$9)-1)))))</f>
        <v>-</v>
      </c>
      <c r="H170" s="19" t="str">
        <f t="array" ref="H170">IF(ISBLANK(Tareas!$B166),"-",SUM(
SUMIF(INDIRECT(Equipo!$C$4&amp;"!B10:B1000"),$B170,INDIRECT(Equipo!$C$4&amp;"!"&amp;ADDRESS(10,COLUMN(H$9)-1)&amp;":"&amp;ADDRESS(1000,COLUMN(H$9)-1))),
SUMIF(INDIRECT(Equipo!$D$4&amp;"!B10:B1000"),$B170,INDIRECT(Equipo!$D$4&amp;"!"&amp;ADDRESS(10,COLUMN(H$9)-1)&amp;":"&amp;ADDRESS(1000,COLUMN(H$9)-1))),
SUMIF(INDIRECT(Equipo!$E$4&amp;"!B10:B1000"),$B170,INDIRECT(Equipo!$E$4&amp;"!"&amp;ADDRESS(10,COLUMN(H$9)-1)&amp;":"&amp;ADDRESS(1000,COLUMN(H$9)-1))),
SUMIF(INDIRECT(Equipo!$F$4&amp;"!B10:B1000"),$B170,INDIRECT(Equipo!$F$4&amp;"!"&amp;ADDRESS(10,COLUMN(H$9)-1)&amp;":"&amp;ADDRESS(1000,COLUMN(H$9)-1))),
SUMIF(INDIRECT(Equipo!$G$4&amp;"!B10:B1000"),$B170,INDIRECT(Equipo!$G$4&amp;"!"&amp;ADDRESS(10,COLUMN(H$9)-1)&amp;":"&amp;ADDRESS(1000,COLUMN(H$9)-1)))))</f>
        <v>-</v>
      </c>
      <c r="I170" s="19" t="str">
        <f t="array" ref="I170">IF(ISBLANK(Tareas!$B166),"-",SUM(
SUMIF(INDIRECT(Equipo!$C$4&amp;"!B10:B1000"),$B170,INDIRECT(Equipo!$C$4&amp;"!"&amp;ADDRESS(10,COLUMN(I$9)-1)&amp;":"&amp;ADDRESS(1000,COLUMN(I$9)-1))),
SUMIF(INDIRECT(Equipo!$D$4&amp;"!B10:B1000"),$B170,INDIRECT(Equipo!$D$4&amp;"!"&amp;ADDRESS(10,COLUMN(I$9)-1)&amp;":"&amp;ADDRESS(1000,COLUMN(I$9)-1))),
SUMIF(INDIRECT(Equipo!$E$4&amp;"!B10:B1000"),$B170,INDIRECT(Equipo!$E$4&amp;"!"&amp;ADDRESS(10,COLUMN(I$9)-1)&amp;":"&amp;ADDRESS(1000,COLUMN(I$9)-1))),
SUMIF(INDIRECT(Equipo!$F$4&amp;"!B10:B1000"),$B170,INDIRECT(Equipo!$F$4&amp;"!"&amp;ADDRESS(10,COLUMN(I$9)-1)&amp;":"&amp;ADDRESS(1000,COLUMN(I$9)-1))),
SUMIF(INDIRECT(Equipo!$G$4&amp;"!B10:B1000"),$B170,INDIRECT(Equipo!$G$4&amp;"!"&amp;ADDRESS(10,COLUMN(I$9)-1)&amp;":"&amp;ADDRESS(1000,COLUMN(I$9)-1)))))</f>
        <v>-</v>
      </c>
      <c r="J170" s="19" t="str">
        <f t="array" ref="J170">IF(ISBLANK(Tareas!$B166),"-",SUM(
SUMIF(INDIRECT(Equipo!$C$4&amp;"!B10:B1000"),$B170,INDIRECT(Equipo!$C$4&amp;"!"&amp;ADDRESS(10,COLUMN(J$9)-1)&amp;":"&amp;ADDRESS(1000,COLUMN(J$9)-1))),
SUMIF(INDIRECT(Equipo!$D$4&amp;"!B10:B1000"),$B170,INDIRECT(Equipo!$D$4&amp;"!"&amp;ADDRESS(10,COLUMN(J$9)-1)&amp;":"&amp;ADDRESS(1000,COLUMN(J$9)-1))),
SUMIF(INDIRECT(Equipo!$E$4&amp;"!B10:B1000"),$B170,INDIRECT(Equipo!$E$4&amp;"!"&amp;ADDRESS(10,COLUMN(J$9)-1)&amp;":"&amp;ADDRESS(1000,COLUMN(J$9)-1))),
SUMIF(INDIRECT(Equipo!$F$4&amp;"!B10:B1000"),$B170,INDIRECT(Equipo!$F$4&amp;"!"&amp;ADDRESS(10,COLUMN(J$9)-1)&amp;":"&amp;ADDRESS(1000,COLUMN(J$9)-1))),
SUMIF(INDIRECT(Equipo!$G$4&amp;"!B10:B1000"),$B170,INDIRECT(Equipo!$G$4&amp;"!"&amp;ADDRESS(10,COLUMN(J$9)-1)&amp;":"&amp;ADDRESS(1000,COLUMN(J$9)-1)))))</f>
        <v>-</v>
      </c>
      <c r="K170" s="19" t="str">
        <f t="array" ref="K170">IF(ISBLANK(Tareas!$B166),"-",SUM(
SUMIF(INDIRECT(Equipo!$C$4&amp;"!B10:B1000"),$B170,INDIRECT(Equipo!$C$4&amp;"!"&amp;ADDRESS(10,COLUMN(K$9)-1)&amp;":"&amp;ADDRESS(1000,COLUMN(K$9)-1))),
SUMIF(INDIRECT(Equipo!$D$4&amp;"!B10:B1000"),$B170,INDIRECT(Equipo!$D$4&amp;"!"&amp;ADDRESS(10,COLUMN(K$9)-1)&amp;":"&amp;ADDRESS(1000,COLUMN(K$9)-1))),
SUMIF(INDIRECT(Equipo!$E$4&amp;"!B10:B1000"),$B170,INDIRECT(Equipo!$E$4&amp;"!"&amp;ADDRESS(10,COLUMN(K$9)-1)&amp;":"&amp;ADDRESS(1000,COLUMN(K$9)-1))),
SUMIF(INDIRECT(Equipo!$F$4&amp;"!B10:B1000"),$B170,INDIRECT(Equipo!$F$4&amp;"!"&amp;ADDRESS(10,COLUMN(K$9)-1)&amp;":"&amp;ADDRESS(1000,COLUMN(K$9)-1))),
SUMIF(INDIRECT(Equipo!$G$4&amp;"!B10:B1000"),$B170,INDIRECT(Equipo!$G$4&amp;"!"&amp;ADDRESS(10,COLUMN(K$9)-1)&amp;":"&amp;ADDRESS(1000,COLUMN(K$9)-1)))))</f>
        <v>-</v>
      </c>
    </row>
    <row r="171" ht="15.75" customHeight="1">
      <c r="B171" s="1" t="str">
        <f>IF(ISBLANK(Tareas!B167)," - ",Tareas!B167)</f>
        <v> - </v>
      </c>
      <c r="D171" s="19" t="str">
        <f t="array" ref="D171">IF(ISBLANK(Tareas!$B167),"-",SUM(
SUMIF(INDIRECT(Equipo!$C$4&amp;"!B10:B1000"),$B171,INDIRECT(Equipo!$C$4&amp;"!"&amp;ADDRESS(10,COLUMN(D$9)-1)&amp;":"&amp;ADDRESS(1000,COLUMN(D$9)-1))),
SUMIF(INDIRECT(Equipo!$D$4&amp;"!B10:B1000"),$B171,INDIRECT(Equipo!$D$4&amp;"!"&amp;ADDRESS(10,COLUMN(D$9)-1)&amp;":"&amp;ADDRESS(1000,COLUMN(D$9)-1))),
SUMIF(INDIRECT(Equipo!$E$4&amp;"!B10:B1000"),$B171,INDIRECT(Equipo!$E$4&amp;"!"&amp;ADDRESS(10,COLUMN(D$9)-1)&amp;":"&amp;ADDRESS(1000,COLUMN(D$9)-1))),
SUMIF(INDIRECT(Equipo!$F$4&amp;"!B10:B1000"),$B171,INDIRECT(Equipo!$F$4&amp;"!"&amp;ADDRESS(10,COLUMN(D$9)-1)&amp;":"&amp;ADDRESS(1000,COLUMN(D$9)-1))),
SUMIF(INDIRECT(Equipo!$G$4&amp;"!B10:B1000"),$B171,INDIRECT(Equipo!$G$4&amp;"!"&amp;ADDRESS(10,COLUMN(D$9)-1)&amp;":"&amp;ADDRESS(1000,COLUMN(D$9)-1)))))</f>
        <v>-</v>
      </c>
      <c r="E171" s="19" t="str">
        <f t="array" ref="E171">IF(ISBLANK(Tareas!$B167),"-",SUM(
SUMIF(INDIRECT(Equipo!$C$4&amp;"!B10:B1000"),$B171,INDIRECT(Equipo!$C$4&amp;"!"&amp;ADDRESS(10,COLUMN(E$9)-1)&amp;":"&amp;ADDRESS(1000,COLUMN(E$9)-1))),
SUMIF(INDIRECT(Equipo!$D$4&amp;"!B10:B1000"),$B171,INDIRECT(Equipo!$D$4&amp;"!"&amp;ADDRESS(10,COLUMN(E$9)-1)&amp;":"&amp;ADDRESS(1000,COLUMN(E$9)-1))),
SUMIF(INDIRECT(Equipo!$E$4&amp;"!B10:B1000"),$B171,INDIRECT(Equipo!$E$4&amp;"!"&amp;ADDRESS(10,COLUMN(E$9)-1)&amp;":"&amp;ADDRESS(1000,COLUMN(E$9)-1))),
SUMIF(INDIRECT(Equipo!$F$4&amp;"!B10:B1000"),$B171,INDIRECT(Equipo!$F$4&amp;"!"&amp;ADDRESS(10,COLUMN(E$9)-1)&amp;":"&amp;ADDRESS(1000,COLUMN(E$9)-1))),
SUMIF(INDIRECT(Equipo!$G$4&amp;"!B10:B1000"),$B171,INDIRECT(Equipo!$G$4&amp;"!"&amp;ADDRESS(10,COLUMN(E$9)-1)&amp;":"&amp;ADDRESS(1000,COLUMN(E$9)-1)))))</f>
        <v>-</v>
      </c>
      <c r="F171" s="19" t="str">
        <f t="array" ref="F171">IF(ISBLANK(Tareas!$B167),"-",SUM(
SUMIF(INDIRECT(Equipo!$C$4&amp;"!B10:B1000"),$B171,INDIRECT(Equipo!$C$4&amp;"!"&amp;ADDRESS(10,COLUMN(F$9)-1)&amp;":"&amp;ADDRESS(1000,COLUMN(F$9)-1))),
SUMIF(INDIRECT(Equipo!$D$4&amp;"!B10:B1000"),$B171,INDIRECT(Equipo!$D$4&amp;"!"&amp;ADDRESS(10,COLUMN(F$9)-1)&amp;":"&amp;ADDRESS(1000,COLUMN(F$9)-1))),
SUMIF(INDIRECT(Equipo!$E$4&amp;"!B10:B1000"),$B171,INDIRECT(Equipo!$E$4&amp;"!"&amp;ADDRESS(10,COLUMN(F$9)-1)&amp;":"&amp;ADDRESS(1000,COLUMN(F$9)-1))),
SUMIF(INDIRECT(Equipo!$F$4&amp;"!B10:B1000"),$B171,INDIRECT(Equipo!$F$4&amp;"!"&amp;ADDRESS(10,COLUMN(F$9)-1)&amp;":"&amp;ADDRESS(1000,COLUMN(F$9)-1))),
SUMIF(INDIRECT(Equipo!$G$4&amp;"!B10:B1000"),$B171,INDIRECT(Equipo!$G$4&amp;"!"&amp;ADDRESS(10,COLUMN(F$9)-1)&amp;":"&amp;ADDRESS(1000,COLUMN(F$9)-1)))))</f>
        <v>-</v>
      </c>
      <c r="G171" s="19" t="str">
        <f t="array" ref="G171">IF(ISBLANK(Tareas!$B167),"-",SUM(
SUMIF(INDIRECT(Equipo!$C$4&amp;"!B10:B1000"),$B171,INDIRECT(Equipo!$C$4&amp;"!"&amp;ADDRESS(10,COLUMN(G$9)-1)&amp;":"&amp;ADDRESS(1000,COLUMN(G$9)-1))),
SUMIF(INDIRECT(Equipo!$D$4&amp;"!B10:B1000"),$B171,INDIRECT(Equipo!$D$4&amp;"!"&amp;ADDRESS(10,COLUMN(G$9)-1)&amp;":"&amp;ADDRESS(1000,COLUMN(G$9)-1))),
SUMIF(INDIRECT(Equipo!$E$4&amp;"!B10:B1000"),$B171,INDIRECT(Equipo!$E$4&amp;"!"&amp;ADDRESS(10,COLUMN(G$9)-1)&amp;":"&amp;ADDRESS(1000,COLUMN(G$9)-1))),
SUMIF(INDIRECT(Equipo!$F$4&amp;"!B10:B1000"),$B171,INDIRECT(Equipo!$F$4&amp;"!"&amp;ADDRESS(10,COLUMN(G$9)-1)&amp;":"&amp;ADDRESS(1000,COLUMN(G$9)-1))),
SUMIF(INDIRECT(Equipo!$G$4&amp;"!B10:B1000"),$B171,INDIRECT(Equipo!$G$4&amp;"!"&amp;ADDRESS(10,COLUMN(G$9)-1)&amp;":"&amp;ADDRESS(1000,COLUMN(G$9)-1)))))</f>
        <v>-</v>
      </c>
      <c r="H171" s="19" t="str">
        <f t="array" ref="H171">IF(ISBLANK(Tareas!$B167),"-",SUM(
SUMIF(INDIRECT(Equipo!$C$4&amp;"!B10:B1000"),$B171,INDIRECT(Equipo!$C$4&amp;"!"&amp;ADDRESS(10,COLUMN(H$9)-1)&amp;":"&amp;ADDRESS(1000,COLUMN(H$9)-1))),
SUMIF(INDIRECT(Equipo!$D$4&amp;"!B10:B1000"),$B171,INDIRECT(Equipo!$D$4&amp;"!"&amp;ADDRESS(10,COLUMN(H$9)-1)&amp;":"&amp;ADDRESS(1000,COLUMN(H$9)-1))),
SUMIF(INDIRECT(Equipo!$E$4&amp;"!B10:B1000"),$B171,INDIRECT(Equipo!$E$4&amp;"!"&amp;ADDRESS(10,COLUMN(H$9)-1)&amp;":"&amp;ADDRESS(1000,COLUMN(H$9)-1))),
SUMIF(INDIRECT(Equipo!$F$4&amp;"!B10:B1000"),$B171,INDIRECT(Equipo!$F$4&amp;"!"&amp;ADDRESS(10,COLUMN(H$9)-1)&amp;":"&amp;ADDRESS(1000,COLUMN(H$9)-1))),
SUMIF(INDIRECT(Equipo!$G$4&amp;"!B10:B1000"),$B171,INDIRECT(Equipo!$G$4&amp;"!"&amp;ADDRESS(10,COLUMN(H$9)-1)&amp;":"&amp;ADDRESS(1000,COLUMN(H$9)-1)))))</f>
        <v>-</v>
      </c>
      <c r="I171" s="19" t="str">
        <f t="array" ref="I171">IF(ISBLANK(Tareas!$B167),"-",SUM(
SUMIF(INDIRECT(Equipo!$C$4&amp;"!B10:B1000"),$B171,INDIRECT(Equipo!$C$4&amp;"!"&amp;ADDRESS(10,COLUMN(I$9)-1)&amp;":"&amp;ADDRESS(1000,COLUMN(I$9)-1))),
SUMIF(INDIRECT(Equipo!$D$4&amp;"!B10:B1000"),$B171,INDIRECT(Equipo!$D$4&amp;"!"&amp;ADDRESS(10,COLUMN(I$9)-1)&amp;":"&amp;ADDRESS(1000,COLUMN(I$9)-1))),
SUMIF(INDIRECT(Equipo!$E$4&amp;"!B10:B1000"),$B171,INDIRECT(Equipo!$E$4&amp;"!"&amp;ADDRESS(10,COLUMN(I$9)-1)&amp;":"&amp;ADDRESS(1000,COLUMN(I$9)-1))),
SUMIF(INDIRECT(Equipo!$F$4&amp;"!B10:B1000"),$B171,INDIRECT(Equipo!$F$4&amp;"!"&amp;ADDRESS(10,COLUMN(I$9)-1)&amp;":"&amp;ADDRESS(1000,COLUMN(I$9)-1))),
SUMIF(INDIRECT(Equipo!$G$4&amp;"!B10:B1000"),$B171,INDIRECT(Equipo!$G$4&amp;"!"&amp;ADDRESS(10,COLUMN(I$9)-1)&amp;":"&amp;ADDRESS(1000,COLUMN(I$9)-1)))))</f>
        <v>-</v>
      </c>
      <c r="J171" s="19" t="str">
        <f t="array" ref="J171">IF(ISBLANK(Tareas!$B167),"-",SUM(
SUMIF(INDIRECT(Equipo!$C$4&amp;"!B10:B1000"),$B171,INDIRECT(Equipo!$C$4&amp;"!"&amp;ADDRESS(10,COLUMN(J$9)-1)&amp;":"&amp;ADDRESS(1000,COLUMN(J$9)-1))),
SUMIF(INDIRECT(Equipo!$D$4&amp;"!B10:B1000"),$B171,INDIRECT(Equipo!$D$4&amp;"!"&amp;ADDRESS(10,COLUMN(J$9)-1)&amp;":"&amp;ADDRESS(1000,COLUMN(J$9)-1))),
SUMIF(INDIRECT(Equipo!$E$4&amp;"!B10:B1000"),$B171,INDIRECT(Equipo!$E$4&amp;"!"&amp;ADDRESS(10,COLUMN(J$9)-1)&amp;":"&amp;ADDRESS(1000,COLUMN(J$9)-1))),
SUMIF(INDIRECT(Equipo!$F$4&amp;"!B10:B1000"),$B171,INDIRECT(Equipo!$F$4&amp;"!"&amp;ADDRESS(10,COLUMN(J$9)-1)&amp;":"&amp;ADDRESS(1000,COLUMN(J$9)-1))),
SUMIF(INDIRECT(Equipo!$G$4&amp;"!B10:B1000"),$B171,INDIRECT(Equipo!$G$4&amp;"!"&amp;ADDRESS(10,COLUMN(J$9)-1)&amp;":"&amp;ADDRESS(1000,COLUMN(J$9)-1)))))</f>
        <v>-</v>
      </c>
      <c r="K171" s="19" t="str">
        <f t="array" ref="K171">IF(ISBLANK(Tareas!$B167),"-",SUM(
SUMIF(INDIRECT(Equipo!$C$4&amp;"!B10:B1000"),$B171,INDIRECT(Equipo!$C$4&amp;"!"&amp;ADDRESS(10,COLUMN(K$9)-1)&amp;":"&amp;ADDRESS(1000,COLUMN(K$9)-1))),
SUMIF(INDIRECT(Equipo!$D$4&amp;"!B10:B1000"),$B171,INDIRECT(Equipo!$D$4&amp;"!"&amp;ADDRESS(10,COLUMN(K$9)-1)&amp;":"&amp;ADDRESS(1000,COLUMN(K$9)-1))),
SUMIF(INDIRECT(Equipo!$E$4&amp;"!B10:B1000"),$B171,INDIRECT(Equipo!$E$4&amp;"!"&amp;ADDRESS(10,COLUMN(K$9)-1)&amp;":"&amp;ADDRESS(1000,COLUMN(K$9)-1))),
SUMIF(INDIRECT(Equipo!$F$4&amp;"!B10:B1000"),$B171,INDIRECT(Equipo!$F$4&amp;"!"&amp;ADDRESS(10,COLUMN(K$9)-1)&amp;":"&amp;ADDRESS(1000,COLUMN(K$9)-1))),
SUMIF(INDIRECT(Equipo!$G$4&amp;"!B10:B1000"),$B171,INDIRECT(Equipo!$G$4&amp;"!"&amp;ADDRESS(10,COLUMN(K$9)-1)&amp;":"&amp;ADDRESS(1000,COLUMN(K$9)-1)))))</f>
        <v>-</v>
      </c>
    </row>
    <row r="172" ht="15.75" customHeight="1">
      <c r="B172" s="1" t="str">
        <f>IF(ISBLANK(Tareas!B168)," - ",Tareas!B168)</f>
        <v> - </v>
      </c>
      <c r="D172" s="19" t="str">
        <f t="array" ref="D172">IF(ISBLANK(Tareas!$B168),"-",SUM(
SUMIF(INDIRECT(Equipo!$C$4&amp;"!B10:B1000"),$B172,INDIRECT(Equipo!$C$4&amp;"!"&amp;ADDRESS(10,COLUMN(D$9)-1)&amp;":"&amp;ADDRESS(1000,COLUMN(D$9)-1))),
SUMIF(INDIRECT(Equipo!$D$4&amp;"!B10:B1000"),$B172,INDIRECT(Equipo!$D$4&amp;"!"&amp;ADDRESS(10,COLUMN(D$9)-1)&amp;":"&amp;ADDRESS(1000,COLUMN(D$9)-1))),
SUMIF(INDIRECT(Equipo!$E$4&amp;"!B10:B1000"),$B172,INDIRECT(Equipo!$E$4&amp;"!"&amp;ADDRESS(10,COLUMN(D$9)-1)&amp;":"&amp;ADDRESS(1000,COLUMN(D$9)-1))),
SUMIF(INDIRECT(Equipo!$F$4&amp;"!B10:B1000"),$B172,INDIRECT(Equipo!$F$4&amp;"!"&amp;ADDRESS(10,COLUMN(D$9)-1)&amp;":"&amp;ADDRESS(1000,COLUMN(D$9)-1))),
SUMIF(INDIRECT(Equipo!$G$4&amp;"!B10:B1000"),$B172,INDIRECT(Equipo!$G$4&amp;"!"&amp;ADDRESS(10,COLUMN(D$9)-1)&amp;":"&amp;ADDRESS(1000,COLUMN(D$9)-1)))))</f>
        <v>-</v>
      </c>
      <c r="E172" s="19" t="str">
        <f t="array" ref="E172">IF(ISBLANK(Tareas!$B168),"-",SUM(
SUMIF(INDIRECT(Equipo!$C$4&amp;"!B10:B1000"),$B172,INDIRECT(Equipo!$C$4&amp;"!"&amp;ADDRESS(10,COLUMN(E$9)-1)&amp;":"&amp;ADDRESS(1000,COLUMN(E$9)-1))),
SUMIF(INDIRECT(Equipo!$D$4&amp;"!B10:B1000"),$B172,INDIRECT(Equipo!$D$4&amp;"!"&amp;ADDRESS(10,COLUMN(E$9)-1)&amp;":"&amp;ADDRESS(1000,COLUMN(E$9)-1))),
SUMIF(INDIRECT(Equipo!$E$4&amp;"!B10:B1000"),$B172,INDIRECT(Equipo!$E$4&amp;"!"&amp;ADDRESS(10,COLUMN(E$9)-1)&amp;":"&amp;ADDRESS(1000,COLUMN(E$9)-1))),
SUMIF(INDIRECT(Equipo!$F$4&amp;"!B10:B1000"),$B172,INDIRECT(Equipo!$F$4&amp;"!"&amp;ADDRESS(10,COLUMN(E$9)-1)&amp;":"&amp;ADDRESS(1000,COLUMN(E$9)-1))),
SUMIF(INDIRECT(Equipo!$G$4&amp;"!B10:B1000"),$B172,INDIRECT(Equipo!$G$4&amp;"!"&amp;ADDRESS(10,COLUMN(E$9)-1)&amp;":"&amp;ADDRESS(1000,COLUMN(E$9)-1)))))</f>
        <v>-</v>
      </c>
      <c r="F172" s="19" t="str">
        <f t="array" ref="F172">IF(ISBLANK(Tareas!$B168),"-",SUM(
SUMIF(INDIRECT(Equipo!$C$4&amp;"!B10:B1000"),$B172,INDIRECT(Equipo!$C$4&amp;"!"&amp;ADDRESS(10,COLUMN(F$9)-1)&amp;":"&amp;ADDRESS(1000,COLUMN(F$9)-1))),
SUMIF(INDIRECT(Equipo!$D$4&amp;"!B10:B1000"),$B172,INDIRECT(Equipo!$D$4&amp;"!"&amp;ADDRESS(10,COLUMN(F$9)-1)&amp;":"&amp;ADDRESS(1000,COLUMN(F$9)-1))),
SUMIF(INDIRECT(Equipo!$E$4&amp;"!B10:B1000"),$B172,INDIRECT(Equipo!$E$4&amp;"!"&amp;ADDRESS(10,COLUMN(F$9)-1)&amp;":"&amp;ADDRESS(1000,COLUMN(F$9)-1))),
SUMIF(INDIRECT(Equipo!$F$4&amp;"!B10:B1000"),$B172,INDIRECT(Equipo!$F$4&amp;"!"&amp;ADDRESS(10,COLUMN(F$9)-1)&amp;":"&amp;ADDRESS(1000,COLUMN(F$9)-1))),
SUMIF(INDIRECT(Equipo!$G$4&amp;"!B10:B1000"),$B172,INDIRECT(Equipo!$G$4&amp;"!"&amp;ADDRESS(10,COLUMN(F$9)-1)&amp;":"&amp;ADDRESS(1000,COLUMN(F$9)-1)))))</f>
        <v>-</v>
      </c>
      <c r="G172" s="19" t="str">
        <f t="array" ref="G172">IF(ISBLANK(Tareas!$B168),"-",SUM(
SUMIF(INDIRECT(Equipo!$C$4&amp;"!B10:B1000"),$B172,INDIRECT(Equipo!$C$4&amp;"!"&amp;ADDRESS(10,COLUMN(G$9)-1)&amp;":"&amp;ADDRESS(1000,COLUMN(G$9)-1))),
SUMIF(INDIRECT(Equipo!$D$4&amp;"!B10:B1000"),$B172,INDIRECT(Equipo!$D$4&amp;"!"&amp;ADDRESS(10,COLUMN(G$9)-1)&amp;":"&amp;ADDRESS(1000,COLUMN(G$9)-1))),
SUMIF(INDIRECT(Equipo!$E$4&amp;"!B10:B1000"),$B172,INDIRECT(Equipo!$E$4&amp;"!"&amp;ADDRESS(10,COLUMN(G$9)-1)&amp;":"&amp;ADDRESS(1000,COLUMN(G$9)-1))),
SUMIF(INDIRECT(Equipo!$F$4&amp;"!B10:B1000"),$B172,INDIRECT(Equipo!$F$4&amp;"!"&amp;ADDRESS(10,COLUMN(G$9)-1)&amp;":"&amp;ADDRESS(1000,COLUMN(G$9)-1))),
SUMIF(INDIRECT(Equipo!$G$4&amp;"!B10:B1000"),$B172,INDIRECT(Equipo!$G$4&amp;"!"&amp;ADDRESS(10,COLUMN(G$9)-1)&amp;":"&amp;ADDRESS(1000,COLUMN(G$9)-1)))))</f>
        <v>-</v>
      </c>
      <c r="H172" s="19" t="str">
        <f t="array" ref="H172">IF(ISBLANK(Tareas!$B168),"-",SUM(
SUMIF(INDIRECT(Equipo!$C$4&amp;"!B10:B1000"),$B172,INDIRECT(Equipo!$C$4&amp;"!"&amp;ADDRESS(10,COLUMN(H$9)-1)&amp;":"&amp;ADDRESS(1000,COLUMN(H$9)-1))),
SUMIF(INDIRECT(Equipo!$D$4&amp;"!B10:B1000"),$B172,INDIRECT(Equipo!$D$4&amp;"!"&amp;ADDRESS(10,COLUMN(H$9)-1)&amp;":"&amp;ADDRESS(1000,COLUMN(H$9)-1))),
SUMIF(INDIRECT(Equipo!$E$4&amp;"!B10:B1000"),$B172,INDIRECT(Equipo!$E$4&amp;"!"&amp;ADDRESS(10,COLUMN(H$9)-1)&amp;":"&amp;ADDRESS(1000,COLUMN(H$9)-1))),
SUMIF(INDIRECT(Equipo!$F$4&amp;"!B10:B1000"),$B172,INDIRECT(Equipo!$F$4&amp;"!"&amp;ADDRESS(10,COLUMN(H$9)-1)&amp;":"&amp;ADDRESS(1000,COLUMN(H$9)-1))),
SUMIF(INDIRECT(Equipo!$G$4&amp;"!B10:B1000"),$B172,INDIRECT(Equipo!$G$4&amp;"!"&amp;ADDRESS(10,COLUMN(H$9)-1)&amp;":"&amp;ADDRESS(1000,COLUMN(H$9)-1)))))</f>
        <v>-</v>
      </c>
      <c r="I172" s="19" t="str">
        <f t="array" ref="I172">IF(ISBLANK(Tareas!$B168),"-",SUM(
SUMIF(INDIRECT(Equipo!$C$4&amp;"!B10:B1000"),$B172,INDIRECT(Equipo!$C$4&amp;"!"&amp;ADDRESS(10,COLUMN(I$9)-1)&amp;":"&amp;ADDRESS(1000,COLUMN(I$9)-1))),
SUMIF(INDIRECT(Equipo!$D$4&amp;"!B10:B1000"),$B172,INDIRECT(Equipo!$D$4&amp;"!"&amp;ADDRESS(10,COLUMN(I$9)-1)&amp;":"&amp;ADDRESS(1000,COLUMN(I$9)-1))),
SUMIF(INDIRECT(Equipo!$E$4&amp;"!B10:B1000"),$B172,INDIRECT(Equipo!$E$4&amp;"!"&amp;ADDRESS(10,COLUMN(I$9)-1)&amp;":"&amp;ADDRESS(1000,COLUMN(I$9)-1))),
SUMIF(INDIRECT(Equipo!$F$4&amp;"!B10:B1000"),$B172,INDIRECT(Equipo!$F$4&amp;"!"&amp;ADDRESS(10,COLUMN(I$9)-1)&amp;":"&amp;ADDRESS(1000,COLUMN(I$9)-1))),
SUMIF(INDIRECT(Equipo!$G$4&amp;"!B10:B1000"),$B172,INDIRECT(Equipo!$G$4&amp;"!"&amp;ADDRESS(10,COLUMN(I$9)-1)&amp;":"&amp;ADDRESS(1000,COLUMN(I$9)-1)))))</f>
        <v>-</v>
      </c>
      <c r="J172" s="19" t="str">
        <f t="array" ref="J172">IF(ISBLANK(Tareas!$B168),"-",SUM(
SUMIF(INDIRECT(Equipo!$C$4&amp;"!B10:B1000"),$B172,INDIRECT(Equipo!$C$4&amp;"!"&amp;ADDRESS(10,COLUMN(J$9)-1)&amp;":"&amp;ADDRESS(1000,COLUMN(J$9)-1))),
SUMIF(INDIRECT(Equipo!$D$4&amp;"!B10:B1000"),$B172,INDIRECT(Equipo!$D$4&amp;"!"&amp;ADDRESS(10,COLUMN(J$9)-1)&amp;":"&amp;ADDRESS(1000,COLUMN(J$9)-1))),
SUMIF(INDIRECT(Equipo!$E$4&amp;"!B10:B1000"),$B172,INDIRECT(Equipo!$E$4&amp;"!"&amp;ADDRESS(10,COLUMN(J$9)-1)&amp;":"&amp;ADDRESS(1000,COLUMN(J$9)-1))),
SUMIF(INDIRECT(Equipo!$F$4&amp;"!B10:B1000"),$B172,INDIRECT(Equipo!$F$4&amp;"!"&amp;ADDRESS(10,COLUMN(J$9)-1)&amp;":"&amp;ADDRESS(1000,COLUMN(J$9)-1))),
SUMIF(INDIRECT(Equipo!$G$4&amp;"!B10:B1000"),$B172,INDIRECT(Equipo!$G$4&amp;"!"&amp;ADDRESS(10,COLUMN(J$9)-1)&amp;":"&amp;ADDRESS(1000,COLUMN(J$9)-1)))))</f>
        <v>-</v>
      </c>
      <c r="K172" s="19" t="str">
        <f t="array" ref="K172">IF(ISBLANK(Tareas!$B168),"-",SUM(
SUMIF(INDIRECT(Equipo!$C$4&amp;"!B10:B1000"),$B172,INDIRECT(Equipo!$C$4&amp;"!"&amp;ADDRESS(10,COLUMN(K$9)-1)&amp;":"&amp;ADDRESS(1000,COLUMN(K$9)-1))),
SUMIF(INDIRECT(Equipo!$D$4&amp;"!B10:B1000"),$B172,INDIRECT(Equipo!$D$4&amp;"!"&amp;ADDRESS(10,COLUMN(K$9)-1)&amp;":"&amp;ADDRESS(1000,COLUMN(K$9)-1))),
SUMIF(INDIRECT(Equipo!$E$4&amp;"!B10:B1000"),$B172,INDIRECT(Equipo!$E$4&amp;"!"&amp;ADDRESS(10,COLUMN(K$9)-1)&amp;":"&amp;ADDRESS(1000,COLUMN(K$9)-1))),
SUMIF(INDIRECT(Equipo!$F$4&amp;"!B10:B1000"),$B172,INDIRECT(Equipo!$F$4&amp;"!"&amp;ADDRESS(10,COLUMN(K$9)-1)&amp;":"&amp;ADDRESS(1000,COLUMN(K$9)-1))),
SUMIF(INDIRECT(Equipo!$G$4&amp;"!B10:B1000"),$B172,INDIRECT(Equipo!$G$4&amp;"!"&amp;ADDRESS(10,COLUMN(K$9)-1)&amp;":"&amp;ADDRESS(1000,COLUMN(K$9)-1)))))</f>
        <v>-</v>
      </c>
    </row>
    <row r="173" ht="15.75" customHeight="1">
      <c r="B173" s="1" t="str">
        <f>IF(ISBLANK(Tareas!B169)," - ",Tareas!B169)</f>
        <v> - </v>
      </c>
      <c r="D173" s="19" t="str">
        <f t="array" ref="D173">IF(ISBLANK(Tareas!$B169),"-",SUM(
SUMIF(INDIRECT(Equipo!$C$4&amp;"!B10:B1000"),$B173,INDIRECT(Equipo!$C$4&amp;"!"&amp;ADDRESS(10,COLUMN(D$9)-1)&amp;":"&amp;ADDRESS(1000,COLUMN(D$9)-1))),
SUMIF(INDIRECT(Equipo!$D$4&amp;"!B10:B1000"),$B173,INDIRECT(Equipo!$D$4&amp;"!"&amp;ADDRESS(10,COLUMN(D$9)-1)&amp;":"&amp;ADDRESS(1000,COLUMN(D$9)-1))),
SUMIF(INDIRECT(Equipo!$E$4&amp;"!B10:B1000"),$B173,INDIRECT(Equipo!$E$4&amp;"!"&amp;ADDRESS(10,COLUMN(D$9)-1)&amp;":"&amp;ADDRESS(1000,COLUMN(D$9)-1))),
SUMIF(INDIRECT(Equipo!$F$4&amp;"!B10:B1000"),$B173,INDIRECT(Equipo!$F$4&amp;"!"&amp;ADDRESS(10,COLUMN(D$9)-1)&amp;":"&amp;ADDRESS(1000,COLUMN(D$9)-1))),
SUMIF(INDIRECT(Equipo!$G$4&amp;"!B10:B1000"),$B173,INDIRECT(Equipo!$G$4&amp;"!"&amp;ADDRESS(10,COLUMN(D$9)-1)&amp;":"&amp;ADDRESS(1000,COLUMN(D$9)-1)))))</f>
        <v>-</v>
      </c>
      <c r="E173" s="19" t="str">
        <f t="array" ref="E173">IF(ISBLANK(Tareas!$B169),"-",SUM(
SUMIF(INDIRECT(Equipo!$C$4&amp;"!B10:B1000"),$B173,INDIRECT(Equipo!$C$4&amp;"!"&amp;ADDRESS(10,COLUMN(E$9)-1)&amp;":"&amp;ADDRESS(1000,COLUMN(E$9)-1))),
SUMIF(INDIRECT(Equipo!$D$4&amp;"!B10:B1000"),$B173,INDIRECT(Equipo!$D$4&amp;"!"&amp;ADDRESS(10,COLUMN(E$9)-1)&amp;":"&amp;ADDRESS(1000,COLUMN(E$9)-1))),
SUMIF(INDIRECT(Equipo!$E$4&amp;"!B10:B1000"),$B173,INDIRECT(Equipo!$E$4&amp;"!"&amp;ADDRESS(10,COLUMN(E$9)-1)&amp;":"&amp;ADDRESS(1000,COLUMN(E$9)-1))),
SUMIF(INDIRECT(Equipo!$F$4&amp;"!B10:B1000"),$B173,INDIRECT(Equipo!$F$4&amp;"!"&amp;ADDRESS(10,COLUMN(E$9)-1)&amp;":"&amp;ADDRESS(1000,COLUMN(E$9)-1))),
SUMIF(INDIRECT(Equipo!$G$4&amp;"!B10:B1000"),$B173,INDIRECT(Equipo!$G$4&amp;"!"&amp;ADDRESS(10,COLUMN(E$9)-1)&amp;":"&amp;ADDRESS(1000,COLUMN(E$9)-1)))))</f>
        <v>-</v>
      </c>
      <c r="F173" s="19" t="str">
        <f t="array" ref="F173">IF(ISBLANK(Tareas!$B169),"-",SUM(
SUMIF(INDIRECT(Equipo!$C$4&amp;"!B10:B1000"),$B173,INDIRECT(Equipo!$C$4&amp;"!"&amp;ADDRESS(10,COLUMN(F$9)-1)&amp;":"&amp;ADDRESS(1000,COLUMN(F$9)-1))),
SUMIF(INDIRECT(Equipo!$D$4&amp;"!B10:B1000"),$B173,INDIRECT(Equipo!$D$4&amp;"!"&amp;ADDRESS(10,COLUMN(F$9)-1)&amp;":"&amp;ADDRESS(1000,COLUMN(F$9)-1))),
SUMIF(INDIRECT(Equipo!$E$4&amp;"!B10:B1000"),$B173,INDIRECT(Equipo!$E$4&amp;"!"&amp;ADDRESS(10,COLUMN(F$9)-1)&amp;":"&amp;ADDRESS(1000,COLUMN(F$9)-1))),
SUMIF(INDIRECT(Equipo!$F$4&amp;"!B10:B1000"),$B173,INDIRECT(Equipo!$F$4&amp;"!"&amp;ADDRESS(10,COLUMN(F$9)-1)&amp;":"&amp;ADDRESS(1000,COLUMN(F$9)-1))),
SUMIF(INDIRECT(Equipo!$G$4&amp;"!B10:B1000"),$B173,INDIRECT(Equipo!$G$4&amp;"!"&amp;ADDRESS(10,COLUMN(F$9)-1)&amp;":"&amp;ADDRESS(1000,COLUMN(F$9)-1)))))</f>
        <v>-</v>
      </c>
      <c r="G173" s="19" t="str">
        <f t="array" ref="G173">IF(ISBLANK(Tareas!$B169),"-",SUM(
SUMIF(INDIRECT(Equipo!$C$4&amp;"!B10:B1000"),$B173,INDIRECT(Equipo!$C$4&amp;"!"&amp;ADDRESS(10,COLUMN(G$9)-1)&amp;":"&amp;ADDRESS(1000,COLUMN(G$9)-1))),
SUMIF(INDIRECT(Equipo!$D$4&amp;"!B10:B1000"),$B173,INDIRECT(Equipo!$D$4&amp;"!"&amp;ADDRESS(10,COLUMN(G$9)-1)&amp;":"&amp;ADDRESS(1000,COLUMN(G$9)-1))),
SUMIF(INDIRECT(Equipo!$E$4&amp;"!B10:B1000"),$B173,INDIRECT(Equipo!$E$4&amp;"!"&amp;ADDRESS(10,COLUMN(G$9)-1)&amp;":"&amp;ADDRESS(1000,COLUMN(G$9)-1))),
SUMIF(INDIRECT(Equipo!$F$4&amp;"!B10:B1000"),$B173,INDIRECT(Equipo!$F$4&amp;"!"&amp;ADDRESS(10,COLUMN(G$9)-1)&amp;":"&amp;ADDRESS(1000,COLUMN(G$9)-1))),
SUMIF(INDIRECT(Equipo!$G$4&amp;"!B10:B1000"),$B173,INDIRECT(Equipo!$G$4&amp;"!"&amp;ADDRESS(10,COLUMN(G$9)-1)&amp;":"&amp;ADDRESS(1000,COLUMN(G$9)-1)))))</f>
        <v>-</v>
      </c>
      <c r="H173" s="19" t="str">
        <f t="array" ref="H173">IF(ISBLANK(Tareas!$B169),"-",SUM(
SUMIF(INDIRECT(Equipo!$C$4&amp;"!B10:B1000"),$B173,INDIRECT(Equipo!$C$4&amp;"!"&amp;ADDRESS(10,COLUMN(H$9)-1)&amp;":"&amp;ADDRESS(1000,COLUMN(H$9)-1))),
SUMIF(INDIRECT(Equipo!$D$4&amp;"!B10:B1000"),$B173,INDIRECT(Equipo!$D$4&amp;"!"&amp;ADDRESS(10,COLUMN(H$9)-1)&amp;":"&amp;ADDRESS(1000,COLUMN(H$9)-1))),
SUMIF(INDIRECT(Equipo!$E$4&amp;"!B10:B1000"),$B173,INDIRECT(Equipo!$E$4&amp;"!"&amp;ADDRESS(10,COLUMN(H$9)-1)&amp;":"&amp;ADDRESS(1000,COLUMN(H$9)-1))),
SUMIF(INDIRECT(Equipo!$F$4&amp;"!B10:B1000"),$B173,INDIRECT(Equipo!$F$4&amp;"!"&amp;ADDRESS(10,COLUMN(H$9)-1)&amp;":"&amp;ADDRESS(1000,COLUMN(H$9)-1))),
SUMIF(INDIRECT(Equipo!$G$4&amp;"!B10:B1000"),$B173,INDIRECT(Equipo!$G$4&amp;"!"&amp;ADDRESS(10,COLUMN(H$9)-1)&amp;":"&amp;ADDRESS(1000,COLUMN(H$9)-1)))))</f>
        <v>-</v>
      </c>
      <c r="I173" s="19" t="str">
        <f t="array" ref="I173">IF(ISBLANK(Tareas!$B169),"-",SUM(
SUMIF(INDIRECT(Equipo!$C$4&amp;"!B10:B1000"),$B173,INDIRECT(Equipo!$C$4&amp;"!"&amp;ADDRESS(10,COLUMN(I$9)-1)&amp;":"&amp;ADDRESS(1000,COLUMN(I$9)-1))),
SUMIF(INDIRECT(Equipo!$D$4&amp;"!B10:B1000"),$B173,INDIRECT(Equipo!$D$4&amp;"!"&amp;ADDRESS(10,COLUMN(I$9)-1)&amp;":"&amp;ADDRESS(1000,COLUMN(I$9)-1))),
SUMIF(INDIRECT(Equipo!$E$4&amp;"!B10:B1000"),$B173,INDIRECT(Equipo!$E$4&amp;"!"&amp;ADDRESS(10,COLUMN(I$9)-1)&amp;":"&amp;ADDRESS(1000,COLUMN(I$9)-1))),
SUMIF(INDIRECT(Equipo!$F$4&amp;"!B10:B1000"),$B173,INDIRECT(Equipo!$F$4&amp;"!"&amp;ADDRESS(10,COLUMN(I$9)-1)&amp;":"&amp;ADDRESS(1000,COLUMN(I$9)-1))),
SUMIF(INDIRECT(Equipo!$G$4&amp;"!B10:B1000"),$B173,INDIRECT(Equipo!$G$4&amp;"!"&amp;ADDRESS(10,COLUMN(I$9)-1)&amp;":"&amp;ADDRESS(1000,COLUMN(I$9)-1)))))</f>
        <v>-</v>
      </c>
      <c r="J173" s="19" t="str">
        <f t="array" ref="J173">IF(ISBLANK(Tareas!$B169),"-",SUM(
SUMIF(INDIRECT(Equipo!$C$4&amp;"!B10:B1000"),$B173,INDIRECT(Equipo!$C$4&amp;"!"&amp;ADDRESS(10,COLUMN(J$9)-1)&amp;":"&amp;ADDRESS(1000,COLUMN(J$9)-1))),
SUMIF(INDIRECT(Equipo!$D$4&amp;"!B10:B1000"),$B173,INDIRECT(Equipo!$D$4&amp;"!"&amp;ADDRESS(10,COLUMN(J$9)-1)&amp;":"&amp;ADDRESS(1000,COLUMN(J$9)-1))),
SUMIF(INDIRECT(Equipo!$E$4&amp;"!B10:B1000"),$B173,INDIRECT(Equipo!$E$4&amp;"!"&amp;ADDRESS(10,COLUMN(J$9)-1)&amp;":"&amp;ADDRESS(1000,COLUMN(J$9)-1))),
SUMIF(INDIRECT(Equipo!$F$4&amp;"!B10:B1000"),$B173,INDIRECT(Equipo!$F$4&amp;"!"&amp;ADDRESS(10,COLUMN(J$9)-1)&amp;":"&amp;ADDRESS(1000,COLUMN(J$9)-1))),
SUMIF(INDIRECT(Equipo!$G$4&amp;"!B10:B1000"),$B173,INDIRECT(Equipo!$G$4&amp;"!"&amp;ADDRESS(10,COLUMN(J$9)-1)&amp;":"&amp;ADDRESS(1000,COLUMN(J$9)-1)))))</f>
        <v>-</v>
      </c>
      <c r="K173" s="19" t="str">
        <f t="array" ref="K173">IF(ISBLANK(Tareas!$B169),"-",SUM(
SUMIF(INDIRECT(Equipo!$C$4&amp;"!B10:B1000"),$B173,INDIRECT(Equipo!$C$4&amp;"!"&amp;ADDRESS(10,COLUMN(K$9)-1)&amp;":"&amp;ADDRESS(1000,COLUMN(K$9)-1))),
SUMIF(INDIRECT(Equipo!$D$4&amp;"!B10:B1000"),$B173,INDIRECT(Equipo!$D$4&amp;"!"&amp;ADDRESS(10,COLUMN(K$9)-1)&amp;":"&amp;ADDRESS(1000,COLUMN(K$9)-1))),
SUMIF(INDIRECT(Equipo!$E$4&amp;"!B10:B1000"),$B173,INDIRECT(Equipo!$E$4&amp;"!"&amp;ADDRESS(10,COLUMN(K$9)-1)&amp;":"&amp;ADDRESS(1000,COLUMN(K$9)-1))),
SUMIF(INDIRECT(Equipo!$F$4&amp;"!B10:B1000"),$B173,INDIRECT(Equipo!$F$4&amp;"!"&amp;ADDRESS(10,COLUMN(K$9)-1)&amp;":"&amp;ADDRESS(1000,COLUMN(K$9)-1))),
SUMIF(INDIRECT(Equipo!$G$4&amp;"!B10:B1000"),$B173,INDIRECT(Equipo!$G$4&amp;"!"&amp;ADDRESS(10,COLUMN(K$9)-1)&amp;":"&amp;ADDRESS(1000,COLUMN(K$9)-1)))))</f>
        <v>-</v>
      </c>
    </row>
    <row r="174" ht="15.75" customHeight="1">
      <c r="B174" s="1" t="str">
        <f>IF(ISBLANK(Tareas!B170)," - ",Tareas!B170)</f>
        <v> - </v>
      </c>
      <c r="D174" s="19" t="str">
        <f t="array" ref="D174">IF(ISBLANK(Tareas!$B170),"-",SUM(
SUMIF(INDIRECT(Equipo!$C$4&amp;"!B10:B1000"),$B174,INDIRECT(Equipo!$C$4&amp;"!"&amp;ADDRESS(10,COLUMN(D$9)-1)&amp;":"&amp;ADDRESS(1000,COLUMN(D$9)-1))),
SUMIF(INDIRECT(Equipo!$D$4&amp;"!B10:B1000"),$B174,INDIRECT(Equipo!$D$4&amp;"!"&amp;ADDRESS(10,COLUMN(D$9)-1)&amp;":"&amp;ADDRESS(1000,COLUMN(D$9)-1))),
SUMIF(INDIRECT(Equipo!$E$4&amp;"!B10:B1000"),$B174,INDIRECT(Equipo!$E$4&amp;"!"&amp;ADDRESS(10,COLUMN(D$9)-1)&amp;":"&amp;ADDRESS(1000,COLUMN(D$9)-1))),
SUMIF(INDIRECT(Equipo!$F$4&amp;"!B10:B1000"),$B174,INDIRECT(Equipo!$F$4&amp;"!"&amp;ADDRESS(10,COLUMN(D$9)-1)&amp;":"&amp;ADDRESS(1000,COLUMN(D$9)-1))),
SUMIF(INDIRECT(Equipo!$G$4&amp;"!B10:B1000"),$B174,INDIRECT(Equipo!$G$4&amp;"!"&amp;ADDRESS(10,COLUMN(D$9)-1)&amp;":"&amp;ADDRESS(1000,COLUMN(D$9)-1)))))</f>
        <v>-</v>
      </c>
      <c r="E174" s="19" t="str">
        <f t="array" ref="E174">IF(ISBLANK(Tareas!$B170),"-",SUM(
SUMIF(INDIRECT(Equipo!$C$4&amp;"!B10:B1000"),$B174,INDIRECT(Equipo!$C$4&amp;"!"&amp;ADDRESS(10,COLUMN(E$9)-1)&amp;":"&amp;ADDRESS(1000,COLUMN(E$9)-1))),
SUMIF(INDIRECT(Equipo!$D$4&amp;"!B10:B1000"),$B174,INDIRECT(Equipo!$D$4&amp;"!"&amp;ADDRESS(10,COLUMN(E$9)-1)&amp;":"&amp;ADDRESS(1000,COLUMN(E$9)-1))),
SUMIF(INDIRECT(Equipo!$E$4&amp;"!B10:B1000"),$B174,INDIRECT(Equipo!$E$4&amp;"!"&amp;ADDRESS(10,COLUMN(E$9)-1)&amp;":"&amp;ADDRESS(1000,COLUMN(E$9)-1))),
SUMIF(INDIRECT(Equipo!$F$4&amp;"!B10:B1000"),$B174,INDIRECT(Equipo!$F$4&amp;"!"&amp;ADDRESS(10,COLUMN(E$9)-1)&amp;":"&amp;ADDRESS(1000,COLUMN(E$9)-1))),
SUMIF(INDIRECT(Equipo!$G$4&amp;"!B10:B1000"),$B174,INDIRECT(Equipo!$G$4&amp;"!"&amp;ADDRESS(10,COLUMN(E$9)-1)&amp;":"&amp;ADDRESS(1000,COLUMN(E$9)-1)))))</f>
        <v>-</v>
      </c>
      <c r="F174" s="19" t="str">
        <f t="array" ref="F174">IF(ISBLANK(Tareas!$B170),"-",SUM(
SUMIF(INDIRECT(Equipo!$C$4&amp;"!B10:B1000"),$B174,INDIRECT(Equipo!$C$4&amp;"!"&amp;ADDRESS(10,COLUMN(F$9)-1)&amp;":"&amp;ADDRESS(1000,COLUMN(F$9)-1))),
SUMIF(INDIRECT(Equipo!$D$4&amp;"!B10:B1000"),$B174,INDIRECT(Equipo!$D$4&amp;"!"&amp;ADDRESS(10,COLUMN(F$9)-1)&amp;":"&amp;ADDRESS(1000,COLUMN(F$9)-1))),
SUMIF(INDIRECT(Equipo!$E$4&amp;"!B10:B1000"),$B174,INDIRECT(Equipo!$E$4&amp;"!"&amp;ADDRESS(10,COLUMN(F$9)-1)&amp;":"&amp;ADDRESS(1000,COLUMN(F$9)-1))),
SUMIF(INDIRECT(Equipo!$F$4&amp;"!B10:B1000"),$B174,INDIRECT(Equipo!$F$4&amp;"!"&amp;ADDRESS(10,COLUMN(F$9)-1)&amp;":"&amp;ADDRESS(1000,COLUMN(F$9)-1))),
SUMIF(INDIRECT(Equipo!$G$4&amp;"!B10:B1000"),$B174,INDIRECT(Equipo!$G$4&amp;"!"&amp;ADDRESS(10,COLUMN(F$9)-1)&amp;":"&amp;ADDRESS(1000,COLUMN(F$9)-1)))))</f>
        <v>-</v>
      </c>
      <c r="G174" s="19" t="str">
        <f t="array" ref="G174">IF(ISBLANK(Tareas!$B170),"-",SUM(
SUMIF(INDIRECT(Equipo!$C$4&amp;"!B10:B1000"),$B174,INDIRECT(Equipo!$C$4&amp;"!"&amp;ADDRESS(10,COLUMN(G$9)-1)&amp;":"&amp;ADDRESS(1000,COLUMN(G$9)-1))),
SUMIF(INDIRECT(Equipo!$D$4&amp;"!B10:B1000"),$B174,INDIRECT(Equipo!$D$4&amp;"!"&amp;ADDRESS(10,COLUMN(G$9)-1)&amp;":"&amp;ADDRESS(1000,COLUMN(G$9)-1))),
SUMIF(INDIRECT(Equipo!$E$4&amp;"!B10:B1000"),$B174,INDIRECT(Equipo!$E$4&amp;"!"&amp;ADDRESS(10,COLUMN(G$9)-1)&amp;":"&amp;ADDRESS(1000,COLUMN(G$9)-1))),
SUMIF(INDIRECT(Equipo!$F$4&amp;"!B10:B1000"),$B174,INDIRECT(Equipo!$F$4&amp;"!"&amp;ADDRESS(10,COLUMN(G$9)-1)&amp;":"&amp;ADDRESS(1000,COLUMN(G$9)-1))),
SUMIF(INDIRECT(Equipo!$G$4&amp;"!B10:B1000"),$B174,INDIRECT(Equipo!$G$4&amp;"!"&amp;ADDRESS(10,COLUMN(G$9)-1)&amp;":"&amp;ADDRESS(1000,COLUMN(G$9)-1)))))</f>
        <v>-</v>
      </c>
      <c r="H174" s="19" t="str">
        <f t="array" ref="H174">IF(ISBLANK(Tareas!$B170),"-",SUM(
SUMIF(INDIRECT(Equipo!$C$4&amp;"!B10:B1000"),$B174,INDIRECT(Equipo!$C$4&amp;"!"&amp;ADDRESS(10,COLUMN(H$9)-1)&amp;":"&amp;ADDRESS(1000,COLUMN(H$9)-1))),
SUMIF(INDIRECT(Equipo!$D$4&amp;"!B10:B1000"),$B174,INDIRECT(Equipo!$D$4&amp;"!"&amp;ADDRESS(10,COLUMN(H$9)-1)&amp;":"&amp;ADDRESS(1000,COLUMN(H$9)-1))),
SUMIF(INDIRECT(Equipo!$E$4&amp;"!B10:B1000"),$B174,INDIRECT(Equipo!$E$4&amp;"!"&amp;ADDRESS(10,COLUMN(H$9)-1)&amp;":"&amp;ADDRESS(1000,COLUMN(H$9)-1))),
SUMIF(INDIRECT(Equipo!$F$4&amp;"!B10:B1000"),$B174,INDIRECT(Equipo!$F$4&amp;"!"&amp;ADDRESS(10,COLUMN(H$9)-1)&amp;":"&amp;ADDRESS(1000,COLUMN(H$9)-1))),
SUMIF(INDIRECT(Equipo!$G$4&amp;"!B10:B1000"),$B174,INDIRECT(Equipo!$G$4&amp;"!"&amp;ADDRESS(10,COLUMN(H$9)-1)&amp;":"&amp;ADDRESS(1000,COLUMN(H$9)-1)))))</f>
        <v>-</v>
      </c>
      <c r="I174" s="19" t="str">
        <f t="array" ref="I174">IF(ISBLANK(Tareas!$B170),"-",SUM(
SUMIF(INDIRECT(Equipo!$C$4&amp;"!B10:B1000"),$B174,INDIRECT(Equipo!$C$4&amp;"!"&amp;ADDRESS(10,COLUMN(I$9)-1)&amp;":"&amp;ADDRESS(1000,COLUMN(I$9)-1))),
SUMIF(INDIRECT(Equipo!$D$4&amp;"!B10:B1000"),$B174,INDIRECT(Equipo!$D$4&amp;"!"&amp;ADDRESS(10,COLUMN(I$9)-1)&amp;":"&amp;ADDRESS(1000,COLUMN(I$9)-1))),
SUMIF(INDIRECT(Equipo!$E$4&amp;"!B10:B1000"),$B174,INDIRECT(Equipo!$E$4&amp;"!"&amp;ADDRESS(10,COLUMN(I$9)-1)&amp;":"&amp;ADDRESS(1000,COLUMN(I$9)-1))),
SUMIF(INDIRECT(Equipo!$F$4&amp;"!B10:B1000"),$B174,INDIRECT(Equipo!$F$4&amp;"!"&amp;ADDRESS(10,COLUMN(I$9)-1)&amp;":"&amp;ADDRESS(1000,COLUMN(I$9)-1))),
SUMIF(INDIRECT(Equipo!$G$4&amp;"!B10:B1000"),$B174,INDIRECT(Equipo!$G$4&amp;"!"&amp;ADDRESS(10,COLUMN(I$9)-1)&amp;":"&amp;ADDRESS(1000,COLUMN(I$9)-1)))))</f>
        <v>-</v>
      </c>
      <c r="J174" s="19" t="str">
        <f t="array" ref="J174">IF(ISBLANK(Tareas!$B170),"-",SUM(
SUMIF(INDIRECT(Equipo!$C$4&amp;"!B10:B1000"),$B174,INDIRECT(Equipo!$C$4&amp;"!"&amp;ADDRESS(10,COLUMN(J$9)-1)&amp;":"&amp;ADDRESS(1000,COLUMN(J$9)-1))),
SUMIF(INDIRECT(Equipo!$D$4&amp;"!B10:B1000"),$B174,INDIRECT(Equipo!$D$4&amp;"!"&amp;ADDRESS(10,COLUMN(J$9)-1)&amp;":"&amp;ADDRESS(1000,COLUMN(J$9)-1))),
SUMIF(INDIRECT(Equipo!$E$4&amp;"!B10:B1000"),$B174,INDIRECT(Equipo!$E$4&amp;"!"&amp;ADDRESS(10,COLUMN(J$9)-1)&amp;":"&amp;ADDRESS(1000,COLUMN(J$9)-1))),
SUMIF(INDIRECT(Equipo!$F$4&amp;"!B10:B1000"),$B174,INDIRECT(Equipo!$F$4&amp;"!"&amp;ADDRESS(10,COLUMN(J$9)-1)&amp;":"&amp;ADDRESS(1000,COLUMN(J$9)-1))),
SUMIF(INDIRECT(Equipo!$G$4&amp;"!B10:B1000"),$B174,INDIRECT(Equipo!$G$4&amp;"!"&amp;ADDRESS(10,COLUMN(J$9)-1)&amp;":"&amp;ADDRESS(1000,COLUMN(J$9)-1)))))</f>
        <v>-</v>
      </c>
      <c r="K174" s="19" t="str">
        <f t="array" ref="K174">IF(ISBLANK(Tareas!$B170),"-",SUM(
SUMIF(INDIRECT(Equipo!$C$4&amp;"!B10:B1000"),$B174,INDIRECT(Equipo!$C$4&amp;"!"&amp;ADDRESS(10,COLUMN(K$9)-1)&amp;":"&amp;ADDRESS(1000,COLUMN(K$9)-1))),
SUMIF(INDIRECT(Equipo!$D$4&amp;"!B10:B1000"),$B174,INDIRECT(Equipo!$D$4&amp;"!"&amp;ADDRESS(10,COLUMN(K$9)-1)&amp;":"&amp;ADDRESS(1000,COLUMN(K$9)-1))),
SUMIF(INDIRECT(Equipo!$E$4&amp;"!B10:B1000"),$B174,INDIRECT(Equipo!$E$4&amp;"!"&amp;ADDRESS(10,COLUMN(K$9)-1)&amp;":"&amp;ADDRESS(1000,COLUMN(K$9)-1))),
SUMIF(INDIRECT(Equipo!$F$4&amp;"!B10:B1000"),$B174,INDIRECT(Equipo!$F$4&amp;"!"&amp;ADDRESS(10,COLUMN(K$9)-1)&amp;":"&amp;ADDRESS(1000,COLUMN(K$9)-1))),
SUMIF(INDIRECT(Equipo!$G$4&amp;"!B10:B1000"),$B174,INDIRECT(Equipo!$G$4&amp;"!"&amp;ADDRESS(10,COLUMN(K$9)-1)&amp;":"&amp;ADDRESS(1000,COLUMN(K$9)-1)))))</f>
        <v>-</v>
      </c>
    </row>
    <row r="175" ht="15.75" customHeight="1">
      <c r="B175" s="1" t="str">
        <f>IF(ISBLANK(Tareas!B171)," - ",Tareas!B171)</f>
        <v> - </v>
      </c>
      <c r="D175" s="19" t="str">
        <f t="array" ref="D175">IF(ISBLANK(Tareas!$B171),"-",SUM(
SUMIF(INDIRECT(Equipo!$C$4&amp;"!B10:B1000"),$B175,INDIRECT(Equipo!$C$4&amp;"!"&amp;ADDRESS(10,COLUMN(D$9)-1)&amp;":"&amp;ADDRESS(1000,COLUMN(D$9)-1))),
SUMIF(INDIRECT(Equipo!$D$4&amp;"!B10:B1000"),$B175,INDIRECT(Equipo!$D$4&amp;"!"&amp;ADDRESS(10,COLUMN(D$9)-1)&amp;":"&amp;ADDRESS(1000,COLUMN(D$9)-1))),
SUMIF(INDIRECT(Equipo!$E$4&amp;"!B10:B1000"),$B175,INDIRECT(Equipo!$E$4&amp;"!"&amp;ADDRESS(10,COLUMN(D$9)-1)&amp;":"&amp;ADDRESS(1000,COLUMN(D$9)-1))),
SUMIF(INDIRECT(Equipo!$F$4&amp;"!B10:B1000"),$B175,INDIRECT(Equipo!$F$4&amp;"!"&amp;ADDRESS(10,COLUMN(D$9)-1)&amp;":"&amp;ADDRESS(1000,COLUMN(D$9)-1))),
SUMIF(INDIRECT(Equipo!$G$4&amp;"!B10:B1000"),$B175,INDIRECT(Equipo!$G$4&amp;"!"&amp;ADDRESS(10,COLUMN(D$9)-1)&amp;":"&amp;ADDRESS(1000,COLUMN(D$9)-1)))))</f>
        <v>-</v>
      </c>
      <c r="E175" s="19" t="str">
        <f t="array" ref="E175">IF(ISBLANK(Tareas!$B171),"-",SUM(
SUMIF(INDIRECT(Equipo!$C$4&amp;"!B10:B1000"),$B175,INDIRECT(Equipo!$C$4&amp;"!"&amp;ADDRESS(10,COLUMN(E$9)-1)&amp;":"&amp;ADDRESS(1000,COLUMN(E$9)-1))),
SUMIF(INDIRECT(Equipo!$D$4&amp;"!B10:B1000"),$B175,INDIRECT(Equipo!$D$4&amp;"!"&amp;ADDRESS(10,COLUMN(E$9)-1)&amp;":"&amp;ADDRESS(1000,COLUMN(E$9)-1))),
SUMIF(INDIRECT(Equipo!$E$4&amp;"!B10:B1000"),$B175,INDIRECT(Equipo!$E$4&amp;"!"&amp;ADDRESS(10,COLUMN(E$9)-1)&amp;":"&amp;ADDRESS(1000,COLUMN(E$9)-1))),
SUMIF(INDIRECT(Equipo!$F$4&amp;"!B10:B1000"),$B175,INDIRECT(Equipo!$F$4&amp;"!"&amp;ADDRESS(10,COLUMN(E$9)-1)&amp;":"&amp;ADDRESS(1000,COLUMN(E$9)-1))),
SUMIF(INDIRECT(Equipo!$G$4&amp;"!B10:B1000"),$B175,INDIRECT(Equipo!$G$4&amp;"!"&amp;ADDRESS(10,COLUMN(E$9)-1)&amp;":"&amp;ADDRESS(1000,COLUMN(E$9)-1)))))</f>
        <v>-</v>
      </c>
      <c r="F175" s="19" t="str">
        <f t="array" ref="F175">IF(ISBLANK(Tareas!$B171),"-",SUM(
SUMIF(INDIRECT(Equipo!$C$4&amp;"!B10:B1000"),$B175,INDIRECT(Equipo!$C$4&amp;"!"&amp;ADDRESS(10,COLUMN(F$9)-1)&amp;":"&amp;ADDRESS(1000,COLUMN(F$9)-1))),
SUMIF(INDIRECT(Equipo!$D$4&amp;"!B10:B1000"),$B175,INDIRECT(Equipo!$D$4&amp;"!"&amp;ADDRESS(10,COLUMN(F$9)-1)&amp;":"&amp;ADDRESS(1000,COLUMN(F$9)-1))),
SUMIF(INDIRECT(Equipo!$E$4&amp;"!B10:B1000"),$B175,INDIRECT(Equipo!$E$4&amp;"!"&amp;ADDRESS(10,COLUMN(F$9)-1)&amp;":"&amp;ADDRESS(1000,COLUMN(F$9)-1))),
SUMIF(INDIRECT(Equipo!$F$4&amp;"!B10:B1000"),$B175,INDIRECT(Equipo!$F$4&amp;"!"&amp;ADDRESS(10,COLUMN(F$9)-1)&amp;":"&amp;ADDRESS(1000,COLUMN(F$9)-1))),
SUMIF(INDIRECT(Equipo!$G$4&amp;"!B10:B1000"),$B175,INDIRECT(Equipo!$G$4&amp;"!"&amp;ADDRESS(10,COLUMN(F$9)-1)&amp;":"&amp;ADDRESS(1000,COLUMN(F$9)-1)))))</f>
        <v>-</v>
      </c>
      <c r="G175" s="19" t="str">
        <f t="array" ref="G175">IF(ISBLANK(Tareas!$B171),"-",SUM(
SUMIF(INDIRECT(Equipo!$C$4&amp;"!B10:B1000"),$B175,INDIRECT(Equipo!$C$4&amp;"!"&amp;ADDRESS(10,COLUMN(G$9)-1)&amp;":"&amp;ADDRESS(1000,COLUMN(G$9)-1))),
SUMIF(INDIRECT(Equipo!$D$4&amp;"!B10:B1000"),$B175,INDIRECT(Equipo!$D$4&amp;"!"&amp;ADDRESS(10,COLUMN(G$9)-1)&amp;":"&amp;ADDRESS(1000,COLUMN(G$9)-1))),
SUMIF(INDIRECT(Equipo!$E$4&amp;"!B10:B1000"),$B175,INDIRECT(Equipo!$E$4&amp;"!"&amp;ADDRESS(10,COLUMN(G$9)-1)&amp;":"&amp;ADDRESS(1000,COLUMN(G$9)-1))),
SUMIF(INDIRECT(Equipo!$F$4&amp;"!B10:B1000"),$B175,INDIRECT(Equipo!$F$4&amp;"!"&amp;ADDRESS(10,COLUMN(G$9)-1)&amp;":"&amp;ADDRESS(1000,COLUMN(G$9)-1))),
SUMIF(INDIRECT(Equipo!$G$4&amp;"!B10:B1000"),$B175,INDIRECT(Equipo!$G$4&amp;"!"&amp;ADDRESS(10,COLUMN(G$9)-1)&amp;":"&amp;ADDRESS(1000,COLUMN(G$9)-1)))))</f>
        <v>-</v>
      </c>
      <c r="H175" s="19" t="str">
        <f t="array" ref="H175">IF(ISBLANK(Tareas!$B171),"-",SUM(
SUMIF(INDIRECT(Equipo!$C$4&amp;"!B10:B1000"),$B175,INDIRECT(Equipo!$C$4&amp;"!"&amp;ADDRESS(10,COLUMN(H$9)-1)&amp;":"&amp;ADDRESS(1000,COLUMN(H$9)-1))),
SUMIF(INDIRECT(Equipo!$D$4&amp;"!B10:B1000"),$B175,INDIRECT(Equipo!$D$4&amp;"!"&amp;ADDRESS(10,COLUMN(H$9)-1)&amp;":"&amp;ADDRESS(1000,COLUMN(H$9)-1))),
SUMIF(INDIRECT(Equipo!$E$4&amp;"!B10:B1000"),$B175,INDIRECT(Equipo!$E$4&amp;"!"&amp;ADDRESS(10,COLUMN(H$9)-1)&amp;":"&amp;ADDRESS(1000,COLUMN(H$9)-1))),
SUMIF(INDIRECT(Equipo!$F$4&amp;"!B10:B1000"),$B175,INDIRECT(Equipo!$F$4&amp;"!"&amp;ADDRESS(10,COLUMN(H$9)-1)&amp;":"&amp;ADDRESS(1000,COLUMN(H$9)-1))),
SUMIF(INDIRECT(Equipo!$G$4&amp;"!B10:B1000"),$B175,INDIRECT(Equipo!$G$4&amp;"!"&amp;ADDRESS(10,COLUMN(H$9)-1)&amp;":"&amp;ADDRESS(1000,COLUMN(H$9)-1)))))</f>
        <v>-</v>
      </c>
      <c r="I175" s="19" t="str">
        <f t="array" ref="I175">IF(ISBLANK(Tareas!$B171),"-",SUM(
SUMIF(INDIRECT(Equipo!$C$4&amp;"!B10:B1000"),$B175,INDIRECT(Equipo!$C$4&amp;"!"&amp;ADDRESS(10,COLUMN(I$9)-1)&amp;":"&amp;ADDRESS(1000,COLUMN(I$9)-1))),
SUMIF(INDIRECT(Equipo!$D$4&amp;"!B10:B1000"),$B175,INDIRECT(Equipo!$D$4&amp;"!"&amp;ADDRESS(10,COLUMN(I$9)-1)&amp;":"&amp;ADDRESS(1000,COLUMN(I$9)-1))),
SUMIF(INDIRECT(Equipo!$E$4&amp;"!B10:B1000"),$B175,INDIRECT(Equipo!$E$4&amp;"!"&amp;ADDRESS(10,COLUMN(I$9)-1)&amp;":"&amp;ADDRESS(1000,COLUMN(I$9)-1))),
SUMIF(INDIRECT(Equipo!$F$4&amp;"!B10:B1000"),$B175,INDIRECT(Equipo!$F$4&amp;"!"&amp;ADDRESS(10,COLUMN(I$9)-1)&amp;":"&amp;ADDRESS(1000,COLUMN(I$9)-1))),
SUMIF(INDIRECT(Equipo!$G$4&amp;"!B10:B1000"),$B175,INDIRECT(Equipo!$G$4&amp;"!"&amp;ADDRESS(10,COLUMN(I$9)-1)&amp;":"&amp;ADDRESS(1000,COLUMN(I$9)-1)))))</f>
        <v>-</v>
      </c>
      <c r="J175" s="19" t="str">
        <f t="array" ref="J175">IF(ISBLANK(Tareas!$B171),"-",SUM(
SUMIF(INDIRECT(Equipo!$C$4&amp;"!B10:B1000"),$B175,INDIRECT(Equipo!$C$4&amp;"!"&amp;ADDRESS(10,COLUMN(J$9)-1)&amp;":"&amp;ADDRESS(1000,COLUMN(J$9)-1))),
SUMIF(INDIRECT(Equipo!$D$4&amp;"!B10:B1000"),$B175,INDIRECT(Equipo!$D$4&amp;"!"&amp;ADDRESS(10,COLUMN(J$9)-1)&amp;":"&amp;ADDRESS(1000,COLUMN(J$9)-1))),
SUMIF(INDIRECT(Equipo!$E$4&amp;"!B10:B1000"),$B175,INDIRECT(Equipo!$E$4&amp;"!"&amp;ADDRESS(10,COLUMN(J$9)-1)&amp;":"&amp;ADDRESS(1000,COLUMN(J$9)-1))),
SUMIF(INDIRECT(Equipo!$F$4&amp;"!B10:B1000"),$B175,INDIRECT(Equipo!$F$4&amp;"!"&amp;ADDRESS(10,COLUMN(J$9)-1)&amp;":"&amp;ADDRESS(1000,COLUMN(J$9)-1))),
SUMIF(INDIRECT(Equipo!$G$4&amp;"!B10:B1000"),$B175,INDIRECT(Equipo!$G$4&amp;"!"&amp;ADDRESS(10,COLUMN(J$9)-1)&amp;":"&amp;ADDRESS(1000,COLUMN(J$9)-1)))))</f>
        <v>-</v>
      </c>
      <c r="K175" s="19" t="str">
        <f t="array" ref="K175">IF(ISBLANK(Tareas!$B171),"-",SUM(
SUMIF(INDIRECT(Equipo!$C$4&amp;"!B10:B1000"),$B175,INDIRECT(Equipo!$C$4&amp;"!"&amp;ADDRESS(10,COLUMN(K$9)-1)&amp;":"&amp;ADDRESS(1000,COLUMN(K$9)-1))),
SUMIF(INDIRECT(Equipo!$D$4&amp;"!B10:B1000"),$B175,INDIRECT(Equipo!$D$4&amp;"!"&amp;ADDRESS(10,COLUMN(K$9)-1)&amp;":"&amp;ADDRESS(1000,COLUMN(K$9)-1))),
SUMIF(INDIRECT(Equipo!$E$4&amp;"!B10:B1000"),$B175,INDIRECT(Equipo!$E$4&amp;"!"&amp;ADDRESS(10,COLUMN(K$9)-1)&amp;":"&amp;ADDRESS(1000,COLUMN(K$9)-1))),
SUMIF(INDIRECT(Equipo!$F$4&amp;"!B10:B1000"),$B175,INDIRECT(Equipo!$F$4&amp;"!"&amp;ADDRESS(10,COLUMN(K$9)-1)&amp;":"&amp;ADDRESS(1000,COLUMN(K$9)-1))),
SUMIF(INDIRECT(Equipo!$G$4&amp;"!B10:B1000"),$B175,INDIRECT(Equipo!$G$4&amp;"!"&amp;ADDRESS(10,COLUMN(K$9)-1)&amp;":"&amp;ADDRESS(1000,COLUMN(K$9)-1)))))</f>
        <v>-</v>
      </c>
    </row>
    <row r="176" ht="15.75" customHeight="1">
      <c r="B176" s="1" t="str">
        <f>IF(ISBLANK(Tareas!B172)," - ",Tareas!B172)</f>
        <v> - </v>
      </c>
      <c r="D176" s="19" t="str">
        <f t="array" ref="D176">IF(ISBLANK(Tareas!$B172),"-",SUM(
SUMIF(INDIRECT(Equipo!$C$4&amp;"!B10:B1000"),$B176,INDIRECT(Equipo!$C$4&amp;"!"&amp;ADDRESS(10,COLUMN(D$9)-1)&amp;":"&amp;ADDRESS(1000,COLUMN(D$9)-1))),
SUMIF(INDIRECT(Equipo!$D$4&amp;"!B10:B1000"),$B176,INDIRECT(Equipo!$D$4&amp;"!"&amp;ADDRESS(10,COLUMN(D$9)-1)&amp;":"&amp;ADDRESS(1000,COLUMN(D$9)-1))),
SUMIF(INDIRECT(Equipo!$E$4&amp;"!B10:B1000"),$B176,INDIRECT(Equipo!$E$4&amp;"!"&amp;ADDRESS(10,COLUMN(D$9)-1)&amp;":"&amp;ADDRESS(1000,COLUMN(D$9)-1))),
SUMIF(INDIRECT(Equipo!$F$4&amp;"!B10:B1000"),$B176,INDIRECT(Equipo!$F$4&amp;"!"&amp;ADDRESS(10,COLUMN(D$9)-1)&amp;":"&amp;ADDRESS(1000,COLUMN(D$9)-1))),
SUMIF(INDIRECT(Equipo!$G$4&amp;"!B10:B1000"),$B176,INDIRECT(Equipo!$G$4&amp;"!"&amp;ADDRESS(10,COLUMN(D$9)-1)&amp;":"&amp;ADDRESS(1000,COLUMN(D$9)-1)))))</f>
        <v>-</v>
      </c>
      <c r="E176" s="19" t="str">
        <f t="array" ref="E176">IF(ISBLANK(Tareas!$B172),"-",SUM(
SUMIF(INDIRECT(Equipo!$C$4&amp;"!B10:B1000"),$B176,INDIRECT(Equipo!$C$4&amp;"!"&amp;ADDRESS(10,COLUMN(E$9)-1)&amp;":"&amp;ADDRESS(1000,COLUMN(E$9)-1))),
SUMIF(INDIRECT(Equipo!$D$4&amp;"!B10:B1000"),$B176,INDIRECT(Equipo!$D$4&amp;"!"&amp;ADDRESS(10,COLUMN(E$9)-1)&amp;":"&amp;ADDRESS(1000,COLUMN(E$9)-1))),
SUMIF(INDIRECT(Equipo!$E$4&amp;"!B10:B1000"),$B176,INDIRECT(Equipo!$E$4&amp;"!"&amp;ADDRESS(10,COLUMN(E$9)-1)&amp;":"&amp;ADDRESS(1000,COLUMN(E$9)-1))),
SUMIF(INDIRECT(Equipo!$F$4&amp;"!B10:B1000"),$B176,INDIRECT(Equipo!$F$4&amp;"!"&amp;ADDRESS(10,COLUMN(E$9)-1)&amp;":"&amp;ADDRESS(1000,COLUMN(E$9)-1))),
SUMIF(INDIRECT(Equipo!$G$4&amp;"!B10:B1000"),$B176,INDIRECT(Equipo!$G$4&amp;"!"&amp;ADDRESS(10,COLUMN(E$9)-1)&amp;":"&amp;ADDRESS(1000,COLUMN(E$9)-1)))))</f>
        <v>-</v>
      </c>
      <c r="F176" s="19" t="str">
        <f t="array" ref="F176">IF(ISBLANK(Tareas!$B172),"-",SUM(
SUMIF(INDIRECT(Equipo!$C$4&amp;"!B10:B1000"),$B176,INDIRECT(Equipo!$C$4&amp;"!"&amp;ADDRESS(10,COLUMN(F$9)-1)&amp;":"&amp;ADDRESS(1000,COLUMN(F$9)-1))),
SUMIF(INDIRECT(Equipo!$D$4&amp;"!B10:B1000"),$B176,INDIRECT(Equipo!$D$4&amp;"!"&amp;ADDRESS(10,COLUMN(F$9)-1)&amp;":"&amp;ADDRESS(1000,COLUMN(F$9)-1))),
SUMIF(INDIRECT(Equipo!$E$4&amp;"!B10:B1000"),$B176,INDIRECT(Equipo!$E$4&amp;"!"&amp;ADDRESS(10,COLUMN(F$9)-1)&amp;":"&amp;ADDRESS(1000,COLUMN(F$9)-1))),
SUMIF(INDIRECT(Equipo!$F$4&amp;"!B10:B1000"),$B176,INDIRECT(Equipo!$F$4&amp;"!"&amp;ADDRESS(10,COLUMN(F$9)-1)&amp;":"&amp;ADDRESS(1000,COLUMN(F$9)-1))),
SUMIF(INDIRECT(Equipo!$G$4&amp;"!B10:B1000"),$B176,INDIRECT(Equipo!$G$4&amp;"!"&amp;ADDRESS(10,COLUMN(F$9)-1)&amp;":"&amp;ADDRESS(1000,COLUMN(F$9)-1)))))</f>
        <v>-</v>
      </c>
      <c r="G176" s="19" t="str">
        <f t="array" ref="G176">IF(ISBLANK(Tareas!$B172),"-",SUM(
SUMIF(INDIRECT(Equipo!$C$4&amp;"!B10:B1000"),$B176,INDIRECT(Equipo!$C$4&amp;"!"&amp;ADDRESS(10,COLUMN(G$9)-1)&amp;":"&amp;ADDRESS(1000,COLUMN(G$9)-1))),
SUMIF(INDIRECT(Equipo!$D$4&amp;"!B10:B1000"),$B176,INDIRECT(Equipo!$D$4&amp;"!"&amp;ADDRESS(10,COLUMN(G$9)-1)&amp;":"&amp;ADDRESS(1000,COLUMN(G$9)-1))),
SUMIF(INDIRECT(Equipo!$E$4&amp;"!B10:B1000"),$B176,INDIRECT(Equipo!$E$4&amp;"!"&amp;ADDRESS(10,COLUMN(G$9)-1)&amp;":"&amp;ADDRESS(1000,COLUMN(G$9)-1))),
SUMIF(INDIRECT(Equipo!$F$4&amp;"!B10:B1000"),$B176,INDIRECT(Equipo!$F$4&amp;"!"&amp;ADDRESS(10,COLUMN(G$9)-1)&amp;":"&amp;ADDRESS(1000,COLUMN(G$9)-1))),
SUMIF(INDIRECT(Equipo!$G$4&amp;"!B10:B1000"),$B176,INDIRECT(Equipo!$G$4&amp;"!"&amp;ADDRESS(10,COLUMN(G$9)-1)&amp;":"&amp;ADDRESS(1000,COLUMN(G$9)-1)))))</f>
        <v>-</v>
      </c>
      <c r="H176" s="19" t="str">
        <f t="array" ref="H176">IF(ISBLANK(Tareas!$B172),"-",SUM(
SUMIF(INDIRECT(Equipo!$C$4&amp;"!B10:B1000"),$B176,INDIRECT(Equipo!$C$4&amp;"!"&amp;ADDRESS(10,COLUMN(H$9)-1)&amp;":"&amp;ADDRESS(1000,COLUMN(H$9)-1))),
SUMIF(INDIRECT(Equipo!$D$4&amp;"!B10:B1000"),$B176,INDIRECT(Equipo!$D$4&amp;"!"&amp;ADDRESS(10,COLUMN(H$9)-1)&amp;":"&amp;ADDRESS(1000,COLUMN(H$9)-1))),
SUMIF(INDIRECT(Equipo!$E$4&amp;"!B10:B1000"),$B176,INDIRECT(Equipo!$E$4&amp;"!"&amp;ADDRESS(10,COLUMN(H$9)-1)&amp;":"&amp;ADDRESS(1000,COLUMN(H$9)-1))),
SUMIF(INDIRECT(Equipo!$F$4&amp;"!B10:B1000"),$B176,INDIRECT(Equipo!$F$4&amp;"!"&amp;ADDRESS(10,COLUMN(H$9)-1)&amp;":"&amp;ADDRESS(1000,COLUMN(H$9)-1))),
SUMIF(INDIRECT(Equipo!$G$4&amp;"!B10:B1000"),$B176,INDIRECT(Equipo!$G$4&amp;"!"&amp;ADDRESS(10,COLUMN(H$9)-1)&amp;":"&amp;ADDRESS(1000,COLUMN(H$9)-1)))))</f>
        <v>-</v>
      </c>
      <c r="I176" s="19" t="str">
        <f t="array" ref="I176">IF(ISBLANK(Tareas!$B172),"-",SUM(
SUMIF(INDIRECT(Equipo!$C$4&amp;"!B10:B1000"),$B176,INDIRECT(Equipo!$C$4&amp;"!"&amp;ADDRESS(10,COLUMN(I$9)-1)&amp;":"&amp;ADDRESS(1000,COLUMN(I$9)-1))),
SUMIF(INDIRECT(Equipo!$D$4&amp;"!B10:B1000"),$B176,INDIRECT(Equipo!$D$4&amp;"!"&amp;ADDRESS(10,COLUMN(I$9)-1)&amp;":"&amp;ADDRESS(1000,COLUMN(I$9)-1))),
SUMIF(INDIRECT(Equipo!$E$4&amp;"!B10:B1000"),$B176,INDIRECT(Equipo!$E$4&amp;"!"&amp;ADDRESS(10,COLUMN(I$9)-1)&amp;":"&amp;ADDRESS(1000,COLUMN(I$9)-1))),
SUMIF(INDIRECT(Equipo!$F$4&amp;"!B10:B1000"),$B176,INDIRECT(Equipo!$F$4&amp;"!"&amp;ADDRESS(10,COLUMN(I$9)-1)&amp;":"&amp;ADDRESS(1000,COLUMN(I$9)-1))),
SUMIF(INDIRECT(Equipo!$G$4&amp;"!B10:B1000"),$B176,INDIRECT(Equipo!$G$4&amp;"!"&amp;ADDRESS(10,COLUMN(I$9)-1)&amp;":"&amp;ADDRESS(1000,COLUMN(I$9)-1)))))</f>
        <v>-</v>
      </c>
      <c r="J176" s="19" t="str">
        <f t="array" ref="J176">IF(ISBLANK(Tareas!$B172),"-",SUM(
SUMIF(INDIRECT(Equipo!$C$4&amp;"!B10:B1000"),$B176,INDIRECT(Equipo!$C$4&amp;"!"&amp;ADDRESS(10,COLUMN(J$9)-1)&amp;":"&amp;ADDRESS(1000,COLUMN(J$9)-1))),
SUMIF(INDIRECT(Equipo!$D$4&amp;"!B10:B1000"),$B176,INDIRECT(Equipo!$D$4&amp;"!"&amp;ADDRESS(10,COLUMN(J$9)-1)&amp;":"&amp;ADDRESS(1000,COLUMN(J$9)-1))),
SUMIF(INDIRECT(Equipo!$E$4&amp;"!B10:B1000"),$B176,INDIRECT(Equipo!$E$4&amp;"!"&amp;ADDRESS(10,COLUMN(J$9)-1)&amp;":"&amp;ADDRESS(1000,COLUMN(J$9)-1))),
SUMIF(INDIRECT(Equipo!$F$4&amp;"!B10:B1000"),$B176,INDIRECT(Equipo!$F$4&amp;"!"&amp;ADDRESS(10,COLUMN(J$9)-1)&amp;":"&amp;ADDRESS(1000,COLUMN(J$9)-1))),
SUMIF(INDIRECT(Equipo!$G$4&amp;"!B10:B1000"),$B176,INDIRECT(Equipo!$G$4&amp;"!"&amp;ADDRESS(10,COLUMN(J$9)-1)&amp;":"&amp;ADDRESS(1000,COLUMN(J$9)-1)))))</f>
        <v>-</v>
      </c>
      <c r="K176" s="19" t="str">
        <f t="array" ref="K176">IF(ISBLANK(Tareas!$B172),"-",SUM(
SUMIF(INDIRECT(Equipo!$C$4&amp;"!B10:B1000"),$B176,INDIRECT(Equipo!$C$4&amp;"!"&amp;ADDRESS(10,COLUMN(K$9)-1)&amp;":"&amp;ADDRESS(1000,COLUMN(K$9)-1))),
SUMIF(INDIRECT(Equipo!$D$4&amp;"!B10:B1000"),$B176,INDIRECT(Equipo!$D$4&amp;"!"&amp;ADDRESS(10,COLUMN(K$9)-1)&amp;":"&amp;ADDRESS(1000,COLUMN(K$9)-1))),
SUMIF(INDIRECT(Equipo!$E$4&amp;"!B10:B1000"),$B176,INDIRECT(Equipo!$E$4&amp;"!"&amp;ADDRESS(10,COLUMN(K$9)-1)&amp;":"&amp;ADDRESS(1000,COLUMN(K$9)-1))),
SUMIF(INDIRECT(Equipo!$F$4&amp;"!B10:B1000"),$B176,INDIRECT(Equipo!$F$4&amp;"!"&amp;ADDRESS(10,COLUMN(K$9)-1)&amp;":"&amp;ADDRESS(1000,COLUMN(K$9)-1))),
SUMIF(INDIRECT(Equipo!$G$4&amp;"!B10:B1000"),$B176,INDIRECT(Equipo!$G$4&amp;"!"&amp;ADDRESS(10,COLUMN(K$9)-1)&amp;":"&amp;ADDRESS(1000,COLUMN(K$9)-1)))))</f>
        <v>-</v>
      </c>
    </row>
    <row r="177" ht="15.75" customHeight="1">
      <c r="B177" s="1" t="str">
        <f>IF(ISBLANK(Tareas!B173)," - ",Tareas!B173)</f>
        <v> - </v>
      </c>
      <c r="D177" s="19" t="str">
        <f t="array" ref="D177">IF(ISBLANK(Tareas!$B173),"-",SUM(
SUMIF(INDIRECT(Equipo!$C$4&amp;"!B10:B1000"),$B177,INDIRECT(Equipo!$C$4&amp;"!"&amp;ADDRESS(10,COLUMN(D$9)-1)&amp;":"&amp;ADDRESS(1000,COLUMN(D$9)-1))),
SUMIF(INDIRECT(Equipo!$D$4&amp;"!B10:B1000"),$B177,INDIRECT(Equipo!$D$4&amp;"!"&amp;ADDRESS(10,COLUMN(D$9)-1)&amp;":"&amp;ADDRESS(1000,COLUMN(D$9)-1))),
SUMIF(INDIRECT(Equipo!$E$4&amp;"!B10:B1000"),$B177,INDIRECT(Equipo!$E$4&amp;"!"&amp;ADDRESS(10,COLUMN(D$9)-1)&amp;":"&amp;ADDRESS(1000,COLUMN(D$9)-1))),
SUMIF(INDIRECT(Equipo!$F$4&amp;"!B10:B1000"),$B177,INDIRECT(Equipo!$F$4&amp;"!"&amp;ADDRESS(10,COLUMN(D$9)-1)&amp;":"&amp;ADDRESS(1000,COLUMN(D$9)-1))),
SUMIF(INDIRECT(Equipo!$G$4&amp;"!B10:B1000"),$B177,INDIRECT(Equipo!$G$4&amp;"!"&amp;ADDRESS(10,COLUMN(D$9)-1)&amp;":"&amp;ADDRESS(1000,COLUMN(D$9)-1)))))</f>
        <v>-</v>
      </c>
      <c r="E177" s="19" t="str">
        <f t="array" ref="E177">IF(ISBLANK(Tareas!$B173),"-",SUM(
SUMIF(INDIRECT(Equipo!$C$4&amp;"!B10:B1000"),$B177,INDIRECT(Equipo!$C$4&amp;"!"&amp;ADDRESS(10,COLUMN(E$9)-1)&amp;":"&amp;ADDRESS(1000,COLUMN(E$9)-1))),
SUMIF(INDIRECT(Equipo!$D$4&amp;"!B10:B1000"),$B177,INDIRECT(Equipo!$D$4&amp;"!"&amp;ADDRESS(10,COLUMN(E$9)-1)&amp;":"&amp;ADDRESS(1000,COLUMN(E$9)-1))),
SUMIF(INDIRECT(Equipo!$E$4&amp;"!B10:B1000"),$B177,INDIRECT(Equipo!$E$4&amp;"!"&amp;ADDRESS(10,COLUMN(E$9)-1)&amp;":"&amp;ADDRESS(1000,COLUMN(E$9)-1))),
SUMIF(INDIRECT(Equipo!$F$4&amp;"!B10:B1000"),$B177,INDIRECT(Equipo!$F$4&amp;"!"&amp;ADDRESS(10,COLUMN(E$9)-1)&amp;":"&amp;ADDRESS(1000,COLUMN(E$9)-1))),
SUMIF(INDIRECT(Equipo!$G$4&amp;"!B10:B1000"),$B177,INDIRECT(Equipo!$G$4&amp;"!"&amp;ADDRESS(10,COLUMN(E$9)-1)&amp;":"&amp;ADDRESS(1000,COLUMN(E$9)-1)))))</f>
        <v>-</v>
      </c>
      <c r="F177" s="19" t="str">
        <f t="array" ref="F177">IF(ISBLANK(Tareas!$B173),"-",SUM(
SUMIF(INDIRECT(Equipo!$C$4&amp;"!B10:B1000"),$B177,INDIRECT(Equipo!$C$4&amp;"!"&amp;ADDRESS(10,COLUMN(F$9)-1)&amp;":"&amp;ADDRESS(1000,COLUMN(F$9)-1))),
SUMIF(INDIRECT(Equipo!$D$4&amp;"!B10:B1000"),$B177,INDIRECT(Equipo!$D$4&amp;"!"&amp;ADDRESS(10,COLUMN(F$9)-1)&amp;":"&amp;ADDRESS(1000,COLUMN(F$9)-1))),
SUMIF(INDIRECT(Equipo!$E$4&amp;"!B10:B1000"),$B177,INDIRECT(Equipo!$E$4&amp;"!"&amp;ADDRESS(10,COLUMN(F$9)-1)&amp;":"&amp;ADDRESS(1000,COLUMN(F$9)-1))),
SUMIF(INDIRECT(Equipo!$F$4&amp;"!B10:B1000"),$B177,INDIRECT(Equipo!$F$4&amp;"!"&amp;ADDRESS(10,COLUMN(F$9)-1)&amp;":"&amp;ADDRESS(1000,COLUMN(F$9)-1))),
SUMIF(INDIRECT(Equipo!$G$4&amp;"!B10:B1000"),$B177,INDIRECT(Equipo!$G$4&amp;"!"&amp;ADDRESS(10,COLUMN(F$9)-1)&amp;":"&amp;ADDRESS(1000,COLUMN(F$9)-1)))))</f>
        <v>-</v>
      </c>
      <c r="G177" s="19" t="str">
        <f t="array" ref="G177">IF(ISBLANK(Tareas!$B173),"-",SUM(
SUMIF(INDIRECT(Equipo!$C$4&amp;"!B10:B1000"),$B177,INDIRECT(Equipo!$C$4&amp;"!"&amp;ADDRESS(10,COLUMN(G$9)-1)&amp;":"&amp;ADDRESS(1000,COLUMN(G$9)-1))),
SUMIF(INDIRECT(Equipo!$D$4&amp;"!B10:B1000"),$B177,INDIRECT(Equipo!$D$4&amp;"!"&amp;ADDRESS(10,COLUMN(G$9)-1)&amp;":"&amp;ADDRESS(1000,COLUMN(G$9)-1))),
SUMIF(INDIRECT(Equipo!$E$4&amp;"!B10:B1000"),$B177,INDIRECT(Equipo!$E$4&amp;"!"&amp;ADDRESS(10,COLUMN(G$9)-1)&amp;":"&amp;ADDRESS(1000,COLUMN(G$9)-1))),
SUMIF(INDIRECT(Equipo!$F$4&amp;"!B10:B1000"),$B177,INDIRECT(Equipo!$F$4&amp;"!"&amp;ADDRESS(10,COLUMN(G$9)-1)&amp;":"&amp;ADDRESS(1000,COLUMN(G$9)-1))),
SUMIF(INDIRECT(Equipo!$G$4&amp;"!B10:B1000"),$B177,INDIRECT(Equipo!$G$4&amp;"!"&amp;ADDRESS(10,COLUMN(G$9)-1)&amp;":"&amp;ADDRESS(1000,COLUMN(G$9)-1)))))</f>
        <v>-</v>
      </c>
      <c r="H177" s="19" t="str">
        <f t="array" ref="H177">IF(ISBLANK(Tareas!$B173),"-",SUM(
SUMIF(INDIRECT(Equipo!$C$4&amp;"!B10:B1000"),$B177,INDIRECT(Equipo!$C$4&amp;"!"&amp;ADDRESS(10,COLUMN(H$9)-1)&amp;":"&amp;ADDRESS(1000,COLUMN(H$9)-1))),
SUMIF(INDIRECT(Equipo!$D$4&amp;"!B10:B1000"),$B177,INDIRECT(Equipo!$D$4&amp;"!"&amp;ADDRESS(10,COLUMN(H$9)-1)&amp;":"&amp;ADDRESS(1000,COLUMN(H$9)-1))),
SUMIF(INDIRECT(Equipo!$E$4&amp;"!B10:B1000"),$B177,INDIRECT(Equipo!$E$4&amp;"!"&amp;ADDRESS(10,COLUMN(H$9)-1)&amp;":"&amp;ADDRESS(1000,COLUMN(H$9)-1))),
SUMIF(INDIRECT(Equipo!$F$4&amp;"!B10:B1000"),$B177,INDIRECT(Equipo!$F$4&amp;"!"&amp;ADDRESS(10,COLUMN(H$9)-1)&amp;":"&amp;ADDRESS(1000,COLUMN(H$9)-1))),
SUMIF(INDIRECT(Equipo!$G$4&amp;"!B10:B1000"),$B177,INDIRECT(Equipo!$G$4&amp;"!"&amp;ADDRESS(10,COLUMN(H$9)-1)&amp;":"&amp;ADDRESS(1000,COLUMN(H$9)-1)))))</f>
        <v>-</v>
      </c>
      <c r="I177" s="19" t="str">
        <f t="array" ref="I177">IF(ISBLANK(Tareas!$B173),"-",SUM(
SUMIF(INDIRECT(Equipo!$C$4&amp;"!B10:B1000"),$B177,INDIRECT(Equipo!$C$4&amp;"!"&amp;ADDRESS(10,COLUMN(I$9)-1)&amp;":"&amp;ADDRESS(1000,COLUMN(I$9)-1))),
SUMIF(INDIRECT(Equipo!$D$4&amp;"!B10:B1000"),$B177,INDIRECT(Equipo!$D$4&amp;"!"&amp;ADDRESS(10,COLUMN(I$9)-1)&amp;":"&amp;ADDRESS(1000,COLUMN(I$9)-1))),
SUMIF(INDIRECT(Equipo!$E$4&amp;"!B10:B1000"),$B177,INDIRECT(Equipo!$E$4&amp;"!"&amp;ADDRESS(10,COLUMN(I$9)-1)&amp;":"&amp;ADDRESS(1000,COLUMN(I$9)-1))),
SUMIF(INDIRECT(Equipo!$F$4&amp;"!B10:B1000"),$B177,INDIRECT(Equipo!$F$4&amp;"!"&amp;ADDRESS(10,COLUMN(I$9)-1)&amp;":"&amp;ADDRESS(1000,COLUMN(I$9)-1))),
SUMIF(INDIRECT(Equipo!$G$4&amp;"!B10:B1000"),$B177,INDIRECT(Equipo!$G$4&amp;"!"&amp;ADDRESS(10,COLUMN(I$9)-1)&amp;":"&amp;ADDRESS(1000,COLUMN(I$9)-1)))))</f>
        <v>-</v>
      </c>
      <c r="J177" s="19" t="str">
        <f t="array" ref="J177">IF(ISBLANK(Tareas!$B173),"-",SUM(
SUMIF(INDIRECT(Equipo!$C$4&amp;"!B10:B1000"),$B177,INDIRECT(Equipo!$C$4&amp;"!"&amp;ADDRESS(10,COLUMN(J$9)-1)&amp;":"&amp;ADDRESS(1000,COLUMN(J$9)-1))),
SUMIF(INDIRECT(Equipo!$D$4&amp;"!B10:B1000"),$B177,INDIRECT(Equipo!$D$4&amp;"!"&amp;ADDRESS(10,COLUMN(J$9)-1)&amp;":"&amp;ADDRESS(1000,COLUMN(J$9)-1))),
SUMIF(INDIRECT(Equipo!$E$4&amp;"!B10:B1000"),$B177,INDIRECT(Equipo!$E$4&amp;"!"&amp;ADDRESS(10,COLUMN(J$9)-1)&amp;":"&amp;ADDRESS(1000,COLUMN(J$9)-1))),
SUMIF(INDIRECT(Equipo!$F$4&amp;"!B10:B1000"),$B177,INDIRECT(Equipo!$F$4&amp;"!"&amp;ADDRESS(10,COLUMN(J$9)-1)&amp;":"&amp;ADDRESS(1000,COLUMN(J$9)-1))),
SUMIF(INDIRECT(Equipo!$G$4&amp;"!B10:B1000"),$B177,INDIRECT(Equipo!$G$4&amp;"!"&amp;ADDRESS(10,COLUMN(J$9)-1)&amp;":"&amp;ADDRESS(1000,COLUMN(J$9)-1)))))</f>
        <v>-</v>
      </c>
      <c r="K177" s="19" t="str">
        <f t="array" ref="K177">IF(ISBLANK(Tareas!$B173),"-",SUM(
SUMIF(INDIRECT(Equipo!$C$4&amp;"!B10:B1000"),$B177,INDIRECT(Equipo!$C$4&amp;"!"&amp;ADDRESS(10,COLUMN(K$9)-1)&amp;":"&amp;ADDRESS(1000,COLUMN(K$9)-1))),
SUMIF(INDIRECT(Equipo!$D$4&amp;"!B10:B1000"),$B177,INDIRECT(Equipo!$D$4&amp;"!"&amp;ADDRESS(10,COLUMN(K$9)-1)&amp;":"&amp;ADDRESS(1000,COLUMN(K$9)-1))),
SUMIF(INDIRECT(Equipo!$E$4&amp;"!B10:B1000"),$B177,INDIRECT(Equipo!$E$4&amp;"!"&amp;ADDRESS(10,COLUMN(K$9)-1)&amp;":"&amp;ADDRESS(1000,COLUMN(K$9)-1))),
SUMIF(INDIRECT(Equipo!$F$4&amp;"!B10:B1000"),$B177,INDIRECT(Equipo!$F$4&amp;"!"&amp;ADDRESS(10,COLUMN(K$9)-1)&amp;":"&amp;ADDRESS(1000,COLUMN(K$9)-1))),
SUMIF(INDIRECT(Equipo!$G$4&amp;"!B10:B1000"),$B177,INDIRECT(Equipo!$G$4&amp;"!"&amp;ADDRESS(10,COLUMN(K$9)-1)&amp;":"&amp;ADDRESS(1000,COLUMN(K$9)-1)))))</f>
        <v>-</v>
      </c>
    </row>
    <row r="178" ht="15.75" customHeight="1">
      <c r="B178" s="1" t="str">
        <f>IF(ISBLANK(Tareas!B174)," - ",Tareas!B174)</f>
        <v> - </v>
      </c>
      <c r="D178" s="19" t="str">
        <f t="array" ref="D178">IF(ISBLANK(Tareas!$B174),"-",SUM(
SUMIF(INDIRECT(Equipo!$C$4&amp;"!B10:B1000"),$B178,INDIRECT(Equipo!$C$4&amp;"!"&amp;ADDRESS(10,COLUMN(D$9)-1)&amp;":"&amp;ADDRESS(1000,COLUMN(D$9)-1))),
SUMIF(INDIRECT(Equipo!$D$4&amp;"!B10:B1000"),$B178,INDIRECT(Equipo!$D$4&amp;"!"&amp;ADDRESS(10,COLUMN(D$9)-1)&amp;":"&amp;ADDRESS(1000,COLUMN(D$9)-1))),
SUMIF(INDIRECT(Equipo!$E$4&amp;"!B10:B1000"),$B178,INDIRECT(Equipo!$E$4&amp;"!"&amp;ADDRESS(10,COLUMN(D$9)-1)&amp;":"&amp;ADDRESS(1000,COLUMN(D$9)-1))),
SUMIF(INDIRECT(Equipo!$F$4&amp;"!B10:B1000"),$B178,INDIRECT(Equipo!$F$4&amp;"!"&amp;ADDRESS(10,COLUMN(D$9)-1)&amp;":"&amp;ADDRESS(1000,COLUMN(D$9)-1))),
SUMIF(INDIRECT(Equipo!$G$4&amp;"!B10:B1000"),$B178,INDIRECT(Equipo!$G$4&amp;"!"&amp;ADDRESS(10,COLUMN(D$9)-1)&amp;":"&amp;ADDRESS(1000,COLUMN(D$9)-1)))))</f>
        <v>-</v>
      </c>
      <c r="E178" s="19" t="str">
        <f t="array" ref="E178">IF(ISBLANK(Tareas!$B174),"-",SUM(
SUMIF(INDIRECT(Equipo!$C$4&amp;"!B10:B1000"),$B178,INDIRECT(Equipo!$C$4&amp;"!"&amp;ADDRESS(10,COLUMN(E$9)-1)&amp;":"&amp;ADDRESS(1000,COLUMN(E$9)-1))),
SUMIF(INDIRECT(Equipo!$D$4&amp;"!B10:B1000"),$B178,INDIRECT(Equipo!$D$4&amp;"!"&amp;ADDRESS(10,COLUMN(E$9)-1)&amp;":"&amp;ADDRESS(1000,COLUMN(E$9)-1))),
SUMIF(INDIRECT(Equipo!$E$4&amp;"!B10:B1000"),$B178,INDIRECT(Equipo!$E$4&amp;"!"&amp;ADDRESS(10,COLUMN(E$9)-1)&amp;":"&amp;ADDRESS(1000,COLUMN(E$9)-1))),
SUMIF(INDIRECT(Equipo!$F$4&amp;"!B10:B1000"),$B178,INDIRECT(Equipo!$F$4&amp;"!"&amp;ADDRESS(10,COLUMN(E$9)-1)&amp;":"&amp;ADDRESS(1000,COLUMN(E$9)-1))),
SUMIF(INDIRECT(Equipo!$G$4&amp;"!B10:B1000"),$B178,INDIRECT(Equipo!$G$4&amp;"!"&amp;ADDRESS(10,COLUMN(E$9)-1)&amp;":"&amp;ADDRESS(1000,COLUMN(E$9)-1)))))</f>
        <v>-</v>
      </c>
      <c r="F178" s="19" t="str">
        <f t="array" ref="F178">IF(ISBLANK(Tareas!$B174),"-",SUM(
SUMIF(INDIRECT(Equipo!$C$4&amp;"!B10:B1000"),$B178,INDIRECT(Equipo!$C$4&amp;"!"&amp;ADDRESS(10,COLUMN(F$9)-1)&amp;":"&amp;ADDRESS(1000,COLUMN(F$9)-1))),
SUMIF(INDIRECT(Equipo!$D$4&amp;"!B10:B1000"),$B178,INDIRECT(Equipo!$D$4&amp;"!"&amp;ADDRESS(10,COLUMN(F$9)-1)&amp;":"&amp;ADDRESS(1000,COLUMN(F$9)-1))),
SUMIF(INDIRECT(Equipo!$E$4&amp;"!B10:B1000"),$B178,INDIRECT(Equipo!$E$4&amp;"!"&amp;ADDRESS(10,COLUMN(F$9)-1)&amp;":"&amp;ADDRESS(1000,COLUMN(F$9)-1))),
SUMIF(INDIRECT(Equipo!$F$4&amp;"!B10:B1000"),$B178,INDIRECT(Equipo!$F$4&amp;"!"&amp;ADDRESS(10,COLUMN(F$9)-1)&amp;":"&amp;ADDRESS(1000,COLUMN(F$9)-1))),
SUMIF(INDIRECT(Equipo!$G$4&amp;"!B10:B1000"),$B178,INDIRECT(Equipo!$G$4&amp;"!"&amp;ADDRESS(10,COLUMN(F$9)-1)&amp;":"&amp;ADDRESS(1000,COLUMN(F$9)-1)))))</f>
        <v>-</v>
      </c>
      <c r="G178" s="19" t="str">
        <f t="array" ref="G178">IF(ISBLANK(Tareas!$B174),"-",SUM(
SUMIF(INDIRECT(Equipo!$C$4&amp;"!B10:B1000"),$B178,INDIRECT(Equipo!$C$4&amp;"!"&amp;ADDRESS(10,COLUMN(G$9)-1)&amp;":"&amp;ADDRESS(1000,COLUMN(G$9)-1))),
SUMIF(INDIRECT(Equipo!$D$4&amp;"!B10:B1000"),$B178,INDIRECT(Equipo!$D$4&amp;"!"&amp;ADDRESS(10,COLUMN(G$9)-1)&amp;":"&amp;ADDRESS(1000,COLUMN(G$9)-1))),
SUMIF(INDIRECT(Equipo!$E$4&amp;"!B10:B1000"),$B178,INDIRECT(Equipo!$E$4&amp;"!"&amp;ADDRESS(10,COLUMN(G$9)-1)&amp;":"&amp;ADDRESS(1000,COLUMN(G$9)-1))),
SUMIF(INDIRECT(Equipo!$F$4&amp;"!B10:B1000"),$B178,INDIRECT(Equipo!$F$4&amp;"!"&amp;ADDRESS(10,COLUMN(G$9)-1)&amp;":"&amp;ADDRESS(1000,COLUMN(G$9)-1))),
SUMIF(INDIRECT(Equipo!$G$4&amp;"!B10:B1000"),$B178,INDIRECT(Equipo!$G$4&amp;"!"&amp;ADDRESS(10,COLUMN(G$9)-1)&amp;":"&amp;ADDRESS(1000,COLUMN(G$9)-1)))))</f>
        <v>-</v>
      </c>
      <c r="H178" s="19" t="str">
        <f t="array" ref="H178">IF(ISBLANK(Tareas!$B174),"-",SUM(
SUMIF(INDIRECT(Equipo!$C$4&amp;"!B10:B1000"),$B178,INDIRECT(Equipo!$C$4&amp;"!"&amp;ADDRESS(10,COLUMN(H$9)-1)&amp;":"&amp;ADDRESS(1000,COLUMN(H$9)-1))),
SUMIF(INDIRECT(Equipo!$D$4&amp;"!B10:B1000"),$B178,INDIRECT(Equipo!$D$4&amp;"!"&amp;ADDRESS(10,COLUMN(H$9)-1)&amp;":"&amp;ADDRESS(1000,COLUMN(H$9)-1))),
SUMIF(INDIRECT(Equipo!$E$4&amp;"!B10:B1000"),$B178,INDIRECT(Equipo!$E$4&amp;"!"&amp;ADDRESS(10,COLUMN(H$9)-1)&amp;":"&amp;ADDRESS(1000,COLUMN(H$9)-1))),
SUMIF(INDIRECT(Equipo!$F$4&amp;"!B10:B1000"),$B178,INDIRECT(Equipo!$F$4&amp;"!"&amp;ADDRESS(10,COLUMN(H$9)-1)&amp;":"&amp;ADDRESS(1000,COLUMN(H$9)-1))),
SUMIF(INDIRECT(Equipo!$G$4&amp;"!B10:B1000"),$B178,INDIRECT(Equipo!$G$4&amp;"!"&amp;ADDRESS(10,COLUMN(H$9)-1)&amp;":"&amp;ADDRESS(1000,COLUMN(H$9)-1)))))</f>
        <v>-</v>
      </c>
      <c r="I178" s="19" t="str">
        <f t="array" ref="I178">IF(ISBLANK(Tareas!$B174),"-",SUM(
SUMIF(INDIRECT(Equipo!$C$4&amp;"!B10:B1000"),$B178,INDIRECT(Equipo!$C$4&amp;"!"&amp;ADDRESS(10,COLUMN(I$9)-1)&amp;":"&amp;ADDRESS(1000,COLUMN(I$9)-1))),
SUMIF(INDIRECT(Equipo!$D$4&amp;"!B10:B1000"),$B178,INDIRECT(Equipo!$D$4&amp;"!"&amp;ADDRESS(10,COLUMN(I$9)-1)&amp;":"&amp;ADDRESS(1000,COLUMN(I$9)-1))),
SUMIF(INDIRECT(Equipo!$E$4&amp;"!B10:B1000"),$B178,INDIRECT(Equipo!$E$4&amp;"!"&amp;ADDRESS(10,COLUMN(I$9)-1)&amp;":"&amp;ADDRESS(1000,COLUMN(I$9)-1))),
SUMIF(INDIRECT(Equipo!$F$4&amp;"!B10:B1000"),$B178,INDIRECT(Equipo!$F$4&amp;"!"&amp;ADDRESS(10,COLUMN(I$9)-1)&amp;":"&amp;ADDRESS(1000,COLUMN(I$9)-1))),
SUMIF(INDIRECT(Equipo!$G$4&amp;"!B10:B1000"),$B178,INDIRECT(Equipo!$G$4&amp;"!"&amp;ADDRESS(10,COLUMN(I$9)-1)&amp;":"&amp;ADDRESS(1000,COLUMN(I$9)-1)))))</f>
        <v>-</v>
      </c>
      <c r="J178" s="19" t="str">
        <f t="array" ref="J178">IF(ISBLANK(Tareas!$B174),"-",SUM(
SUMIF(INDIRECT(Equipo!$C$4&amp;"!B10:B1000"),$B178,INDIRECT(Equipo!$C$4&amp;"!"&amp;ADDRESS(10,COLUMN(J$9)-1)&amp;":"&amp;ADDRESS(1000,COLUMN(J$9)-1))),
SUMIF(INDIRECT(Equipo!$D$4&amp;"!B10:B1000"),$B178,INDIRECT(Equipo!$D$4&amp;"!"&amp;ADDRESS(10,COLUMN(J$9)-1)&amp;":"&amp;ADDRESS(1000,COLUMN(J$9)-1))),
SUMIF(INDIRECT(Equipo!$E$4&amp;"!B10:B1000"),$B178,INDIRECT(Equipo!$E$4&amp;"!"&amp;ADDRESS(10,COLUMN(J$9)-1)&amp;":"&amp;ADDRESS(1000,COLUMN(J$9)-1))),
SUMIF(INDIRECT(Equipo!$F$4&amp;"!B10:B1000"),$B178,INDIRECT(Equipo!$F$4&amp;"!"&amp;ADDRESS(10,COLUMN(J$9)-1)&amp;":"&amp;ADDRESS(1000,COLUMN(J$9)-1))),
SUMIF(INDIRECT(Equipo!$G$4&amp;"!B10:B1000"),$B178,INDIRECT(Equipo!$G$4&amp;"!"&amp;ADDRESS(10,COLUMN(J$9)-1)&amp;":"&amp;ADDRESS(1000,COLUMN(J$9)-1)))))</f>
        <v>-</v>
      </c>
      <c r="K178" s="19" t="str">
        <f t="array" ref="K178">IF(ISBLANK(Tareas!$B174),"-",SUM(
SUMIF(INDIRECT(Equipo!$C$4&amp;"!B10:B1000"),$B178,INDIRECT(Equipo!$C$4&amp;"!"&amp;ADDRESS(10,COLUMN(K$9)-1)&amp;":"&amp;ADDRESS(1000,COLUMN(K$9)-1))),
SUMIF(INDIRECT(Equipo!$D$4&amp;"!B10:B1000"),$B178,INDIRECT(Equipo!$D$4&amp;"!"&amp;ADDRESS(10,COLUMN(K$9)-1)&amp;":"&amp;ADDRESS(1000,COLUMN(K$9)-1))),
SUMIF(INDIRECT(Equipo!$E$4&amp;"!B10:B1000"),$B178,INDIRECT(Equipo!$E$4&amp;"!"&amp;ADDRESS(10,COLUMN(K$9)-1)&amp;":"&amp;ADDRESS(1000,COLUMN(K$9)-1))),
SUMIF(INDIRECT(Equipo!$F$4&amp;"!B10:B1000"),$B178,INDIRECT(Equipo!$F$4&amp;"!"&amp;ADDRESS(10,COLUMN(K$9)-1)&amp;":"&amp;ADDRESS(1000,COLUMN(K$9)-1))),
SUMIF(INDIRECT(Equipo!$G$4&amp;"!B10:B1000"),$B178,INDIRECT(Equipo!$G$4&amp;"!"&amp;ADDRESS(10,COLUMN(K$9)-1)&amp;":"&amp;ADDRESS(1000,COLUMN(K$9)-1)))))</f>
        <v>-</v>
      </c>
    </row>
    <row r="179" ht="15.75" customHeight="1">
      <c r="B179" s="1" t="str">
        <f>IF(ISBLANK(Tareas!B175)," - ",Tareas!B175)</f>
        <v> - </v>
      </c>
      <c r="D179" s="19" t="str">
        <f t="array" ref="D179">IF(ISBLANK(Tareas!$B175),"-",SUM(
SUMIF(INDIRECT(Equipo!$C$4&amp;"!B10:B1000"),$B179,INDIRECT(Equipo!$C$4&amp;"!"&amp;ADDRESS(10,COLUMN(D$9)-1)&amp;":"&amp;ADDRESS(1000,COLUMN(D$9)-1))),
SUMIF(INDIRECT(Equipo!$D$4&amp;"!B10:B1000"),$B179,INDIRECT(Equipo!$D$4&amp;"!"&amp;ADDRESS(10,COLUMN(D$9)-1)&amp;":"&amp;ADDRESS(1000,COLUMN(D$9)-1))),
SUMIF(INDIRECT(Equipo!$E$4&amp;"!B10:B1000"),$B179,INDIRECT(Equipo!$E$4&amp;"!"&amp;ADDRESS(10,COLUMN(D$9)-1)&amp;":"&amp;ADDRESS(1000,COLUMN(D$9)-1))),
SUMIF(INDIRECT(Equipo!$F$4&amp;"!B10:B1000"),$B179,INDIRECT(Equipo!$F$4&amp;"!"&amp;ADDRESS(10,COLUMN(D$9)-1)&amp;":"&amp;ADDRESS(1000,COLUMN(D$9)-1))),
SUMIF(INDIRECT(Equipo!$G$4&amp;"!B10:B1000"),$B179,INDIRECT(Equipo!$G$4&amp;"!"&amp;ADDRESS(10,COLUMN(D$9)-1)&amp;":"&amp;ADDRESS(1000,COLUMN(D$9)-1)))))</f>
        <v>-</v>
      </c>
      <c r="E179" s="19" t="str">
        <f t="array" ref="E179">IF(ISBLANK(Tareas!$B175),"-",SUM(
SUMIF(INDIRECT(Equipo!$C$4&amp;"!B10:B1000"),$B179,INDIRECT(Equipo!$C$4&amp;"!"&amp;ADDRESS(10,COLUMN(E$9)-1)&amp;":"&amp;ADDRESS(1000,COLUMN(E$9)-1))),
SUMIF(INDIRECT(Equipo!$D$4&amp;"!B10:B1000"),$B179,INDIRECT(Equipo!$D$4&amp;"!"&amp;ADDRESS(10,COLUMN(E$9)-1)&amp;":"&amp;ADDRESS(1000,COLUMN(E$9)-1))),
SUMIF(INDIRECT(Equipo!$E$4&amp;"!B10:B1000"),$B179,INDIRECT(Equipo!$E$4&amp;"!"&amp;ADDRESS(10,COLUMN(E$9)-1)&amp;":"&amp;ADDRESS(1000,COLUMN(E$9)-1))),
SUMIF(INDIRECT(Equipo!$F$4&amp;"!B10:B1000"),$B179,INDIRECT(Equipo!$F$4&amp;"!"&amp;ADDRESS(10,COLUMN(E$9)-1)&amp;":"&amp;ADDRESS(1000,COLUMN(E$9)-1))),
SUMIF(INDIRECT(Equipo!$G$4&amp;"!B10:B1000"),$B179,INDIRECT(Equipo!$G$4&amp;"!"&amp;ADDRESS(10,COLUMN(E$9)-1)&amp;":"&amp;ADDRESS(1000,COLUMN(E$9)-1)))))</f>
        <v>-</v>
      </c>
      <c r="F179" s="19" t="str">
        <f t="array" ref="F179">IF(ISBLANK(Tareas!$B175),"-",SUM(
SUMIF(INDIRECT(Equipo!$C$4&amp;"!B10:B1000"),$B179,INDIRECT(Equipo!$C$4&amp;"!"&amp;ADDRESS(10,COLUMN(F$9)-1)&amp;":"&amp;ADDRESS(1000,COLUMN(F$9)-1))),
SUMIF(INDIRECT(Equipo!$D$4&amp;"!B10:B1000"),$B179,INDIRECT(Equipo!$D$4&amp;"!"&amp;ADDRESS(10,COLUMN(F$9)-1)&amp;":"&amp;ADDRESS(1000,COLUMN(F$9)-1))),
SUMIF(INDIRECT(Equipo!$E$4&amp;"!B10:B1000"),$B179,INDIRECT(Equipo!$E$4&amp;"!"&amp;ADDRESS(10,COLUMN(F$9)-1)&amp;":"&amp;ADDRESS(1000,COLUMN(F$9)-1))),
SUMIF(INDIRECT(Equipo!$F$4&amp;"!B10:B1000"),$B179,INDIRECT(Equipo!$F$4&amp;"!"&amp;ADDRESS(10,COLUMN(F$9)-1)&amp;":"&amp;ADDRESS(1000,COLUMN(F$9)-1))),
SUMIF(INDIRECT(Equipo!$G$4&amp;"!B10:B1000"),$B179,INDIRECT(Equipo!$G$4&amp;"!"&amp;ADDRESS(10,COLUMN(F$9)-1)&amp;":"&amp;ADDRESS(1000,COLUMN(F$9)-1)))))</f>
        <v>-</v>
      </c>
      <c r="G179" s="19" t="str">
        <f t="array" ref="G179">IF(ISBLANK(Tareas!$B175),"-",SUM(
SUMIF(INDIRECT(Equipo!$C$4&amp;"!B10:B1000"),$B179,INDIRECT(Equipo!$C$4&amp;"!"&amp;ADDRESS(10,COLUMN(G$9)-1)&amp;":"&amp;ADDRESS(1000,COLUMN(G$9)-1))),
SUMIF(INDIRECT(Equipo!$D$4&amp;"!B10:B1000"),$B179,INDIRECT(Equipo!$D$4&amp;"!"&amp;ADDRESS(10,COLUMN(G$9)-1)&amp;":"&amp;ADDRESS(1000,COLUMN(G$9)-1))),
SUMIF(INDIRECT(Equipo!$E$4&amp;"!B10:B1000"),$B179,INDIRECT(Equipo!$E$4&amp;"!"&amp;ADDRESS(10,COLUMN(G$9)-1)&amp;":"&amp;ADDRESS(1000,COLUMN(G$9)-1))),
SUMIF(INDIRECT(Equipo!$F$4&amp;"!B10:B1000"),$B179,INDIRECT(Equipo!$F$4&amp;"!"&amp;ADDRESS(10,COLUMN(G$9)-1)&amp;":"&amp;ADDRESS(1000,COLUMN(G$9)-1))),
SUMIF(INDIRECT(Equipo!$G$4&amp;"!B10:B1000"),$B179,INDIRECT(Equipo!$G$4&amp;"!"&amp;ADDRESS(10,COLUMN(G$9)-1)&amp;":"&amp;ADDRESS(1000,COLUMN(G$9)-1)))))</f>
        <v>-</v>
      </c>
      <c r="H179" s="19" t="str">
        <f t="array" ref="H179">IF(ISBLANK(Tareas!$B175),"-",SUM(
SUMIF(INDIRECT(Equipo!$C$4&amp;"!B10:B1000"),$B179,INDIRECT(Equipo!$C$4&amp;"!"&amp;ADDRESS(10,COLUMN(H$9)-1)&amp;":"&amp;ADDRESS(1000,COLUMN(H$9)-1))),
SUMIF(INDIRECT(Equipo!$D$4&amp;"!B10:B1000"),$B179,INDIRECT(Equipo!$D$4&amp;"!"&amp;ADDRESS(10,COLUMN(H$9)-1)&amp;":"&amp;ADDRESS(1000,COLUMN(H$9)-1))),
SUMIF(INDIRECT(Equipo!$E$4&amp;"!B10:B1000"),$B179,INDIRECT(Equipo!$E$4&amp;"!"&amp;ADDRESS(10,COLUMN(H$9)-1)&amp;":"&amp;ADDRESS(1000,COLUMN(H$9)-1))),
SUMIF(INDIRECT(Equipo!$F$4&amp;"!B10:B1000"),$B179,INDIRECT(Equipo!$F$4&amp;"!"&amp;ADDRESS(10,COLUMN(H$9)-1)&amp;":"&amp;ADDRESS(1000,COLUMN(H$9)-1))),
SUMIF(INDIRECT(Equipo!$G$4&amp;"!B10:B1000"),$B179,INDIRECT(Equipo!$G$4&amp;"!"&amp;ADDRESS(10,COLUMN(H$9)-1)&amp;":"&amp;ADDRESS(1000,COLUMN(H$9)-1)))))</f>
        <v>-</v>
      </c>
      <c r="I179" s="19" t="str">
        <f t="array" ref="I179">IF(ISBLANK(Tareas!$B175),"-",SUM(
SUMIF(INDIRECT(Equipo!$C$4&amp;"!B10:B1000"),$B179,INDIRECT(Equipo!$C$4&amp;"!"&amp;ADDRESS(10,COLUMN(I$9)-1)&amp;":"&amp;ADDRESS(1000,COLUMN(I$9)-1))),
SUMIF(INDIRECT(Equipo!$D$4&amp;"!B10:B1000"),$B179,INDIRECT(Equipo!$D$4&amp;"!"&amp;ADDRESS(10,COLUMN(I$9)-1)&amp;":"&amp;ADDRESS(1000,COLUMN(I$9)-1))),
SUMIF(INDIRECT(Equipo!$E$4&amp;"!B10:B1000"),$B179,INDIRECT(Equipo!$E$4&amp;"!"&amp;ADDRESS(10,COLUMN(I$9)-1)&amp;":"&amp;ADDRESS(1000,COLUMN(I$9)-1))),
SUMIF(INDIRECT(Equipo!$F$4&amp;"!B10:B1000"),$B179,INDIRECT(Equipo!$F$4&amp;"!"&amp;ADDRESS(10,COLUMN(I$9)-1)&amp;":"&amp;ADDRESS(1000,COLUMN(I$9)-1))),
SUMIF(INDIRECT(Equipo!$G$4&amp;"!B10:B1000"),$B179,INDIRECT(Equipo!$G$4&amp;"!"&amp;ADDRESS(10,COLUMN(I$9)-1)&amp;":"&amp;ADDRESS(1000,COLUMN(I$9)-1)))))</f>
        <v>-</v>
      </c>
      <c r="J179" s="19" t="str">
        <f t="array" ref="J179">IF(ISBLANK(Tareas!$B175),"-",SUM(
SUMIF(INDIRECT(Equipo!$C$4&amp;"!B10:B1000"),$B179,INDIRECT(Equipo!$C$4&amp;"!"&amp;ADDRESS(10,COLUMN(J$9)-1)&amp;":"&amp;ADDRESS(1000,COLUMN(J$9)-1))),
SUMIF(INDIRECT(Equipo!$D$4&amp;"!B10:B1000"),$B179,INDIRECT(Equipo!$D$4&amp;"!"&amp;ADDRESS(10,COLUMN(J$9)-1)&amp;":"&amp;ADDRESS(1000,COLUMN(J$9)-1))),
SUMIF(INDIRECT(Equipo!$E$4&amp;"!B10:B1000"),$B179,INDIRECT(Equipo!$E$4&amp;"!"&amp;ADDRESS(10,COLUMN(J$9)-1)&amp;":"&amp;ADDRESS(1000,COLUMN(J$9)-1))),
SUMIF(INDIRECT(Equipo!$F$4&amp;"!B10:B1000"),$B179,INDIRECT(Equipo!$F$4&amp;"!"&amp;ADDRESS(10,COLUMN(J$9)-1)&amp;":"&amp;ADDRESS(1000,COLUMN(J$9)-1))),
SUMIF(INDIRECT(Equipo!$G$4&amp;"!B10:B1000"),$B179,INDIRECT(Equipo!$G$4&amp;"!"&amp;ADDRESS(10,COLUMN(J$9)-1)&amp;":"&amp;ADDRESS(1000,COLUMN(J$9)-1)))))</f>
        <v>-</v>
      </c>
      <c r="K179" s="19" t="str">
        <f t="array" ref="K179">IF(ISBLANK(Tareas!$B175),"-",SUM(
SUMIF(INDIRECT(Equipo!$C$4&amp;"!B10:B1000"),$B179,INDIRECT(Equipo!$C$4&amp;"!"&amp;ADDRESS(10,COLUMN(K$9)-1)&amp;":"&amp;ADDRESS(1000,COLUMN(K$9)-1))),
SUMIF(INDIRECT(Equipo!$D$4&amp;"!B10:B1000"),$B179,INDIRECT(Equipo!$D$4&amp;"!"&amp;ADDRESS(10,COLUMN(K$9)-1)&amp;":"&amp;ADDRESS(1000,COLUMN(K$9)-1))),
SUMIF(INDIRECT(Equipo!$E$4&amp;"!B10:B1000"),$B179,INDIRECT(Equipo!$E$4&amp;"!"&amp;ADDRESS(10,COLUMN(K$9)-1)&amp;":"&amp;ADDRESS(1000,COLUMN(K$9)-1))),
SUMIF(INDIRECT(Equipo!$F$4&amp;"!B10:B1000"),$B179,INDIRECT(Equipo!$F$4&amp;"!"&amp;ADDRESS(10,COLUMN(K$9)-1)&amp;":"&amp;ADDRESS(1000,COLUMN(K$9)-1))),
SUMIF(INDIRECT(Equipo!$G$4&amp;"!B10:B1000"),$B179,INDIRECT(Equipo!$G$4&amp;"!"&amp;ADDRESS(10,COLUMN(K$9)-1)&amp;":"&amp;ADDRESS(1000,COLUMN(K$9)-1)))))</f>
        <v>-</v>
      </c>
    </row>
    <row r="180" ht="15.75" customHeight="1">
      <c r="B180" s="1" t="str">
        <f>IF(ISBLANK(Tareas!B176)," - ",Tareas!B176)</f>
        <v> - </v>
      </c>
      <c r="D180" s="19" t="str">
        <f t="array" ref="D180">IF(ISBLANK(Tareas!$B176),"-",SUM(
SUMIF(INDIRECT(Equipo!$C$4&amp;"!B10:B1000"),$B180,INDIRECT(Equipo!$C$4&amp;"!"&amp;ADDRESS(10,COLUMN(D$9)-1)&amp;":"&amp;ADDRESS(1000,COLUMN(D$9)-1))),
SUMIF(INDIRECT(Equipo!$D$4&amp;"!B10:B1000"),$B180,INDIRECT(Equipo!$D$4&amp;"!"&amp;ADDRESS(10,COLUMN(D$9)-1)&amp;":"&amp;ADDRESS(1000,COLUMN(D$9)-1))),
SUMIF(INDIRECT(Equipo!$E$4&amp;"!B10:B1000"),$B180,INDIRECT(Equipo!$E$4&amp;"!"&amp;ADDRESS(10,COLUMN(D$9)-1)&amp;":"&amp;ADDRESS(1000,COLUMN(D$9)-1))),
SUMIF(INDIRECT(Equipo!$F$4&amp;"!B10:B1000"),$B180,INDIRECT(Equipo!$F$4&amp;"!"&amp;ADDRESS(10,COLUMN(D$9)-1)&amp;":"&amp;ADDRESS(1000,COLUMN(D$9)-1))),
SUMIF(INDIRECT(Equipo!$G$4&amp;"!B10:B1000"),$B180,INDIRECT(Equipo!$G$4&amp;"!"&amp;ADDRESS(10,COLUMN(D$9)-1)&amp;":"&amp;ADDRESS(1000,COLUMN(D$9)-1)))))</f>
        <v>-</v>
      </c>
      <c r="E180" s="19" t="str">
        <f t="array" ref="E180">IF(ISBLANK(Tareas!$B176),"-",SUM(
SUMIF(INDIRECT(Equipo!$C$4&amp;"!B10:B1000"),$B180,INDIRECT(Equipo!$C$4&amp;"!"&amp;ADDRESS(10,COLUMN(E$9)-1)&amp;":"&amp;ADDRESS(1000,COLUMN(E$9)-1))),
SUMIF(INDIRECT(Equipo!$D$4&amp;"!B10:B1000"),$B180,INDIRECT(Equipo!$D$4&amp;"!"&amp;ADDRESS(10,COLUMN(E$9)-1)&amp;":"&amp;ADDRESS(1000,COLUMN(E$9)-1))),
SUMIF(INDIRECT(Equipo!$E$4&amp;"!B10:B1000"),$B180,INDIRECT(Equipo!$E$4&amp;"!"&amp;ADDRESS(10,COLUMN(E$9)-1)&amp;":"&amp;ADDRESS(1000,COLUMN(E$9)-1))),
SUMIF(INDIRECT(Equipo!$F$4&amp;"!B10:B1000"),$B180,INDIRECT(Equipo!$F$4&amp;"!"&amp;ADDRESS(10,COLUMN(E$9)-1)&amp;":"&amp;ADDRESS(1000,COLUMN(E$9)-1))),
SUMIF(INDIRECT(Equipo!$G$4&amp;"!B10:B1000"),$B180,INDIRECT(Equipo!$G$4&amp;"!"&amp;ADDRESS(10,COLUMN(E$9)-1)&amp;":"&amp;ADDRESS(1000,COLUMN(E$9)-1)))))</f>
        <v>-</v>
      </c>
      <c r="F180" s="19" t="str">
        <f t="array" ref="F180">IF(ISBLANK(Tareas!$B176),"-",SUM(
SUMIF(INDIRECT(Equipo!$C$4&amp;"!B10:B1000"),$B180,INDIRECT(Equipo!$C$4&amp;"!"&amp;ADDRESS(10,COLUMN(F$9)-1)&amp;":"&amp;ADDRESS(1000,COLUMN(F$9)-1))),
SUMIF(INDIRECT(Equipo!$D$4&amp;"!B10:B1000"),$B180,INDIRECT(Equipo!$D$4&amp;"!"&amp;ADDRESS(10,COLUMN(F$9)-1)&amp;":"&amp;ADDRESS(1000,COLUMN(F$9)-1))),
SUMIF(INDIRECT(Equipo!$E$4&amp;"!B10:B1000"),$B180,INDIRECT(Equipo!$E$4&amp;"!"&amp;ADDRESS(10,COLUMN(F$9)-1)&amp;":"&amp;ADDRESS(1000,COLUMN(F$9)-1))),
SUMIF(INDIRECT(Equipo!$F$4&amp;"!B10:B1000"),$B180,INDIRECT(Equipo!$F$4&amp;"!"&amp;ADDRESS(10,COLUMN(F$9)-1)&amp;":"&amp;ADDRESS(1000,COLUMN(F$9)-1))),
SUMIF(INDIRECT(Equipo!$G$4&amp;"!B10:B1000"),$B180,INDIRECT(Equipo!$G$4&amp;"!"&amp;ADDRESS(10,COLUMN(F$9)-1)&amp;":"&amp;ADDRESS(1000,COLUMN(F$9)-1)))))</f>
        <v>-</v>
      </c>
      <c r="G180" s="19" t="str">
        <f t="array" ref="G180">IF(ISBLANK(Tareas!$B176),"-",SUM(
SUMIF(INDIRECT(Equipo!$C$4&amp;"!B10:B1000"),$B180,INDIRECT(Equipo!$C$4&amp;"!"&amp;ADDRESS(10,COLUMN(G$9)-1)&amp;":"&amp;ADDRESS(1000,COLUMN(G$9)-1))),
SUMIF(INDIRECT(Equipo!$D$4&amp;"!B10:B1000"),$B180,INDIRECT(Equipo!$D$4&amp;"!"&amp;ADDRESS(10,COLUMN(G$9)-1)&amp;":"&amp;ADDRESS(1000,COLUMN(G$9)-1))),
SUMIF(INDIRECT(Equipo!$E$4&amp;"!B10:B1000"),$B180,INDIRECT(Equipo!$E$4&amp;"!"&amp;ADDRESS(10,COLUMN(G$9)-1)&amp;":"&amp;ADDRESS(1000,COLUMN(G$9)-1))),
SUMIF(INDIRECT(Equipo!$F$4&amp;"!B10:B1000"),$B180,INDIRECT(Equipo!$F$4&amp;"!"&amp;ADDRESS(10,COLUMN(G$9)-1)&amp;":"&amp;ADDRESS(1000,COLUMN(G$9)-1))),
SUMIF(INDIRECT(Equipo!$G$4&amp;"!B10:B1000"),$B180,INDIRECT(Equipo!$G$4&amp;"!"&amp;ADDRESS(10,COLUMN(G$9)-1)&amp;":"&amp;ADDRESS(1000,COLUMN(G$9)-1)))))</f>
        <v>-</v>
      </c>
      <c r="H180" s="19" t="str">
        <f t="array" ref="H180">IF(ISBLANK(Tareas!$B176),"-",SUM(
SUMIF(INDIRECT(Equipo!$C$4&amp;"!B10:B1000"),$B180,INDIRECT(Equipo!$C$4&amp;"!"&amp;ADDRESS(10,COLUMN(H$9)-1)&amp;":"&amp;ADDRESS(1000,COLUMN(H$9)-1))),
SUMIF(INDIRECT(Equipo!$D$4&amp;"!B10:B1000"),$B180,INDIRECT(Equipo!$D$4&amp;"!"&amp;ADDRESS(10,COLUMN(H$9)-1)&amp;":"&amp;ADDRESS(1000,COLUMN(H$9)-1))),
SUMIF(INDIRECT(Equipo!$E$4&amp;"!B10:B1000"),$B180,INDIRECT(Equipo!$E$4&amp;"!"&amp;ADDRESS(10,COLUMN(H$9)-1)&amp;":"&amp;ADDRESS(1000,COLUMN(H$9)-1))),
SUMIF(INDIRECT(Equipo!$F$4&amp;"!B10:B1000"),$B180,INDIRECT(Equipo!$F$4&amp;"!"&amp;ADDRESS(10,COLUMN(H$9)-1)&amp;":"&amp;ADDRESS(1000,COLUMN(H$9)-1))),
SUMIF(INDIRECT(Equipo!$G$4&amp;"!B10:B1000"),$B180,INDIRECT(Equipo!$G$4&amp;"!"&amp;ADDRESS(10,COLUMN(H$9)-1)&amp;":"&amp;ADDRESS(1000,COLUMN(H$9)-1)))))</f>
        <v>-</v>
      </c>
      <c r="I180" s="19" t="str">
        <f t="array" ref="I180">IF(ISBLANK(Tareas!$B176),"-",SUM(
SUMIF(INDIRECT(Equipo!$C$4&amp;"!B10:B1000"),$B180,INDIRECT(Equipo!$C$4&amp;"!"&amp;ADDRESS(10,COLUMN(I$9)-1)&amp;":"&amp;ADDRESS(1000,COLUMN(I$9)-1))),
SUMIF(INDIRECT(Equipo!$D$4&amp;"!B10:B1000"),$B180,INDIRECT(Equipo!$D$4&amp;"!"&amp;ADDRESS(10,COLUMN(I$9)-1)&amp;":"&amp;ADDRESS(1000,COLUMN(I$9)-1))),
SUMIF(INDIRECT(Equipo!$E$4&amp;"!B10:B1000"),$B180,INDIRECT(Equipo!$E$4&amp;"!"&amp;ADDRESS(10,COLUMN(I$9)-1)&amp;":"&amp;ADDRESS(1000,COLUMN(I$9)-1))),
SUMIF(INDIRECT(Equipo!$F$4&amp;"!B10:B1000"),$B180,INDIRECT(Equipo!$F$4&amp;"!"&amp;ADDRESS(10,COLUMN(I$9)-1)&amp;":"&amp;ADDRESS(1000,COLUMN(I$9)-1))),
SUMIF(INDIRECT(Equipo!$G$4&amp;"!B10:B1000"),$B180,INDIRECT(Equipo!$G$4&amp;"!"&amp;ADDRESS(10,COLUMN(I$9)-1)&amp;":"&amp;ADDRESS(1000,COLUMN(I$9)-1)))))</f>
        <v>-</v>
      </c>
      <c r="J180" s="19" t="str">
        <f t="array" ref="J180">IF(ISBLANK(Tareas!$B176),"-",SUM(
SUMIF(INDIRECT(Equipo!$C$4&amp;"!B10:B1000"),$B180,INDIRECT(Equipo!$C$4&amp;"!"&amp;ADDRESS(10,COLUMN(J$9)-1)&amp;":"&amp;ADDRESS(1000,COLUMN(J$9)-1))),
SUMIF(INDIRECT(Equipo!$D$4&amp;"!B10:B1000"),$B180,INDIRECT(Equipo!$D$4&amp;"!"&amp;ADDRESS(10,COLUMN(J$9)-1)&amp;":"&amp;ADDRESS(1000,COLUMN(J$9)-1))),
SUMIF(INDIRECT(Equipo!$E$4&amp;"!B10:B1000"),$B180,INDIRECT(Equipo!$E$4&amp;"!"&amp;ADDRESS(10,COLUMN(J$9)-1)&amp;":"&amp;ADDRESS(1000,COLUMN(J$9)-1))),
SUMIF(INDIRECT(Equipo!$F$4&amp;"!B10:B1000"),$B180,INDIRECT(Equipo!$F$4&amp;"!"&amp;ADDRESS(10,COLUMN(J$9)-1)&amp;":"&amp;ADDRESS(1000,COLUMN(J$9)-1))),
SUMIF(INDIRECT(Equipo!$G$4&amp;"!B10:B1000"),$B180,INDIRECT(Equipo!$G$4&amp;"!"&amp;ADDRESS(10,COLUMN(J$9)-1)&amp;":"&amp;ADDRESS(1000,COLUMN(J$9)-1)))))</f>
        <v>-</v>
      </c>
      <c r="K180" s="19" t="str">
        <f t="array" ref="K180">IF(ISBLANK(Tareas!$B176),"-",SUM(
SUMIF(INDIRECT(Equipo!$C$4&amp;"!B10:B1000"),$B180,INDIRECT(Equipo!$C$4&amp;"!"&amp;ADDRESS(10,COLUMN(K$9)-1)&amp;":"&amp;ADDRESS(1000,COLUMN(K$9)-1))),
SUMIF(INDIRECT(Equipo!$D$4&amp;"!B10:B1000"),$B180,INDIRECT(Equipo!$D$4&amp;"!"&amp;ADDRESS(10,COLUMN(K$9)-1)&amp;":"&amp;ADDRESS(1000,COLUMN(K$9)-1))),
SUMIF(INDIRECT(Equipo!$E$4&amp;"!B10:B1000"),$B180,INDIRECT(Equipo!$E$4&amp;"!"&amp;ADDRESS(10,COLUMN(K$9)-1)&amp;":"&amp;ADDRESS(1000,COLUMN(K$9)-1))),
SUMIF(INDIRECT(Equipo!$F$4&amp;"!B10:B1000"),$B180,INDIRECT(Equipo!$F$4&amp;"!"&amp;ADDRESS(10,COLUMN(K$9)-1)&amp;":"&amp;ADDRESS(1000,COLUMN(K$9)-1))),
SUMIF(INDIRECT(Equipo!$G$4&amp;"!B10:B1000"),$B180,INDIRECT(Equipo!$G$4&amp;"!"&amp;ADDRESS(10,COLUMN(K$9)-1)&amp;":"&amp;ADDRESS(1000,COLUMN(K$9)-1)))))</f>
        <v>-</v>
      </c>
    </row>
    <row r="181" ht="15.75" customHeight="1">
      <c r="B181" s="1" t="str">
        <f>IF(ISBLANK(Tareas!B177)," - ",Tareas!B177)</f>
        <v> - </v>
      </c>
      <c r="D181" s="19" t="str">
        <f t="array" ref="D181">IF(ISBLANK(Tareas!$B177),"-",SUM(
SUMIF(INDIRECT(Equipo!$C$4&amp;"!B10:B1000"),$B181,INDIRECT(Equipo!$C$4&amp;"!"&amp;ADDRESS(10,COLUMN(D$9)-1)&amp;":"&amp;ADDRESS(1000,COLUMN(D$9)-1))),
SUMIF(INDIRECT(Equipo!$D$4&amp;"!B10:B1000"),$B181,INDIRECT(Equipo!$D$4&amp;"!"&amp;ADDRESS(10,COLUMN(D$9)-1)&amp;":"&amp;ADDRESS(1000,COLUMN(D$9)-1))),
SUMIF(INDIRECT(Equipo!$E$4&amp;"!B10:B1000"),$B181,INDIRECT(Equipo!$E$4&amp;"!"&amp;ADDRESS(10,COLUMN(D$9)-1)&amp;":"&amp;ADDRESS(1000,COLUMN(D$9)-1))),
SUMIF(INDIRECT(Equipo!$F$4&amp;"!B10:B1000"),$B181,INDIRECT(Equipo!$F$4&amp;"!"&amp;ADDRESS(10,COLUMN(D$9)-1)&amp;":"&amp;ADDRESS(1000,COLUMN(D$9)-1))),
SUMIF(INDIRECT(Equipo!$G$4&amp;"!B10:B1000"),$B181,INDIRECT(Equipo!$G$4&amp;"!"&amp;ADDRESS(10,COLUMN(D$9)-1)&amp;":"&amp;ADDRESS(1000,COLUMN(D$9)-1)))))</f>
        <v>-</v>
      </c>
      <c r="E181" s="19" t="str">
        <f t="array" ref="E181">IF(ISBLANK(Tareas!$B177),"-",SUM(
SUMIF(INDIRECT(Equipo!$C$4&amp;"!B10:B1000"),$B181,INDIRECT(Equipo!$C$4&amp;"!"&amp;ADDRESS(10,COLUMN(E$9)-1)&amp;":"&amp;ADDRESS(1000,COLUMN(E$9)-1))),
SUMIF(INDIRECT(Equipo!$D$4&amp;"!B10:B1000"),$B181,INDIRECT(Equipo!$D$4&amp;"!"&amp;ADDRESS(10,COLUMN(E$9)-1)&amp;":"&amp;ADDRESS(1000,COLUMN(E$9)-1))),
SUMIF(INDIRECT(Equipo!$E$4&amp;"!B10:B1000"),$B181,INDIRECT(Equipo!$E$4&amp;"!"&amp;ADDRESS(10,COLUMN(E$9)-1)&amp;":"&amp;ADDRESS(1000,COLUMN(E$9)-1))),
SUMIF(INDIRECT(Equipo!$F$4&amp;"!B10:B1000"),$B181,INDIRECT(Equipo!$F$4&amp;"!"&amp;ADDRESS(10,COLUMN(E$9)-1)&amp;":"&amp;ADDRESS(1000,COLUMN(E$9)-1))),
SUMIF(INDIRECT(Equipo!$G$4&amp;"!B10:B1000"),$B181,INDIRECT(Equipo!$G$4&amp;"!"&amp;ADDRESS(10,COLUMN(E$9)-1)&amp;":"&amp;ADDRESS(1000,COLUMN(E$9)-1)))))</f>
        <v>-</v>
      </c>
      <c r="F181" s="19" t="str">
        <f t="array" ref="F181">IF(ISBLANK(Tareas!$B177),"-",SUM(
SUMIF(INDIRECT(Equipo!$C$4&amp;"!B10:B1000"),$B181,INDIRECT(Equipo!$C$4&amp;"!"&amp;ADDRESS(10,COLUMN(F$9)-1)&amp;":"&amp;ADDRESS(1000,COLUMN(F$9)-1))),
SUMIF(INDIRECT(Equipo!$D$4&amp;"!B10:B1000"),$B181,INDIRECT(Equipo!$D$4&amp;"!"&amp;ADDRESS(10,COLUMN(F$9)-1)&amp;":"&amp;ADDRESS(1000,COLUMN(F$9)-1))),
SUMIF(INDIRECT(Equipo!$E$4&amp;"!B10:B1000"),$B181,INDIRECT(Equipo!$E$4&amp;"!"&amp;ADDRESS(10,COLUMN(F$9)-1)&amp;":"&amp;ADDRESS(1000,COLUMN(F$9)-1))),
SUMIF(INDIRECT(Equipo!$F$4&amp;"!B10:B1000"),$B181,INDIRECT(Equipo!$F$4&amp;"!"&amp;ADDRESS(10,COLUMN(F$9)-1)&amp;":"&amp;ADDRESS(1000,COLUMN(F$9)-1))),
SUMIF(INDIRECT(Equipo!$G$4&amp;"!B10:B1000"),$B181,INDIRECT(Equipo!$G$4&amp;"!"&amp;ADDRESS(10,COLUMN(F$9)-1)&amp;":"&amp;ADDRESS(1000,COLUMN(F$9)-1)))))</f>
        <v>-</v>
      </c>
      <c r="G181" s="19" t="str">
        <f t="array" ref="G181">IF(ISBLANK(Tareas!$B177),"-",SUM(
SUMIF(INDIRECT(Equipo!$C$4&amp;"!B10:B1000"),$B181,INDIRECT(Equipo!$C$4&amp;"!"&amp;ADDRESS(10,COLUMN(G$9)-1)&amp;":"&amp;ADDRESS(1000,COLUMN(G$9)-1))),
SUMIF(INDIRECT(Equipo!$D$4&amp;"!B10:B1000"),$B181,INDIRECT(Equipo!$D$4&amp;"!"&amp;ADDRESS(10,COLUMN(G$9)-1)&amp;":"&amp;ADDRESS(1000,COLUMN(G$9)-1))),
SUMIF(INDIRECT(Equipo!$E$4&amp;"!B10:B1000"),$B181,INDIRECT(Equipo!$E$4&amp;"!"&amp;ADDRESS(10,COLUMN(G$9)-1)&amp;":"&amp;ADDRESS(1000,COLUMN(G$9)-1))),
SUMIF(INDIRECT(Equipo!$F$4&amp;"!B10:B1000"),$B181,INDIRECT(Equipo!$F$4&amp;"!"&amp;ADDRESS(10,COLUMN(G$9)-1)&amp;":"&amp;ADDRESS(1000,COLUMN(G$9)-1))),
SUMIF(INDIRECT(Equipo!$G$4&amp;"!B10:B1000"),$B181,INDIRECT(Equipo!$G$4&amp;"!"&amp;ADDRESS(10,COLUMN(G$9)-1)&amp;":"&amp;ADDRESS(1000,COLUMN(G$9)-1)))))</f>
        <v>-</v>
      </c>
      <c r="H181" s="19" t="str">
        <f t="array" ref="H181">IF(ISBLANK(Tareas!$B177),"-",SUM(
SUMIF(INDIRECT(Equipo!$C$4&amp;"!B10:B1000"),$B181,INDIRECT(Equipo!$C$4&amp;"!"&amp;ADDRESS(10,COLUMN(H$9)-1)&amp;":"&amp;ADDRESS(1000,COLUMN(H$9)-1))),
SUMIF(INDIRECT(Equipo!$D$4&amp;"!B10:B1000"),$B181,INDIRECT(Equipo!$D$4&amp;"!"&amp;ADDRESS(10,COLUMN(H$9)-1)&amp;":"&amp;ADDRESS(1000,COLUMN(H$9)-1))),
SUMIF(INDIRECT(Equipo!$E$4&amp;"!B10:B1000"),$B181,INDIRECT(Equipo!$E$4&amp;"!"&amp;ADDRESS(10,COLUMN(H$9)-1)&amp;":"&amp;ADDRESS(1000,COLUMN(H$9)-1))),
SUMIF(INDIRECT(Equipo!$F$4&amp;"!B10:B1000"),$B181,INDIRECT(Equipo!$F$4&amp;"!"&amp;ADDRESS(10,COLUMN(H$9)-1)&amp;":"&amp;ADDRESS(1000,COLUMN(H$9)-1))),
SUMIF(INDIRECT(Equipo!$G$4&amp;"!B10:B1000"),$B181,INDIRECT(Equipo!$G$4&amp;"!"&amp;ADDRESS(10,COLUMN(H$9)-1)&amp;":"&amp;ADDRESS(1000,COLUMN(H$9)-1)))))</f>
        <v>-</v>
      </c>
      <c r="I181" s="19" t="str">
        <f t="array" ref="I181">IF(ISBLANK(Tareas!$B177),"-",SUM(
SUMIF(INDIRECT(Equipo!$C$4&amp;"!B10:B1000"),$B181,INDIRECT(Equipo!$C$4&amp;"!"&amp;ADDRESS(10,COLUMN(I$9)-1)&amp;":"&amp;ADDRESS(1000,COLUMN(I$9)-1))),
SUMIF(INDIRECT(Equipo!$D$4&amp;"!B10:B1000"),$B181,INDIRECT(Equipo!$D$4&amp;"!"&amp;ADDRESS(10,COLUMN(I$9)-1)&amp;":"&amp;ADDRESS(1000,COLUMN(I$9)-1))),
SUMIF(INDIRECT(Equipo!$E$4&amp;"!B10:B1000"),$B181,INDIRECT(Equipo!$E$4&amp;"!"&amp;ADDRESS(10,COLUMN(I$9)-1)&amp;":"&amp;ADDRESS(1000,COLUMN(I$9)-1))),
SUMIF(INDIRECT(Equipo!$F$4&amp;"!B10:B1000"),$B181,INDIRECT(Equipo!$F$4&amp;"!"&amp;ADDRESS(10,COLUMN(I$9)-1)&amp;":"&amp;ADDRESS(1000,COLUMN(I$9)-1))),
SUMIF(INDIRECT(Equipo!$G$4&amp;"!B10:B1000"),$B181,INDIRECT(Equipo!$G$4&amp;"!"&amp;ADDRESS(10,COLUMN(I$9)-1)&amp;":"&amp;ADDRESS(1000,COLUMN(I$9)-1)))))</f>
        <v>-</v>
      </c>
      <c r="J181" s="19" t="str">
        <f t="array" ref="J181">IF(ISBLANK(Tareas!$B177),"-",SUM(
SUMIF(INDIRECT(Equipo!$C$4&amp;"!B10:B1000"),$B181,INDIRECT(Equipo!$C$4&amp;"!"&amp;ADDRESS(10,COLUMN(J$9)-1)&amp;":"&amp;ADDRESS(1000,COLUMN(J$9)-1))),
SUMIF(INDIRECT(Equipo!$D$4&amp;"!B10:B1000"),$B181,INDIRECT(Equipo!$D$4&amp;"!"&amp;ADDRESS(10,COLUMN(J$9)-1)&amp;":"&amp;ADDRESS(1000,COLUMN(J$9)-1))),
SUMIF(INDIRECT(Equipo!$E$4&amp;"!B10:B1000"),$B181,INDIRECT(Equipo!$E$4&amp;"!"&amp;ADDRESS(10,COLUMN(J$9)-1)&amp;":"&amp;ADDRESS(1000,COLUMN(J$9)-1))),
SUMIF(INDIRECT(Equipo!$F$4&amp;"!B10:B1000"),$B181,INDIRECT(Equipo!$F$4&amp;"!"&amp;ADDRESS(10,COLUMN(J$9)-1)&amp;":"&amp;ADDRESS(1000,COLUMN(J$9)-1))),
SUMIF(INDIRECT(Equipo!$G$4&amp;"!B10:B1000"),$B181,INDIRECT(Equipo!$G$4&amp;"!"&amp;ADDRESS(10,COLUMN(J$9)-1)&amp;":"&amp;ADDRESS(1000,COLUMN(J$9)-1)))))</f>
        <v>-</v>
      </c>
      <c r="K181" s="19" t="str">
        <f t="array" ref="K181">IF(ISBLANK(Tareas!$B177),"-",SUM(
SUMIF(INDIRECT(Equipo!$C$4&amp;"!B10:B1000"),$B181,INDIRECT(Equipo!$C$4&amp;"!"&amp;ADDRESS(10,COLUMN(K$9)-1)&amp;":"&amp;ADDRESS(1000,COLUMN(K$9)-1))),
SUMIF(INDIRECT(Equipo!$D$4&amp;"!B10:B1000"),$B181,INDIRECT(Equipo!$D$4&amp;"!"&amp;ADDRESS(10,COLUMN(K$9)-1)&amp;":"&amp;ADDRESS(1000,COLUMN(K$9)-1))),
SUMIF(INDIRECT(Equipo!$E$4&amp;"!B10:B1000"),$B181,INDIRECT(Equipo!$E$4&amp;"!"&amp;ADDRESS(10,COLUMN(K$9)-1)&amp;":"&amp;ADDRESS(1000,COLUMN(K$9)-1))),
SUMIF(INDIRECT(Equipo!$F$4&amp;"!B10:B1000"),$B181,INDIRECT(Equipo!$F$4&amp;"!"&amp;ADDRESS(10,COLUMN(K$9)-1)&amp;":"&amp;ADDRESS(1000,COLUMN(K$9)-1))),
SUMIF(INDIRECT(Equipo!$G$4&amp;"!B10:B1000"),$B181,INDIRECT(Equipo!$G$4&amp;"!"&amp;ADDRESS(10,COLUMN(K$9)-1)&amp;":"&amp;ADDRESS(1000,COLUMN(K$9)-1)))))</f>
        <v>-</v>
      </c>
    </row>
    <row r="182" ht="15.75" customHeight="1">
      <c r="B182" s="1" t="str">
        <f>IF(ISBLANK(Tareas!B178)," - ",Tareas!B178)</f>
        <v> - </v>
      </c>
      <c r="D182" s="19" t="str">
        <f t="array" ref="D182">IF(ISBLANK(Tareas!$B178),"-",SUM(
SUMIF(INDIRECT(Equipo!$C$4&amp;"!B10:B1000"),$B182,INDIRECT(Equipo!$C$4&amp;"!"&amp;ADDRESS(10,COLUMN(D$9)-1)&amp;":"&amp;ADDRESS(1000,COLUMN(D$9)-1))),
SUMIF(INDIRECT(Equipo!$D$4&amp;"!B10:B1000"),$B182,INDIRECT(Equipo!$D$4&amp;"!"&amp;ADDRESS(10,COLUMN(D$9)-1)&amp;":"&amp;ADDRESS(1000,COLUMN(D$9)-1))),
SUMIF(INDIRECT(Equipo!$E$4&amp;"!B10:B1000"),$B182,INDIRECT(Equipo!$E$4&amp;"!"&amp;ADDRESS(10,COLUMN(D$9)-1)&amp;":"&amp;ADDRESS(1000,COLUMN(D$9)-1))),
SUMIF(INDIRECT(Equipo!$F$4&amp;"!B10:B1000"),$B182,INDIRECT(Equipo!$F$4&amp;"!"&amp;ADDRESS(10,COLUMN(D$9)-1)&amp;":"&amp;ADDRESS(1000,COLUMN(D$9)-1))),
SUMIF(INDIRECT(Equipo!$G$4&amp;"!B10:B1000"),$B182,INDIRECT(Equipo!$G$4&amp;"!"&amp;ADDRESS(10,COLUMN(D$9)-1)&amp;":"&amp;ADDRESS(1000,COLUMN(D$9)-1)))))</f>
        <v>-</v>
      </c>
      <c r="E182" s="19" t="str">
        <f t="array" ref="E182">IF(ISBLANK(Tareas!$B178),"-",SUM(
SUMIF(INDIRECT(Equipo!$C$4&amp;"!B10:B1000"),$B182,INDIRECT(Equipo!$C$4&amp;"!"&amp;ADDRESS(10,COLUMN(E$9)-1)&amp;":"&amp;ADDRESS(1000,COLUMN(E$9)-1))),
SUMIF(INDIRECT(Equipo!$D$4&amp;"!B10:B1000"),$B182,INDIRECT(Equipo!$D$4&amp;"!"&amp;ADDRESS(10,COLUMN(E$9)-1)&amp;":"&amp;ADDRESS(1000,COLUMN(E$9)-1))),
SUMIF(INDIRECT(Equipo!$E$4&amp;"!B10:B1000"),$B182,INDIRECT(Equipo!$E$4&amp;"!"&amp;ADDRESS(10,COLUMN(E$9)-1)&amp;":"&amp;ADDRESS(1000,COLUMN(E$9)-1))),
SUMIF(INDIRECT(Equipo!$F$4&amp;"!B10:B1000"),$B182,INDIRECT(Equipo!$F$4&amp;"!"&amp;ADDRESS(10,COLUMN(E$9)-1)&amp;":"&amp;ADDRESS(1000,COLUMN(E$9)-1))),
SUMIF(INDIRECT(Equipo!$G$4&amp;"!B10:B1000"),$B182,INDIRECT(Equipo!$G$4&amp;"!"&amp;ADDRESS(10,COLUMN(E$9)-1)&amp;":"&amp;ADDRESS(1000,COLUMN(E$9)-1)))))</f>
        <v>-</v>
      </c>
      <c r="F182" s="19" t="str">
        <f t="array" ref="F182">IF(ISBLANK(Tareas!$B178),"-",SUM(
SUMIF(INDIRECT(Equipo!$C$4&amp;"!B10:B1000"),$B182,INDIRECT(Equipo!$C$4&amp;"!"&amp;ADDRESS(10,COLUMN(F$9)-1)&amp;":"&amp;ADDRESS(1000,COLUMN(F$9)-1))),
SUMIF(INDIRECT(Equipo!$D$4&amp;"!B10:B1000"),$B182,INDIRECT(Equipo!$D$4&amp;"!"&amp;ADDRESS(10,COLUMN(F$9)-1)&amp;":"&amp;ADDRESS(1000,COLUMN(F$9)-1))),
SUMIF(INDIRECT(Equipo!$E$4&amp;"!B10:B1000"),$B182,INDIRECT(Equipo!$E$4&amp;"!"&amp;ADDRESS(10,COLUMN(F$9)-1)&amp;":"&amp;ADDRESS(1000,COLUMN(F$9)-1))),
SUMIF(INDIRECT(Equipo!$F$4&amp;"!B10:B1000"),$B182,INDIRECT(Equipo!$F$4&amp;"!"&amp;ADDRESS(10,COLUMN(F$9)-1)&amp;":"&amp;ADDRESS(1000,COLUMN(F$9)-1))),
SUMIF(INDIRECT(Equipo!$G$4&amp;"!B10:B1000"),$B182,INDIRECT(Equipo!$G$4&amp;"!"&amp;ADDRESS(10,COLUMN(F$9)-1)&amp;":"&amp;ADDRESS(1000,COLUMN(F$9)-1)))))</f>
        <v>-</v>
      </c>
      <c r="G182" s="19" t="str">
        <f t="array" ref="G182">IF(ISBLANK(Tareas!$B178),"-",SUM(
SUMIF(INDIRECT(Equipo!$C$4&amp;"!B10:B1000"),$B182,INDIRECT(Equipo!$C$4&amp;"!"&amp;ADDRESS(10,COLUMN(G$9)-1)&amp;":"&amp;ADDRESS(1000,COLUMN(G$9)-1))),
SUMIF(INDIRECT(Equipo!$D$4&amp;"!B10:B1000"),$B182,INDIRECT(Equipo!$D$4&amp;"!"&amp;ADDRESS(10,COLUMN(G$9)-1)&amp;":"&amp;ADDRESS(1000,COLUMN(G$9)-1))),
SUMIF(INDIRECT(Equipo!$E$4&amp;"!B10:B1000"),$B182,INDIRECT(Equipo!$E$4&amp;"!"&amp;ADDRESS(10,COLUMN(G$9)-1)&amp;":"&amp;ADDRESS(1000,COLUMN(G$9)-1))),
SUMIF(INDIRECT(Equipo!$F$4&amp;"!B10:B1000"),$B182,INDIRECT(Equipo!$F$4&amp;"!"&amp;ADDRESS(10,COLUMN(G$9)-1)&amp;":"&amp;ADDRESS(1000,COLUMN(G$9)-1))),
SUMIF(INDIRECT(Equipo!$G$4&amp;"!B10:B1000"),$B182,INDIRECT(Equipo!$G$4&amp;"!"&amp;ADDRESS(10,COLUMN(G$9)-1)&amp;":"&amp;ADDRESS(1000,COLUMN(G$9)-1)))))</f>
        <v>-</v>
      </c>
      <c r="H182" s="19" t="str">
        <f t="array" ref="H182">IF(ISBLANK(Tareas!$B178),"-",SUM(
SUMIF(INDIRECT(Equipo!$C$4&amp;"!B10:B1000"),$B182,INDIRECT(Equipo!$C$4&amp;"!"&amp;ADDRESS(10,COLUMN(H$9)-1)&amp;":"&amp;ADDRESS(1000,COLUMN(H$9)-1))),
SUMIF(INDIRECT(Equipo!$D$4&amp;"!B10:B1000"),$B182,INDIRECT(Equipo!$D$4&amp;"!"&amp;ADDRESS(10,COLUMN(H$9)-1)&amp;":"&amp;ADDRESS(1000,COLUMN(H$9)-1))),
SUMIF(INDIRECT(Equipo!$E$4&amp;"!B10:B1000"),$B182,INDIRECT(Equipo!$E$4&amp;"!"&amp;ADDRESS(10,COLUMN(H$9)-1)&amp;":"&amp;ADDRESS(1000,COLUMN(H$9)-1))),
SUMIF(INDIRECT(Equipo!$F$4&amp;"!B10:B1000"),$B182,INDIRECT(Equipo!$F$4&amp;"!"&amp;ADDRESS(10,COLUMN(H$9)-1)&amp;":"&amp;ADDRESS(1000,COLUMN(H$9)-1))),
SUMIF(INDIRECT(Equipo!$G$4&amp;"!B10:B1000"),$B182,INDIRECT(Equipo!$G$4&amp;"!"&amp;ADDRESS(10,COLUMN(H$9)-1)&amp;":"&amp;ADDRESS(1000,COLUMN(H$9)-1)))))</f>
        <v>-</v>
      </c>
      <c r="I182" s="19" t="str">
        <f t="array" ref="I182">IF(ISBLANK(Tareas!$B178),"-",SUM(
SUMIF(INDIRECT(Equipo!$C$4&amp;"!B10:B1000"),$B182,INDIRECT(Equipo!$C$4&amp;"!"&amp;ADDRESS(10,COLUMN(I$9)-1)&amp;":"&amp;ADDRESS(1000,COLUMN(I$9)-1))),
SUMIF(INDIRECT(Equipo!$D$4&amp;"!B10:B1000"),$B182,INDIRECT(Equipo!$D$4&amp;"!"&amp;ADDRESS(10,COLUMN(I$9)-1)&amp;":"&amp;ADDRESS(1000,COLUMN(I$9)-1))),
SUMIF(INDIRECT(Equipo!$E$4&amp;"!B10:B1000"),$B182,INDIRECT(Equipo!$E$4&amp;"!"&amp;ADDRESS(10,COLUMN(I$9)-1)&amp;":"&amp;ADDRESS(1000,COLUMN(I$9)-1))),
SUMIF(INDIRECT(Equipo!$F$4&amp;"!B10:B1000"),$B182,INDIRECT(Equipo!$F$4&amp;"!"&amp;ADDRESS(10,COLUMN(I$9)-1)&amp;":"&amp;ADDRESS(1000,COLUMN(I$9)-1))),
SUMIF(INDIRECT(Equipo!$G$4&amp;"!B10:B1000"),$B182,INDIRECT(Equipo!$G$4&amp;"!"&amp;ADDRESS(10,COLUMN(I$9)-1)&amp;":"&amp;ADDRESS(1000,COLUMN(I$9)-1)))))</f>
        <v>-</v>
      </c>
      <c r="J182" s="19" t="str">
        <f t="array" ref="J182">IF(ISBLANK(Tareas!$B178),"-",SUM(
SUMIF(INDIRECT(Equipo!$C$4&amp;"!B10:B1000"),$B182,INDIRECT(Equipo!$C$4&amp;"!"&amp;ADDRESS(10,COLUMN(J$9)-1)&amp;":"&amp;ADDRESS(1000,COLUMN(J$9)-1))),
SUMIF(INDIRECT(Equipo!$D$4&amp;"!B10:B1000"),$B182,INDIRECT(Equipo!$D$4&amp;"!"&amp;ADDRESS(10,COLUMN(J$9)-1)&amp;":"&amp;ADDRESS(1000,COLUMN(J$9)-1))),
SUMIF(INDIRECT(Equipo!$E$4&amp;"!B10:B1000"),$B182,INDIRECT(Equipo!$E$4&amp;"!"&amp;ADDRESS(10,COLUMN(J$9)-1)&amp;":"&amp;ADDRESS(1000,COLUMN(J$9)-1))),
SUMIF(INDIRECT(Equipo!$F$4&amp;"!B10:B1000"),$B182,INDIRECT(Equipo!$F$4&amp;"!"&amp;ADDRESS(10,COLUMN(J$9)-1)&amp;":"&amp;ADDRESS(1000,COLUMN(J$9)-1))),
SUMIF(INDIRECT(Equipo!$G$4&amp;"!B10:B1000"),$B182,INDIRECT(Equipo!$G$4&amp;"!"&amp;ADDRESS(10,COLUMN(J$9)-1)&amp;":"&amp;ADDRESS(1000,COLUMN(J$9)-1)))))</f>
        <v>-</v>
      </c>
      <c r="K182" s="19" t="str">
        <f t="array" ref="K182">IF(ISBLANK(Tareas!$B178),"-",SUM(
SUMIF(INDIRECT(Equipo!$C$4&amp;"!B10:B1000"),$B182,INDIRECT(Equipo!$C$4&amp;"!"&amp;ADDRESS(10,COLUMN(K$9)-1)&amp;":"&amp;ADDRESS(1000,COLUMN(K$9)-1))),
SUMIF(INDIRECT(Equipo!$D$4&amp;"!B10:B1000"),$B182,INDIRECT(Equipo!$D$4&amp;"!"&amp;ADDRESS(10,COLUMN(K$9)-1)&amp;":"&amp;ADDRESS(1000,COLUMN(K$9)-1))),
SUMIF(INDIRECT(Equipo!$E$4&amp;"!B10:B1000"),$B182,INDIRECT(Equipo!$E$4&amp;"!"&amp;ADDRESS(10,COLUMN(K$9)-1)&amp;":"&amp;ADDRESS(1000,COLUMN(K$9)-1))),
SUMIF(INDIRECT(Equipo!$F$4&amp;"!B10:B1000"),$B182,INDIRECT(Equipo!$F$4&amp;"!"&amp;ADDRESS(10,COLUMN(K$9)-1)&amp;":"&amp;ADDRESS(1000,COLUMN(K$9)-1))),
SUMIF(INDIRECT(Equipo!$G$4&amp;"!B10:B1000"),$B182,INDIRECT(Equipo!$G$4&amp;"!"&amp;ADDRESS(10,COLUMN(K$9)-1)&amp;":"&amp;ADDRESS(1000,COLUMN(K$9)-1)))))</f>
        <v>-</v>
      </c>
    </row>
    <row r="183" ht="15.75" customHeight="1">
      <c r="B183" s="1" t="str">
        <f>IF(ISBLANK(Tareas!B179)," - ",Tareas!B179)</f>
        <v> - </v>
      </c>
      <c r="D183" s="19" t="str">
        <f t="array" ref="D183">IF(ISBLANK(Tareas!$B179),"-",SUM(
SUMIF(INDIRECT(Equipo!$C$4&amp;"!B10:B1000"),$B183,INDIRECT(Equipo!$C$4&amp;"!"&amp;ADDRESS(10,COLUMN(D$9)-1)&amp;":"&amp;ADDRESS(1000,COLUMN(D$9)-1))),
SUMIF(INDIRECT(Equipo!$D$4&amp;"!B10:B1000"),$B183,INDIRECT(Equipo!$D$4&amp;"!"&amp;ADDRESS(10,COLUMN(D$9)-1)&amp;":"&amp;ADDRESS(1000,COLUMN(D$9)-1))),
SUMIF(INDIRECT(Equipo!$E$4&amp;"!B10:B1000"),$B183,INDIRECT(Equipo!$E$4&amp;"!"&amp;ADDRESS(10,COLUMN(D$9)-1)&amp;":"&amp;ADDRESS(1000,COLUMN(D$9)-1))),
SUMIF(INDIRECT(Equipo!$F$4&amp;"!B10:B1000"),$B183,INDIRECT(Equipo!$F$4&amp;"!"&amp;ADDRESS(10,COLUMN(D$9)-1)&amp;":"&amp;ADDRESS(1000,COLUMN(D$9)-1))),
SUMIF(INDIRECT(Equipo!$G$4&amp;"!B10:B1000"),$B183,INDIRECT(Equipo!$G$4&amp;"!"&amp;ADDRESS(10,COLUMN(D$9)-1)&amp;":"&amp;ADDRESS(1000,COLUMN(D$9)-1)))))</f>
        <v>-</v>
      </c>
      <c r="E183" s="19" t="str">
        <f t="array" ref="E183">IF(ISBLANK(Tareas!$B179),"-",SUM(
SUMIF(INDIRECT(Equipo!$C$4&amp;"!B10:B1000"),$B183,INDIRECT(Equipo!$C$4&amp;"!"&amp;ADDRESS(10,COLUMN(E$9)-1)&amp;":"&amp;ADDRESS(1000,COLUMN(E$9)-1))),
SUMIF(INDIRECT(Equipo!$D$4&amp;"!B10:B1000"),$B183,INDIRECT(Equipo!$D$4&amp;"!"&amp;ADDRESS(10,COLUMN(E$9)-1)&amp;":"&amp;ADDRESS(1000,COLUMN(E$9)-1))),
SUMIF(INDIRECT(Equipo!$E$4&amp;"!B10:B1000"),$B183,INDIRECT(Equipo!$E$4&amp;"!"&amp;ADDRESS(10,COLUMN(E$9)-1)&amp;":"&amp;ADDRESS(1000,COLUMN(E$9)-1))),
SUMIF(INDIRECT(Equipo!$F$4&amp;"!B10:B1000"),$B183,INDIRECT(Equipo!$F$4&amp;"!"&amp;ADDRESS(10,COLUMN(E$9)-1)&amp;":"&amp;ADDRESS(1000,COLUMN(E$9)-1))),
SUMIF(INDIRECT(Equipo!$G$4&amp;"!B10:B1000"),$B183,INDIRECT(Equipo!$G$4&amp;"!"&amp;ADDRESS(10,COLUMN(E$9)-1)&amp;":"&amp;ADDRESS(1000,COLUMN(E$9)-1)))))</f>
        <v>-</v>
      </c>
      <c r="F183" s="19" t="str">
        <f t="array" ref="F183">IF(ISBLANK(Tareas!$B179),"-",SUM(
SUMIF(INDIRECT(Equipo!$C$4&amp;"!B10:B1000"),$B183,INDIRECT(Equipo!$C$4&amp;"!"&amp;ADDRESS(10,COLUMN(F$9)-1)&amp;":"&amp;ADDRESS(1000,COLUMN(F$9)-1))),
SUMIF(INDIRECT(Equipo!$D$4&amp;"!B10:B1000"),$B183,INDIRECT(Equipo!$D$4&amp;"!"&amp;ADDRESS(10,COLUMN(F$9)-1)&amp;":"&amp;ADDRESS(1000,COLUMN(F$9)-1))),
SUMIF(INDIRECT(Equipo!$E$4&amp;"!B10:B1000"),$B183,INDIRECT(Equipo!$E$4&amp;"!"&amp;ADDRESS(10,COLUMN(F$9)-1)&amp;":"&amp;ADDRESS(1000,COLUMN(F$9)-1))),
SUMIF(INDIRECT(Equipo!$F$4&amp;"!B10:B1000"),$B183,INDIRECT(Equipo!$F$4&amp;"!"&amp;ADDRESS(10,COLUMN(F$9)-1)&amp;":"&amp;ADDRESS(1000,COLUMN(F$9)-1))),
SUMIF(INDIRECT(Equipo!$G$4&amp;"!B10:B1000"),$B183,INDIRECT(Equipo!$G$4&amp;"!"&amp;ADDRESS(10,COLUMN(F$9)-1)&amp;":"&amp;ADDRESS(1000,COLUMN(F$9)-1)))))</f>
        <v>-</v>
      </c>
      <c r="G183" s="19" t="str">
        <f t="array" ref="G183">IF(ISBLANK(Tareas!$B179),"-",SUM(
SUMIF(INDIRECT(Equipo!$C$4&amp;"!B10:B1000"),$B183,INDIRECT(Equipo!$C$4&amp;"!"&amp;ADDRESS(10,COLUMN(G$9)-1)&amp;":"&amp;ADDRESS(1000,COLUMN(G$9)-1))),
SUMIF(INDIRECT(Equipo!$D$4&amp;"!B10:B1000"),$B183,INDIRECT(Equipo!$D$4&amp;"!"&amp;ADDRESS(10,COLUMN(G$9)-1)&amp;":"&amp;ADDRESS(1000,COLUMN(G$9)-1))),
SUMIF(INDIRECT(Equipo!$E$4&amp;"!B10:B1000"),$B183,INDIRECT(Equipo!$E$4&amp;"!"&amp;ADDRESS(10,COLUMN(G$9)-1)&amp;":"&amp;ADDRESS(1000,COLUMN(G$9)-1))),
SUMIF(INDIRECT(Equipo!$F$4&amp;"!B10:B1000"),$B183,INDIRECT(Equipo!$F$4&amp;"!"&amp;ADDRESS(10,COLUMN(G$9)-1)&amp;":"&amp;ADDRESS(1000,COLUMN(G$9)-1))),
SUMIF(INDIRECT(Equipo!$G$4&amp;"!B10:B1000"),$B183,INDIRECT(Equipo!$G$4&amp;"!"&amp;ADDRESS(10,COLUMN(G$9)-1)&amp;":"&amp;ADDRESS(1000,COLUMN(G$9)-1)))))</f>
        <v>-</v>
      </c>
      <c r="H183" s="19" t="str">
        <f t="array" ref="H183">IF(ISBLANK(Tareas!$B179),"-",SUM(
SUMIF(INDIRECT(Equipo!$C$4&amp;"!B10:B1000"),$B183,INDIRECT(Equipo!$C$4&amp;"!"&amp;ADDRESS(10,COLUMN(H$9)-1)&amp;":"&amp;ADDRESS(1000,COLUMN(H$9)-1))),
SUMIF(INDIRECT(Equipo!$D$4&amp;"!B10:B1000"),$B183,INDIRECT(Equipo!$D$4&amp;"!"&amp;ADDRESS(10,COLUMN(H$9)-1)&amp;":"&amp;ADDRESS(1000,COLUMN(H$9)-1))),
SUMIF(INDIRECT(Equipo!$E$4&amp;"!B10:B1000"),$B183,INDIRECT(Equipo!$E$4&amp;"!"&amp;ADDRESS(10,COLUMN(H$9)-1)&amp;":"&amp;ADDRESS(1000,COLUMN(H$9)-1))),
SUMIF(INDIRECT(Equipo!$F$4&amp;"!B10:B1000"),$B183,INDIRECT(Equipo!$F$4&amp;"!"&amp;ADDRESS(10,COLUMN(H$9)-1)&amp;":"&amp;ADDRESS(1000,COLUMN(H$9)-1))),
SUMIF(INDIRECT(Equipo!$G$4&amp;"!B10:B1000"),$B183,INDIRECT(Equipo!$G$4&amp;"!"&amp;ADDRESS(10,COLUMN(H$9)-1)&amp;":"&amp;ADDRESS(1000,COLUMN(H$9)-1)))))</f>
        <v>-</v>
      </c>
      <c r="I183" s="19" t="str">
        <f t="array" ref="I183">IF(ISBLANK(Tareas!$B179),"-",SUM(
SUMIF(INDIRECT(Equipo!$C$4&amp;"!B10:B1000"),$B183,INDIRECT(Equipo!$C$4&amp;"!"&amp;ADDRESS(10,COLUMN(I$9)-1)&amp;":"&amp;ADDRESS(1000,COLUMN(I$9)-1))),
SUMIF(INDIRECT(Equipo!$D$4&amp;"!B10:B1000"),$B183,INDIRECT(Equipo!$D$4&amp;"!"&amp;ADDRESS(10,COLUMN(I$9)-1)&amp;":"&amp;ADDRESS(1000,COLUMN(I$9)-1))),
SUMIF(INDIRECT(Equipo!$E$4&amp;"!B10:B1000"),$B183,INDIRECT(Equipo!$E$4&amp;"!"&amp;ADDRESS(10,COLUMN(I$9)-1)&amp;":"&amp;ADDRESS(1000,COLUMN(I$9)-1))),
SUMIF(INDIRECT(Equipo!$F$4&amp;"!B10:B1000"),$B183,INDIRECT(Equipo!$F$4&amp;"!"&amp;ADDRESS(10,COLUMN(I$9)-1)&amp;":"&amp;ADDRESS(1000,COLUMN(I$9)-1))),
SUMIF(INDIRECT(Equipo!$G$4&amp;"!B10:B1000"),$B183,INDIRECT(Equipo!$G$4&amp;"!"&amp;ADDRESS(10,COLUMN(I$9)-1)&amp;":"&amp;ADDRESS(1000,COLUMN(I$9)-1)))))</f>
        <v>-</v>
      </c>
      <c r="J183" s="19" t="str">
        <f t="array" ref="J183">IF(ISBLANK(Tareas!$B179),"-",SUM(
SUMIF(INDIRECT(Equipo!$C$4&amp;"!B10:B1000"),$B183,INDIRECT(Equipo!$C$4&amp;"!"&amp;ADDRESS(10,COLUMN(J$9)-1)&amp;":"&amp;ADDRESS(1000,COLUMN(J$9)-1))),
SUMIF(INDIRECT(Equipo!$D$4&amp;"!B10:B1000"),$B183,INDIRECT(Equipo!$D$4&amp;"!"&amp;ADDRESS(10,COLUMN(J$9)-1)&amp;":"&amp;ADDRESS(1000,COLUMN(J$9)-1))),
SUMIF(INDIRECT(Equipo!$E$4&amp;"!B10:B1000"),$B183,INDIRECT(Equipo!$E$4&amp;"!"&amp;ADDRESS(10,COLUMN(J$9)-1)&amp;":"&amp;ADDRESS(1000,COLUMN(J$9)-1))),
SUMIF(INDIRECT(Equipo!$F$4&amp;"!B10:B1000"),$B183,INDIRECT(Equipo!$F$4&amp;"!"&amp;ADDRESS(10,COLUMN(J$9)-1)&amp;":"&amp;ADDRESS(1000,COLUMN(J$9)-1))),
SUMIF(INDIRECT(Equipo!$G$4&amp;"!B10:B1000"),$B183,INDIRECT(Equipo!$G$4&amp;"!"&amp;ADDRESS(10,COLUMN(J$9)-1)&amp;":"&amp;ADDRESS(1000,COLUMN(J$9)-1)))))</f>
        <v>-</v>
      </c>
      <c r="K183" s="19" t="str">
        <f t="array" ref="K183">IF(ISBLANK(Tareas!$B179),"-",SUM(
SUMIF(INDIRECT(Equipo!$C$4&amp;"!B10:B1000"),$B183,INDIRECT(Equipo!$C$4&amp;"!"&amp;ADDRESS(10,COLUMN(K$9)-1)&amp;":"&amp;ADDRESS(1000,COLUMN(K$9)-1))),
SUMIF(INDIRECT(Equipo!$D$4&amp;"!B10:B1000"),$B183,INDIRECT(Equipo!$D$4&amp;"!"&amp;ADDRESS(10,COLUMN(K$9)-1)&amp;":"&amp;ADDRESS(1000,COLUMN(K$9)-1))),
SUMIF(INDIRECT(Equipo!$E$4&amp;"!B10:B1000"),$B183,INDIRECT(Equipo!$E$4&amp;"!"&amp;ADDRESS(10,COLUMN(K$9)-1)&amp;":"&amp;ADDRESS(1000,COLUMN(K$9)-1))),
SUMIF(INDIRECT(Equipo!$F$4&amp;"!B10:B1000"),$B183,INDIRECT(Equipo!$F$4&amp;"!"&amp;ADDRESS(10,COLUMN(K$9)-1)&amp;":"&amp;ADDRESS(1000,COLUMN(K$9)-1))),
SUMIF(INDIRECT(Equipo!$G$4&amp;"!B10:B1000"),$B183,INDIRECT(Equipo!$G$4&amp;"!"&amp;ADDRESS(10,COLUMN(K$9)-1)&amp;":"&amp;ADDRESS(1000,COLUMN(K$9)-1)))))</f>
        <v>-</v>
      </c>
    </row>
    <row r="184" ht="15.75" customHeight="1">
      <c r="B184" s="1" t="str">
        <f>IF(ISBLANK(Tareas!B180)," - ",Tareas!B180)</f>
        <v> - </v>
      </c>
      <c r="D184" s="19" t="str">
        <f t="array" ref="D184">IF(ISBLANK(Tareas!$B180),"-",SUM(
SUMIF(INDIRECT(Equipo!$C$4&amp;"!B10:B1000"),$B184,INDIRECT(Equipo!$C$4&amp;"!"&amp;ADDRESS(10,COLUMN(D$9)-1)&amp;":"&amp;ADDRESS(1000,COLUMN(D$9)-1))),
SUMIF(INDIRECT(Equipo!$D$4&amp;"!B10:B1000"),$B184,INDIRECT(Equipo!$D$4&amp;"!"&amp;ADDRESS(10,COLUMN(D$9)-1)&amp;":"&amp;ADDRESS(1000,COLUMN(D$9)-1))),
SUMIF(INDIRECT(Equipo!$E$4&amp;"!B10:B1000"),$B184,INDIRECT(Equipo!$E$4&amp;"!"&amp;ADDRESS(10,COLUMN(D$9)-1)&amp;":"&amp;ADDRESS(1000,COLUMN(D$9)-1))),
SUMIF(INDIRECT(Equipo!$F$4&amp;"!B10:B1000"),$B184,INDIRECT(Equipo!$F$4&amp;"!"&amp;ADDRESS(10,COLUMN(D$9)-1)&amp;":"&amp;ADDRESS(1000,COLUMN(D$9)-1))),
SUMIF(INDIRECT(Equipo!$G$4&amp;"!B10:B1000"),$B184,INDIRECT(Equipo!$G$4&amp;"!"&amp;ADDRESS(10,COLUMN(D$9)-1)&amp;":"&amp;ADDRESS(1000,COLUMN(D$9)-1)))))</f>
        <v>-</v>
      </c>
      <c r="E184" s="19" t="str">
        <f t="array" ref="E184">IF(ISBLANK(Tareas!$B180),"-",SUM(
SUMIF(INDIRECT(Equipo!$C$4&amp;"!B10:B1000"),$B184,INDIRECT(Equipo!$C$4&amp;"!"&amp;ADDRESS(10,COLUMN(E$9)-1)&amp;":"&amp;ADDRESS(1000,COLUMN(E$9)-1))),
SUMIF(INDIRECT(Equipo!$D$4&amp;"!B10:B1000"),$B184,INDIRECT(Equipo!$D$4&amp;"!"&amp;ADDRESS(10,COLUMN(E$9)-1)&amp;":"&amp;ADDRESS(1000,COLUMN(E$9)-1))),
SUMIF(INDIRECT(Equipo!$E$4&amp;"!B10:B1000"),$B184,INDIRECT(Equipo!$E$4&amp;"!"&amp;ADDRESS(10,COLUMN(E$9)-1)&amp;":"&amp;ADDRESS(1000,COLUMN(E$9)-1))),
SUMIF(INDIRECT(Equipo!$F$4&amp;"!B10:B1000"),$B184,INDIRECT(Equipo!$F$4&amp;"!"&amp;ADDRESS(10,COLUMN(E$9)-1)&amp;":"&amp;ADDRESS(1000,COLUMN(E$9)-1))),
SUMIF(INDIRECT(Equipo!$G$4&amp;"!B10:B1000"),$B184,INDIRECT(Equipo!$G$4&amp;"!"&amp;ADDRESS(10,COLUMN(E$9)-1)&amp;":"&amp;ADDRESS(1000,COLUMN(E$9)-1)))))</f>
        <v>-</v>
      </c>
      <c r="F184" s="19" t="str">
        <f t="array" ref="F184">IF(ISBLANK(Tareas!$B180),"-",SUM(
SUMIF(INDIRECT(Equipo!$C$4&amp;"!B10:B1000"),$B184,INDIRECT(Equipo!$C$4&amp;"!"&amp;ADDRESS(10,COLUMN(F$9)-1)&amp;":"&amp;ADDRESS(1000,COLUMN(F$9)-1))),
SUMIF(INDIRECT(Equipo!$D$4&amp;"!B10:B1000"),$B184,INDIRECT(Equipo!$D$4&amp;"!"&amp;ADDRESS(10,COLUMN(F$9)-1)&amp;":"&amp;ADDRESS(1000,COLUMN(F$9)-1))),
SUMIF(INDIRECT(Equipo!$E$4&amp;"!B10:B1000"),$B184,INDIRECT(Equipo!$E$4&amp;"!"&amp;ADDRESS(10,COLUMN(F$9)-1)&amp;":"&amp;ADDRESS(1000,COLUMN(F$9)-1))),
SUMIF(INDIRECT(Equipo!$F$4&amp;"!B10:B1000"),$B184,INDIRECT(Equipo!$F$4&amp;"!"&amp;ADDRESS(10,COLUMN(F$9)-1)&amp;":"&amp;ADDRESS(1000,COLUMN(F$9)-1))),
SUMIF(INDIRECT(Equipo!$G$4&amp;"!B10:B1000"),$B184,INDIRECT(Equipo!$G$4&amp;"!"&amp;ADDRESS(10,COLUMN(F$9)-1)&amp;":"&amp;ADDRESS(1000,COLUMN(F$9)-1)))))</f>
        <v>-</v>
      </c>
      <c r="G184" s="19" t="str">
        <f t="array" ref="G184">IF(ISBLANK(Tareas!$B180),"-",SUM(
SUMIF(INDIRECT(Equipo!$C$4&amp;"!B10:B1000"),$B184,INDIRECT(Equipo!$C$4&amp;"!"&amp;ADDRESS(10,COLUMN(G$9)-1)&amp;":"&amp;ADDRESS(1000,COLUMN(G$9)-1))),
SUMIF(INDIRECT(Equipo!$D$4&amp;"!B10:B1000"),$B184,INDIRECT(Equipo!$D$4&amp;"!"&amp;ADDRESS(10,COLUMN(G$9)-1)&amp;":"&amp;ADDRESS(1000,COLUMN(G$9)-1))),
SUMIF(INDIRECT(Equipo!$E$4&amp;"!B10:B1000"),$B184,INDIRECT(Equipo!$E$4&amp;"!"&amp;ADDRESS(10,COLUMN(G$9)-1)&amp;":"&amp;ADDRESS(1000,COLUMN(G$9)-1))),
SUMIF(INDIRECT(Equipo!$F$4&amp;"!B10:B1000"),$B184,INDIRECT(Equipo!$F$4&amp;"!"&amp;ADDRESS(10,COLUMN(G$9)-1)&amp;":"&amp;ADDRESS(1000,COLUMN(G$9)-1))),
SUMIF(INDIRECT(Equipo!$G$4&amp;"!B10:B1000"),$B184,INDIRECT(Equipo!$G$4&amp;"!"&amp;ADDRESS(10,COLUMN(G$9)-1)&amp;":"&amp;ADDRESS(1000,COLUMN(G$9)-1)))))</f>
        <v>-</v>
      </c>
      <c r="H184" s="19" t="str">
        <f t="array" ref="H184">IF(ISBLANK(Tareas!$B180),"-",SUM(
SUMIF(INDIRECT(Equipo!$C$4&amp;"!B10:B1000"),$B184,INDIRECT(Equipo!$C$4&amp;"!"&amp;ADDRESS(10,COLUMN(H$9)-1)&amp;":"&amp;ADDRESS(1000,COLUMN(H$9)-1))),
SUMIF(INDIRECT(Equipo!$D$4&amp;"!B10:B1000"),$B184,INDIRECT(Equipo!$D$4&amp;"!"&amp;ADDRESS(10,COLUMN(H$9)-1)&amp;":"&amp;ADDRESS(1000,COLUMN(H$9)-1))),
SUMIF(INDIRECT(Equipo!$E$4&amp;"!B10:B1000"),$B184,INDIRECT(Equipo!$E$4&amp;"!"&amp;ADDRESS(10,COLUMN(H$9)-1)&amp;":"&amp;ADDRESS(1000,COLUMN(H$9)-1))),
SUMIF(INDIRECT(Equipo!$F$4&amp;"!B10:B1000"),$B184,INDIRECT(Equipo!$F$4&amp;"!"&amp;ADDRESS(10,COLUMN(H$9)-1)&amp;":"&amp;ADDRESS(1000,COLUMN(H$9)-1))),
SUMIF(INDIRECT(Equipo!$G$4&amp;"!B10:B1000"),$B184,INDIRECT(Equipo!$G$4&amp;"!"&amp;ADDRESS(10,COLUMN(H$9)-1)&amp;":"&amp;ADDRESS(1000,COLUMN(H$9)-1)))))</f>
        <v>-</v>
      </c>
      <c r="I184" s="19" t="str">
        <f t="array" ref="I184">IF(ISBLANK(Tareas!$B180),"-",SUM(
SUMIF(INDIRECT(Equipo!$C$4&amp;"!B10:B1000"),$B184,INDIRECT(Equipo!$C$4&amp;"!"&amp;ADDRESS(10,COLUMN(I$9)-1)&amp;":"&amp;ADDRESS(1000,COLUMN(I$9)-1))),
SUMIF(INDIRECT(Equipo!$D$4&amp;"!B10:B1000"),$B184,INDIRECT(Equipo!$D$4&amp;"!"&amp;ADDRESS(10,COLUMN(I$9)-1)&amp;":"&amp;ADDRESS(1000,COLUMN(I$9)-1))),
SUMIF(INDIRECT(Equipo!$E$4&amp;"!B10:B1000"),$B184,INDIRECT(Equipo!$E$4&amp;"!"&amp;ADDRESS(10,COLUMN(I$9)-1)&amp;":"&amp;ADDRESS(1000,COLUMN(I$9)-1))),
SUMIF(INDIRECT(Equipo!$F$4&amp;"!B10:B1000"),$B184,INDIRECT(Equipo!$F$4&amp;"!"&amp;ADDRESS(10,COLUMN(I$9)-1)&amp;":"&amp;ADDRESS(1000,COLUMN(I$9)-1))),
SUMIF(INDIRECT(Equipo!$G$4&amp;"!B10:B1000"),$B184,INDIRECT(Equipo!$G$4&amp;"!"&amp;ADDRESS(10,COLUMN(I$9)-1)&amp;":"&amp;ADDRESS(1000,COLUMN(I$9)-1)))))</f>
        <v>-</v>
      </c>
      <c r="J184" s="19" t="str">
        <f t="array" ref="J184">IF(ISBLANK(Tareas!$B180),"-",SUM(
SUMIF(INDIRECT(Equipo!$C$4&amp;"!B10:B1000"),$B184,INDIRECT(Equipo!$C$4&amp;"!"&amp;ADDRESS(10,COLUMN(J$9)-1)&amp;":"&amp;ADDRESS(1000,COLUMN(J$9)-1))),
SUMIF(INDIRECT(Equipo!$D$4&amp;"!B10:B1000"),$B184,INDIRECT(Equipo!$D$4&amp;"!"&amp;ADDRESS(10,COLUMN(J$9)-1)&amp;":"&amp;ADDRESS(1000,COLUMN(J$9)-1))),
SUMIF(INDIRECT(Equipo!$E$4&amp;"!B10:B1000"),$B184,INDIRECT(Equipo!$E$4&amp;"!"&amp;ADDRESS(10,COLUMN(J$9)-1)&amp;":"&amp;ADDRESS(1000,COLUMN(J$9)-1))),
SUMIF(INDIRECT(Equipo!$F$4&amp;"!B10:B1000"),$B184,INDIRECT(Equipo!$F$4&amp;"!"&amp;ADDRESS(10,COLUMN(J$9)-1)&amp;":"&amp;ADDRESS(1000,COLUMN(J$9)-1))),
SUMIF(INDIRECT(Equipo!$G$4&amp;"!B10:B1000"),$B184,INDIRECT(Equipo!$G$4&amp;"!"&amp;ADDRESS(10,COLUMN(J$9)-1)&amp;":"&amp;ADDRESS(1000,COLUMN(J$9)-1)))))</f>
        <v>-</v>
      </c>
      <c r="K184" s="19" t="str">
        <f t="array" ref="K184">IF(ISBLANK(Tareas!$B180),"-",SUM(
SUMIF(INDIRECT(Equipo!$C$4&amp;"!B10:B1000"),$B184,INDIRECT(Equipo!$C$4&amp;"!"&amp;ADDRESS(10,COLUMN(K$9)-1)&amp;":"&amp;ADDRESS(1000,COLUMN(K$9)-1))),
SUMIF(INDIRECT(Equipo!$D$4&amp;"!B10:B1000"),$B184,INDIRECT(Equipo!$D$4&amp;"!"&amp;ADDRESS(10,COLUMN(K$9)-1)&amp;":"&amp;ADDRESS(1000,COLUMN(K$9)-1))),
SUMIF(INDIRECT(Equipo!$E$4&amp;"!B10:B1000"),$B184,INDIRECT(Equipo!$E$4&amp;"!"&amp;ADDRESS(10,COLUMN(K$9)-1)&amp;":"&amp;ADDRESS(1000,COLUMN(K$9)-1))),
SUMIF(INDIRECT(Equipo!$F$4&amp;"!B10:B1000"),$B184,INDIRECT(Equipo!$F$4&amp;"!"&amp;ADDRESS(10,COLUMN(K$9)-1)&amp;":"&amp;ADDRESS(1000,COLUMN(K$9)-1))),
SUMIF(INDIRECT(Equipo!$G$4&amp;"!B10:B1000"),$B184,INDIRECT(Equipo!$G$4&amp;"!"&amp;ADDRESS(10,COLUMN(K$9)-1)&amp;":"&amp;ADDRESS(1000,COLUMN(K$9)-1)))))</f>
        <v>-</v>
      </c>
    </row>
    <row r="185" ht="15.75" customHeight="1">
      <c r="B185" s="1" t="str">
        <f>IF(ISBLANK(Tareas!B181)," - ",Tareas!B181)</f>
        <v> - </v>
      </c>
      <c r="D185" s="19" t="str">
        <f t="array" ref="D185">IF(ISBLANK(Tareas!$B181),"-",SUM(
SUMIF(INDIRECT(Equipo!$C$4&amp;"!B10:B1000"),$B185,INDIRECT(Equipo!$C$4&amp;"!"&amp;ADDRESS(10,COLUMN(D$9)-1)&amp;":"&amp;ADDRESS(1000,COLUMN(D$9)-1))),
SUMIF(INDIRECT(Equipo!$D$4&amp;"!B10:B1000"),$B185,INDIRECT(Equipo!$D$4&amp;"!"&amp;ADDRESS(10,COLUMN(D$9)-1)&amp;":"&amp;ADDRESS(1000,COLUMN(D$9)-1))),
SUMIF(INDIRECT(Equipo!$E$4&amp;"!B10:B1000"),$B185,INDIRECT(Equipo!$E$4&amp;"!"&amp;ADDRESS(10,COLUMN(D$9)-1)&amp;":"&amp;ADDRESS(1000,COLUMN(D$9)-1))),
SUMIF(INDIRECT(Equipo!$F$4&amp;"!B10:B1000"),$B185,INDIRECT(Equipo!$F$4&amp;"!"&amp;ADDRESS(10,COLUMN(D$9)-1)&amp;":"&amp;ADDRESS(1000,COLUMN(D$9)-1))),
SUMIF(INDIRECT(Equipo!$G$4&amp;"!B10:B1000"),$B185,INDIRECT(Equipo!$G$4&amp;"!"&amp;ADDRESS(10,COLUMN(D$9)-1)&amp;":"&amp;ADDRESS(1000,COLUMN(D$9)-1)))))</f>
        <v>-</v>
      </c>
      <c r="E185" s="19" t="str">
        <f t="array" ref="E185">IF(ISBLANK(Tareas!$B181),"-",SUM(
SUMIF(INDIRECT(Equipo!$C$4&amp;"!B10:B1000"),$B185,INDIRECT(Equipo!$C$4&amp;"!"&amp;ADDRESS(10,COLUMN(E$9)-1)&amp;":"&amp;ADDRESS(1000,COLUMN(E$9)-1))),
SUMIF(INDIRECT(Equipo!$D$4&amp;"!B10:B1000"),$B185,INDIRECT(Equipo!$D$4&amp;"!"&amp;ADDRESS(10,COLUMN(E$9)-1)&amp;":"&amp;ADDRESS(1000,COLUMN(E$9)-1))),
SUMIF(INDIRECT(Equipo!$E$4&amp;"!B10:B1000"),$B185,INDIRECT(Equipo!$E$4&amp;"!"&amp;ADDRESS(10,COLUMN(E$9)-1)&amp;":"&amp;ADDRESS(1000,COLUMN(E$9)-1))),
SUMIF(INDIRECT(Equipo!$F$4&amp;"!B10:B1000"),$B185,INDIRECT(Equipo!$F$4&amp;"!"&amp;ADDRESS(10,COLUMN(E$9)-1)&amp;":"&amp;ADDRESS(1000,COLUMN(E$9)-1))),
SUMIF(INDIRECT(Equipo!$G$4&amp;"!B10:B1000"),$B185,INDIRECT(Equipo!$G$4&amp;"!"&amp;ADDRESS(10,COLUMN(E$9)-1)&amp;":"&amp;ADDRESS(1000,COLUMN(E$9)-1)))))</f>
        <v>-</v>
      </c>
      <c r="F185" s="19" t="str">
        <f t="array" ref="F185">IF(ISBLANK(Tareas!$B181),"-",SUM(
SUMIF(INDIRECT(Equipo!$C$4&amp;"!B10:B1000"),$B185,INDIRECT(Equipo!$C$4&amp;"!"&amp;ADDRESS(10,COLUMN(F$9)-1)&amp;":"&amp;ADDRESS(1000,COLUMN(F$9)-1))),
SUMIF(INDIRECT(Equipo!$D$4&amp;"!B10:B1000"),$B185,INDIRECT(Equipo!$D$4&amp;"!"&amp;ADDRESS(10,COLUMN(F$9)-1)&amp;":"&amp;ADDRESS(1000,COLUMN(F$9)-1))),
SUMIF(INDIRECT(Equipo!$E$4&amp;"!B10:B1000"),$B185,INDIRECT(Equipo!$E$4&amp;"!"&amp;ADDRESS(10,COLUMN(F$9)-1)&amp;":"&amp;ADDRESS(1000,COLUMN(F$9)-1))),
SUMIF(INDIRECT(Equipo!$F$4&amp;"!B10:B1000"),$B185,INDIRECT(Equipo!$F$4&amp;"!"&amp;ADDRESS(10,COLUMN(F$9)-1)&amp;":"&amp;ADDRESS(1000,COLUMN(F$9)-1))),
SUMIF(INDIRECT(Equipo!$G$4&amp;"!B10:B1000"),$B185,INDIRECT(Equipo!$G$4&amp;"!"&amp;ADDRESS(10,COLUMN(F$9)-1)&amp;":"&amp;ADDRESS(1000,COLUMN(F$9)-1)))))</f>
        <v>-</v>
      </c>
      <c r="G185" s="19" t="str">
        <f t="array" ref="G185">IF(ISBLANK(Tareas!$B181),"-",SUM(
SUMIF(INDIRECT(Equipo!$C$4&amp;"!B10:B1000"),$B185,INDIRECT(Equipo!$C$4&amp;"!"&amp;ADDRESS(10,COLUMN(G$9)-1)&amp;":"&amp;ADDRESS(1000,COLUMN(G$9)-1))),
SUMIF(INDIRECT(Equipo!$D$4&amp;"!B10:B1000"),$B185,INDIRECT(Equipo!$D$4&amp;"!"&amp;ADDRESS(10,COLUMN(G$9)-1)&amp;":"&amp;ADDRESS(1000,COLUMN(G$9)-1))),
SUMIF(INDIRECT(Equipo!$E$4&amp;"!B10:B1000"),$B185,INDIRECT(Equipo!$E$4&amp;"!"&amp;ADDRESS(10,COLUMN(G$9)-1)&amp;":"&amp;ADDRESS(1000,COLUMN(G$9)-1))),
SUMIF(INDIRECT(Equipo!$F$4&amp;"!B10:B1000"),$B185,INDIRECT(Equipo!$F$4&amp;"!"&amp;ADDRESS(10,COLUMN(G$9)-1)&amp;":"&amp;ADDRESS(1000,COLUMN(G$9)-1))),
SUMIF(INDIRECT(Equipo!$G$4&amp;"!B10:B1000"),$B185,INDIRECT(Equipo!$G$4&amp;"!"&amp;ADDRESS(10,COLUMN(G$9)-1)&amp;":"&amp;ADDRESS(1000,COLUMN(G$9)-1)))))</f>
        <v>-</v>
      </c>
      <c r="H185" s="19" t="str">
        <f t="array" ref="H185">IF(ISBLANK(Tareas!$B181),"-",SUM(
SUMIF(INDIRECT(Equipo!$C$4&amp;"!B10:B1000"),$B185,INDIRECT(Equipo!$C$4&amp;"!"&amp;ADDRESS(10,COLUMN(H$9)-1)&amp;":"&amp;ADDRESS(1000,COLUMN(H$9)-1))),
SUMIF(INDIRECT(Equipo!$D$4&amp;"!B10:B1000"),$B185,INDIRECT(Equipo!$D$4&amp;"!"&amp;ADDRESS(10,COLUMN(H$9)-1)&amp;":"&amp;ADDRESS(1000,COLUMN(H$9)-1))),
SUMIF(INDIRECT(Equipo!$E$4&amp;"!B10:B1000"),$B185,INDIRECT(Equipo!$E$4&amp;"!"&amp;ADDRESS(10,COLUMN(H$9)-1)&amp;":"&amp;ADDRESS(1000,COLUMN(H$9)-1))),
SUMIF(INDIRECT(Equipo!$F$4&amp;"!B10:B1000"),$B185,INDIRECT(Equipo!$F$4&amp;"!"&amp;ADDRESS(10,COLUMN(H$9)-1)&amp;":"&amp;ADDRESS(1000,COLUMN(H$9)-1))),
SUMIF(INDIRECT(Equipo!$G$4&amp;"!B10:B1000"),$B185,INDIRECT(Equipo!$G$4&amp;"!"&amp;ADDRESS(10,COLUMN(H$9)-1)&amp;":"&amp;ADDRESS(1000,COLUMN(H$9)-1)))))</f>
        <v>-</v>
      </c>
      <c r="I185" s="19" t="str">
        <f t="array" ref="I185">IF(ISBLANK(Tareas!$B181),"-",SUM(
SUMIF(INDIRECT(Equipo!$C$4&amp;"!B10:B1000"),$B185,INDIRECT(Equipo!$C$4&amp;"!"&amp;ADDRESS(10,COLUMN(I$9)-1)&amp;":"&amp;ADDRESS(1000,COLUMN(I$9)-1))),
SUMIF(INDIRECT(Equipo!$D$4&amp;"!B10:B1000"),$B185,INDIRECT(Equipo!$D$4&amp;"!"&amp;ADDRESS(10,COLUMN(I$9)-1)&amp;":"&amp;ADDRESS(1000,COLUMN(I$9)-1))),
SUMIF(INDIRECT(Equipo!$E$4&amp;"!B10:B1000"),$B185,INDIRECT(Equipo!$E$4&amp;"!"&amp;ADDRESS(10,COLUMN(I$9)-1)&amp;":"&amp;ADDRESS(1000,COLUMN(I$9)-1))),
SUMIF(INDIRECT(Equipo!$F$4&amp;"!B10:B1000"),$B185,INDIRECT(Equipo!$F$4&amp;"!"&amp;ADDRESS(10,COLUMN(I$9)-1)&amp;":"&amp;ADDRESS(1000,COLUMN(I$9)-1))),
SUMIF(INDIRECT(Equipo!$G$4&amp;"!B10:B1000"),$B185,INDIRECT(Equipo!$G$4&amp;"!"&amp;ADDRESS(10,COLUMN(I$9)-1)&amp;":"&amp;ADDRESS(1000,COLUMN(I$9)-1)))))</f>
        <v>-</v>
      </c>
      <c r="J185" s="19" t="str">
        <f t="array" ref="J185">IF(ISBLANK(Tareas!$B181),"-",SUM(
SUMIF(INDIRECT(Equipo!$C$4&amp;"!B10:B1000"),$B185,INDIRECT(Equipo!$C$4&amp;"!"&amp;ADDRESS(10,COLUMN(J$9)-1)&amp;":"&amp;ADDRESS(1000,COLUMN(J$9)-1))),
SUMIF(INDIRECT(Equipo!$D$4&amp;"!B10:B1000"),$B185,INDIRECT(Equipo!$D$4&amp;"!"&amp;ADDRESS(10,COLUMN(J$9)-1)&amp;":"&amp;ADDRESS(1000,COLUMN(J$9)-1))),
SUMIF(INDIRECT(Equipo!$E$4&amp;"!B10:B1000"),$B185,INDIRECT(Equipo!$E$4&amp;"!"&amp;ADDRESS(10,COLUMN(J$9)-1)&amp;":"&amp;ADDRESS(1000,COLUMN(J$9)-1))),
SUMIF(INDIRECT(Equipo!$F$4&amp;"!B10:B1000"),$B185,INDIRECT(Equipo!$F$4&amp;"!"&amp;ADDRESS(10,COLUMN(J$9)-1)&amp;":"&amp;ADDRESS(1000,COLUMN(J$9)-1))),
SUMIF(INDIRECT(Equipo!$G$4&amp;"!B10:B1000"),$B185,INDIRECT(Equipo!$G$4&amp;"!"&amp;ADDRESS(10,COLUMN(J$9)-1)&amp;":"&amp;ADDRESS(1000,COLUMN(J$9)-1)))))</f>
        <v>-</v>
      </c>
      <c r="K185" s="19" t="str">
        <f t="array" ref="K185">IF(ISBLANK(Tareas!$B181),"-",SUM(
SUMIF(INDIRECT(Equipo!$C$4&amp;"!B10:B1000"),$B185,INDIRECT(Equipo!$C$4&amp;"!"&amp;ADDRESS(10,COLUMN(K$9)-1)&amp;":"&amp;ADDRESS(1000,COLUMN(K$9)-1))),
SUMIF(INDIRECT(Equipo!$D$4&amp;"!B10:B1000"),$B185,INDIRECT(Equipo!$D$4&amp;"!"&amp;ADDRESS(10,COLUMN(K$9)-1)&amp;":"&amp;ADDRESS(1000,COLUMN(K$9)-1))),
SUMIF(INDIRECT(Equipo!$E$4&amp;"!B10:B1000"),$B185,INDIRECT(Equipo!$E$4&amp;"!"&amp;ADDRESS(10,COLUMN(K$9)-1)&amp;":"&amp;ADDRESS(1000,COLUMN(K$9)-1))),
SUMIF(INDIRECT(Equipo!$F$4&amp;"!B10:B1000"),$B185,INDIRECT(Equipo!$F$4&amp;"!"&amp;ADDRESS(10,COLUMN(K$9)-1)&amp;":"&amp;ADDRESS(1000,COLUMN(K$9)-1))),
SUMIF(INDIRECT(Equipo!$G$4&amp;"!B10:B1000"),$B185,INDIRECT(Equipo!$G$4&amp;"!"&amp;ADDRESS(10,COLUMN(K$9)-1)&amp;":"&amp;ADDRESS(1000,COLUMN(K$9)-1)))))</f>
        <v>-</v>
      </c>
    </row>
    <row r="186" ht="15.75" customHeight="1">
      <c r="B186" s="1" t="str">
        <f>IF(ISBLANK(Tareas!B182)," - ",Tareas!B182)</f>
        <v> - </v>
      </c>
      <c r="D186" s="19" t="str">
        <f t="array" ref="D186">IF(ISBLANK(Tareas!$B182),"-",SUM(
SUMIF(INDIRECT(Equipo!$C$4&amp;"!B10:B1000"),$B186,INDIRECT(Equipo!$C$4&amp;"!"&amp;ADDRESS(10,COLUMN(D$9)-1)&amp;":"&amp;ADDRESS(1000,COLUMN(D$9)-1))),
SUMIF(INDIRECT(Equipo!$D$4&amp;"!B10:B1000"),$B186,INDIRECT(Equipo!$D$4&amp;"!"&amp;ADDRESS(10,COLUMN(D$9)-1)&amp;":"&amp;ADDRESS(1000,COLUMN(D$9)-1))),
SUMIF(INDIRECT(Equipo!$E$4&amp;"!B10:B1000"),$B186,INDIRECT(Equipo!$E$4&amp;"!"&amp;ADDRESS(10,COLUMN(D$9)-1)&amp;":"&amp;ADDRESS(1000,COLUMN(D$9)-1))),
SUMIF(INDIRECT(Equipo!$F$4&amp;"!B10:B1000"),$B186,INDIRECT(Equipo!$F$4&amp;"!"&amp;ADDRESS(10,COLUMN(D$9)-1)&amp;":"&amp;ADDRESS(1000,COLUMN(D$9)-1))),
SUMIF(INDIRECT(Equipo!$G$4&amp;"!B10:B1000"),$B186,INDIRECT(Equipo!$G$4&amp;"!"&amp;ADDRESS(10,COLUMN(D$9)-1)&amp;":"&amp;ADDRESS(1000,COLUMN(D$9)-1)))))</f>
        <v>-</v>
      </c>
      <c r="E186" s="19" t="str">
        <f t="array" ref="E186">IF(ISBLANK(Tareas!$B182),"-",SUM(
SUMIF(INDIRECT(Equipo!$C$4&amp;"!B10:B1000"),$B186,INDIRECT(Equipo!$C$4&amp;"!"&amp;ADDRESS(10,COLUMN(E$9)-1)&amp;":"&amp;ADDRESS(1000,COLUMN(E$9)-1))),
SUMIF(INDIRECT(Equipo!$D$4&amp;"!B10:B1000"),$B186,INDIRECT(Equipo!$D$4&amp;"!"&amp;ADDRESS(10,COLUMN(E$9)-1)&amp;":"&amp;ADDRESS(1000,COLUMN(E$9)-1))),
SUMIF(INDIRECT(Equipo!$E$4&amp;"!B10:B1000"),$B186,INDIRECT(Equipo!$E$4&amp;"!"&amp;ADDRESS(10,COLUMN(E$9)-1)&amp;":"&amp;ADDRESS(1000,COLUMN(E$9)-1))),
SUMIF(INDIRECT(Equipo!$F$4&amp;"!B10:B1000"),$B186,INDIRECT(Equipo!$F$4&amp;"!"&amp;ADDRESS(10,COLUMN(E$9)-1)&amp;":"&amp;ADDRESS(1000,COLUMN(E$9)-1))),
SUMIF(INDIRECT(Equipo!$G$4&amp;"!B10:B1000"),$B186,INDIRECT(Equipo!$G$4&amp;"!"&amp;ADDRESS(10,COLUMN(E$9)-1)&amp;":"&amp;ADDRESS(1000,COLUMN(E$9)-1)))))</f>
        <v>-</v>
      </c>
      <c r="F186" s="19" t="str">
        <f t="array" ref="F186">IF(ISBLANK(Tareas!$B182),"-",SUM(
SUMIF(INDIRECT(Equipo!$C$4&amp;"!B10:B1000"),$B186,INDIRECT(Equipo!$C$4&amp;"!"&amp;ADDRESS(10,COLUMN(F$9)-1)&amp;":"&amp;ADDRESS(1000,COLUMN(F$9)-1))),
SUMIF(INDIRECT(Equipo!$D$4&amp;"!B10:B1000"),$B186,INDIRECT(Equipo!$D$4&amp;"!"&amp;ADDRESS(10,COLUMN(F$9)-1)&amp;":"&amp;ADDRESS(1000,COLUMN(F$9)-1))),
SUMIF(INDIRECT(Equipo!$E$4&amp;"!B10:B1000"),$B186,INDIRECT(Equipo!$E$4&amp;"!"&amp;ADDRESS(10,COLUMN(F$9)-1)&amp;":"&amp;ADDRESS(1000,COLUMN(F$9)-1))),
SUMIF(INDIRECT(Equipo!$F$4&amp;"!B10:B1000"),$B186,INDIRECT(Equipo!$F$4&amp;"!"&amp;ADDRESS(10,COLUMN(F$9)-1)&amp;":"&amp;ADDRESS(1000,COLUMN(F$9)-1))),
SUMIF(INDIRECT(Equipo!$G$4&amp;"!B10:B1000"),$B186,INDIRECT(Equipo!$G$4&amp;"!"&amp;ADDRESS(10,COLUMN(F$9)-1)&amp;":"&amp;ADDRESS(1000,COLUMN(F$9)-1)))))</f>
        <v>-</v>
      </c>
      <c r="G186" s="19" t="str">
        <f t="array" ref="G186">IF(ISBLANK(Tareas!$B182),"-",SUM(
SUMIF(INDIRECT(Equipo!$C$4&amp;"!B10:B1000"),$B186,INDIRECT(Equipo!$C$4&amp;"!"&amp;ADDRESS(10,COLUMN(G$9)-1)&amp;":"&amp;ADDRESS(1000,COLUMN(G$9)-1))),
SUMIF(INDIRECT(Equipo!$D$4&amp;"!B10:B1000"),$B186,INDIRECT(Equipo!$D$4&amp;"!"&amp;ADDRESS(10,COLUMN(G$9)-1)&amp;":"&amp;ADDRESS(1000,COLUMN(G$9)-1))),
SUMIF(INDIRECT(Equipo!$E$4&amp;"!B10:B1000"),$B186,INDIRECT(Equipo!$E$4&amp;"!"&amp;ADDRESS(10,COLUMN(G$9)-1)&amp;":"&amp;ADDRESS(1000,COLUMN(G$9)-1))),
SUMIF(INDIRECT(Equipo!$F$4&amp;"!B10:B1000"),$B186,INDIRECT(Equipo!$F$4&amp;"!"&amp;ADDRESS(10,COLUMN(G$9)-1)&amp;":"&amp;ADDRESS(1000,COLUMN(G$9)-1))),
SUMIF(INDIRECT(Equipo!$G$4&amp;"!B10:B1000"),$B186,INDIRECT(Equipo!$G$4&amp;"!"&amp;ADDRESS(10,COLUMN(G$9)-1)&amp;":"&amp;ADDRESS(1000,COLUMN(G$9)-1)))))</f>
        <v>-</v>
      </c>
      <c r="H186" s="19" t="str">
        <f t="array" ref="H186">IF(ISBLANK(Tareas!$B182),"-",SUM(
SUMIF(INDIRECT(Equipo!$C$4&amp;"!B10:B1000"),$B186,INDIRECT(Equipo!$C$4&amp;"!"&amp;ADDRESS(10,COLUMN(H$9)-1)&amp;":"&amp;ADDRESS(1000,COLUMN(H$9)-1))),
SUMIF(INDIRECT(Equipo!$D$4&amp;"!B10:B1000"),$B186,INDIRECT(Equipo!$D$4&amp;"!"&amp;ADDRESS(10,COLUMN(H$9)-1)&amp;":"&amp;ADDRESS(1000,COLUMN(H$9)-1))),
SUMIF(INDIRECT(Equipo!$E$4&amp;"!B10:B1000"),$B186,INDIRECT(Equipo!$E$4&amp;"!"&amp;ADDRESS(10,COLUMN(H$9)-1)&amp;":"&amp;ADDRESS(1000,COLUMN(H$9)-1))),
SUMIF(INDIRECT(Equipo!$F$4&amp;"!B10:B1000"),$B186,INDIRECT(Equipo!$F$4&amp;"!"&amp;ADDRESS(10,COLUMN(H$9)-1)&amp;":"&amp;ADDRESS(1000,COLUMN(H$9)-1))),
SUMIF(INDIRECT(Equipo!$G$4&amp;"!B10:B1000"),$B186,INDIRECT(Equipo!$G$4&amp;"!"&amp;ADDRESS(10,COLUMN(H$9)-1)&amp;":"&amp;ADDRESS(1000,COLUMN(H$9)-1)))))</f>
        <v>-</v>
      </c>
      <c r="I186" s="19" t="str">
        <f t="array" ref="I186">IF(ISBLANK(Tareas!$B182),"-",SUM(
SUMIF(INDIRECT(Equipo!$C$4&amp;"!B10:B1000"),$B186,INDIRECT(Equipo!$C$4&amp;"!"&amp;ADDRESS(10,COLUMN(I$9)-1)&amp;":"&amp;ADDRESS(1000,COLUMN(I$9)-1))),
SUMIF(INDIRECT(Equipo!$D$4&amp;"!B10:B1000"),$B186,INDIRECT(Equipo!$D$4&amp;"!"&amp;ADDRESS(10,COLUMN(I$9)-1)&amp;":"&amp;ADDRESS(1000,COLUMN(I$9)-1))),
SUMIF(INDIRECT(Equipo!$E$4&amp;"!B10:B1000"),$B186,INDIRECT(Equipo!$E$4&amp;"!"&amp;ADDRESS(10,COLUMN(I$9)-1)&amp;":"&amp;ADDRESS(1000,COLUMN(I$9)-1))),
SUMIF(INDIRECT(Equipo!$F$4&amp;"!B10:B1000"),$B186,INDIRECT(Equipo!$F$4&amp;"!"&amp;ADDRESS(10,COLUMN(I$9)-1)&amp;":"&amp;ADDRESS(1000,COLUMN(I$9)-1))),
SUMIF(INDIRECT(Equipo!$G$4&amp;"!B10:B1000"),$B186,INDIRECT(Equipo!$G$4&amp;"!"&amp;ADDRESS(10,COLUMN(I$9)-1)&amp;":"&amp;ADDRESS(1000,COLUMN(I$9)-1)))))</f>
        <v>-</v>
      </c>
      <c r="J186" s="19" t="str">
        <f t="array" ref="J186">IF(ISBLANK(Tareas!$B182),"-",SUM(
SUMIF(INDIRECT(Equipo!$C$4&amp;"!B10:B1000"),$B186,INDIRECT(Equipo!$C$4&amp;"!"&amp;ADDRESS(10,COLUMN(J$9)-1)&amp;":"&amp;ADDRESS(1000,COLUMN(J$9)-1))),
SUMIF(INDIRECT(Equipo!$D$4&amp;"!B10:B1000"),$B186,INDIRECT(Equipo!$D$4&amp;"!"&amp;ADDRESS(10,COLUMN(J$9)-1)&amp;":"&amp;ADDRESS(1000,COLUMN(J$9)-1))),
SUMIF(INDIRECT(Equipo!$E$4&amp;"!B10:B1000"),$B186,INDIRECT(Equipo!$E$4&amp;"!"&amp;ADDRESS(10,COLUMN(J$9)-1)&amp;":"&amp;ADDRESS(1000,COLUMN(J$9)-1))),
SUMIF(INDIRECT(Equipo!$F$4&amp;"!B10:B1000"),$B186,INDIRECT(Equipo!$F$4&amp;"!"&amp;ADDRESS(10,COLUMN(J$9)-1)&amp;":"&amp;ADDRESS(1000,COLUMN(J$9)-1))),
SUMIF(INDIRECT(Equipo!$G$4&amp;"!B10:B1000"),$B186,INDIRECT(Equipo!$G$4&amp;"!"&amp;ADDRESS(10,COLUMN(J$9)-1)&amp;":"&amp;ADDRESS(1000,COLUMN(J$9)-1)))))</f>
        <v>-</v>
      </c>
      <c r="K186" s="19" t="str">
        <f t="array" ref="K186">IF(ISBLANK(Tareas!$B182),"-",SUM(
SUMIF(INDIRECT(Equipo!$C$4&amp;"!B10:B1000"),$B186,INDIRECT(Equipo!$C$4&amp;"!"&amp;ADDRESS(10,COLUMN(K$9)-1)&amp;":"&amp;ADDRESS(1000,COLUMN(K$9)-1))),
SUMIF(INDIRECT(Equipo!$D$4&amp;"!B10:B1000"),$B186,INDIRECT(Equipo!$D$4&amp;"!"&amp;ADDRESS(10,COLUMN(K$9)-1)&amp;":"&amp;ADDRESS(1000,COLUMN(K$9)-1))),
SUMIF(INDIRECT(Equipo!$E$4&amp;"!B10:B1000"),$B186,INDIRECT(Equipo!$E$4&amp;"!"&amp;ADDRESS(10,COLUMN(K$9)-1)&amp;":"&amp;ADDRESS(1000,COLUMN(K$9)-1))),
SUMIF(INDIRECT(Equipo!$F$4&amp;"!B10:B1000"),$B186,INDIRECT(Equipo!$F$4&amp;"!"&amp;ADDRESS(10,COLUMN(K$9)-1)&amp;":"&amp;ADDRESS(1000,COLUMN(K$9)-1))),
SUMIF(INDIRECT(Equipo!$G$4&amp;"!B10:B1000"),$B186,INDIRECT(Equipo!$G$4&amp;"!"&amp;ADDRESS(10,COLUMN(K$9)-1)&amp;":"&amp;ADDRESS(1000,COLUMN(K$9)-1)))))</f>
        <v>-</v>
      </c>
    </row>
    <row r="187" ht="15.75" customHeight="1">
      <c r="B187" s="1" t="str">
        <f>IF(ISBLANK(Tareas!B183)," - ",Tareas!B183)</f>
        <v> - </v>
      </c>
      <c r="D187" s="19" t="str">
        <f t="array" ref="D187">IF(ISBLANK(Tareas!$B183),"-",SUM(
SUMIF(INDIRECT(Equipo!$C$4&amp;"!B10:B1000"),$B187,INDIRECT(Equipo!$C$4&amp;"!"&amp;ADDRESS(10,COLUMN(D$9)-1)&amp;":"&amp;ADDRESS(1000,COLUMN(D$9)-1))),
SUMIF(INDIRECT(Equipo!$D$4&amp;"!B10:B1000"),$B187,INDIRECT(Equipo!$D$4&amp;"!"&amp;ADDRESS(10,COLUMN(D$9)-1)&amp;":"&amp;ADDRESS(1000,COLUMN(D$9)-1))),
SUMIF(INDIRECT(Equipo!$E$4&amp;"!B10:B1000"),$B187,INDIRECT(Equipo!$E$4&amp;"!"&amp;ADDRESS(10,COLUMN(D$9)-1)&amp;":"&amp;ADDRESS(1000,COLUMN(D$9)-1))),
SUMIF(INDIRECT(Equipo!$F$4&amp;"!B10:B1000"),$B187,INDIRECT(Equipo!$F$4&amp;"!"&amp;ADDRESS(10,COLUMN(D$9)-1)&amp;":"&amp;ADDRESS(1000,COLUMN(D$9)-1))),
SUMIF(INDIRECT(Equipo!$G$4&amp;"!B10:B1000"),$B187,INDIRECT(Equipo!$G$4&amp;"!"&amp;ADDRESS(10,COLUMN(D$9)-1)&amp;":"&amp;ADDRESS(1000,COLUMN(D$9)-1)))))</f>
        <v>-</v>
      </c>
      <c r="E187" s="19" t="str">
        <f t="array" ref="E187">IF(ISBLANK(Tareas!$B183),"-",SUM(
SUMIF(INDIRECT(Equipo!$C$4&amp;"!B10:B1000"),$B187,INDIRECT(Equipo!$C$4&amp;"!"&amp;ADDRESS(10,COLUMN(E$9)-1)&amp;":"&amp;ADDRESS(1000,COLUMN(E$9)-1))),
SUMIF(INDIRECT(Equipo!$D$4&amp;"!B10:B1000"),$B187,INDIRECT(Equipo!$D$4&amp;"!"&amp;ADDRESS(10,COLUMN(E$9)-1)&amp;":"&amp;ADDRESS(1000,COLUMN(E$9)-1))),
SUMIF(INDIRECT(Equipo!$E$4&amp;"!B10:B1000"),$B187,INDIRECT(Equipo!$E$4&amp;"!"&amp;ADDRESS(10,COLUMN(E$9)-1)&amp;":"&amp;ADDRESS(1000,COLUMN(E$9)-1))),
SUMIF(INDIRECT(Equipo!$F$4&amp;"!B10:B1000"),$B187,INDIRECT(Equipo!$F$4&amp;"!"&amp;ADDRESS(10,COLUMN(E$9)-1)&amp;":"&amp;ADDRESS(1000,COLUMN(E$9)-1))),
SUMIF(INDIRECT(Equipo!$G$4&amp;"!B10:B1000"),$B187,INDIRECT(Equipo!$G$4&amp;"!"&amp;ADDRESS(10,COLUMN(E$9)-1)&amp;":"&amp;ADDRESS(1000,COLUMN(E$9)-1)))))</f>
        <v>-</v>
      </c>
      <c r="F187" s="19" t="str">
        <f t="array" ref="F187">IF(ISBLANK(Tareas!$B183),"-",SUM(
SUMIF(INDIRECT(Equipo!$C$4&amp;"!B10:B1000"),$B187,INDIRECT(Equipo!$C$4&amp;"!"&amp;ADDRESS(10,COLUMN(F$9)-1)&amp;":"&amp;ADDRESS(1000,COLUMN(F$9)-1))),
SUMIF(INDIRECT(Equipo!$D$4&amp;"!B10:B1000"),$B187,INDIRECT(Equipo!$D$4&amp;"!"&amp;ADDRESS(10,COLUMN(F$9)-1)&amp;":"&amp;ADDRESS(1000,COLUMN(F$9)-1))),
SUMIF(INDIRECT(Equipo!$E$4&amp;"!B10:B1000"),$B187,INDIRECT(Equipo!$E$4&amp;"!"&amp;ADDRESS(10,COLUMN(F$9)-1)&amp;":"&amp;ADDRESS(1000,COLUMN(F$9)-1))),
SUMIF(INDIRECT(Equipo!$F$4&amp;"!B10:B1000"),$B187,INDIRECT(Equipo!$F$4&amp;"!"&amp;ADDRESS(10,COLUMN(F$9)-1)&amp;":"&amp;ADDRESS(1000,COLUMN(F$9)-1))),
SUMIF(INDIRECT(Equipo!$G$4&amp;"!B10:B1000"),$B187,INDIRECT(Equipo!$G$4&amp;"!"&amp;ADDRESS(10,COLUMN(F$9)-1)&amp;":"&amp;ADDRESS(1000,COLUMN(F$9)-1)))))</f>
        <v>-</v>
      </c>
      <c r="G187" s="19" t="str">
        <f t="array" ref="G187">IF(ISBLANK(Tareas!$B183),"-",SUM(
SUMIF(INDIRECT(Equipo!$C$4&amp;"!B10:B1000"),$B187,INDIRECT(Equipo!$C$4&amp;"!"&amp;ADDRESS(10,COLUMN(G$9)-1)&amp;":"&amp;ADDRESS(1000,COLUMN(G$9)-1))),
SUMIF(INDIRECT(Equipo!$D$4&amp;"!B10:B1000"),$B187,INDIRECT(Equipo!$D$4&amp;"!"&amp;ADDRESS(10,COLUMN(G$9)-1)&amp;":"&amp;ADDRESS(1000,COLUMN(G$9)-1))),
SUMIF(INDIRECT(Equipo!$E$4&amp;"!B10:B1000"),$B187,INDIRECT(Equipo!$E$4&amp;"!"&amp;ADDRESS(10,COLUMN(G$9)-1)&amp;":"&amp;ADDRESS(1000,COLUMN(G$9)-1))),
SUMIF(INDIRECT(Equipo!$F$4&amp;"!B10:B1000"),$B187,INDIRECT(Equipo!$F$4&amp;"!"&amp;ADDRESS(10,COLUMN(G$9)-1)&amp;":"&amp;ADDRESS(1000,COLUMN(G$9)-1))),
SUMIF(INDIRECT(Equipo!$G$4&amp;"!B10:B1000"),$B187,INDIRECT(Equipo!$G$4&amp;"!"&amp;ADDRESS(10,COLUMN(G$9)-1)&amp;":"&amp;ADDRESS(1000,COLUMN(G$9)-1)))))</f>
        <v>-</v>
      </c>
      <c r="H187" s="19" t="str">
        <f t="array" ref="H187">IF(ISBLANK(Tareas!$B183),"-",SUM(
SUMIF(INDIRECT(Equipo!$C$4&amp;"!B10:B1000"),$B187,INDIRECT(Equipo!$C$4&amp;"!"&amp;ADDRESS(10,COLUMN(H$9)-1)&amp;":"&amp;ADDRESS(1000,COLUMN(H$9)-1))),
SUMIF(INDIRECT(Equipo!$D$4&amp;"!B10:B1000"),$B187,INDIRECT(Equipo!$D$4&amp;"!"&amp;ADDRESS(10,COLUMN(H$9)-1)&amp;":"&amp;ADDRESS(1000,COLUMN(H$9)-1))),
SUMIF(INDIRECT(Equipo!$E$4&amp;"!B10:B1000"),$B187,INDIRECT(Equipo!$E$4&amp;"!"&amp;ADDRESS(10,COLUMN(H$9)-1)&amp;":"&amp;ADDRESS(1000,COLUMN(H$9)-1))),
SUMIF(INDIRECT(Equipo!$F$4&amp;"!B10:B1000"),$B187,INDIRECT(Equipo!$F$4&amp;"!"&amp;ADDRESS(10,COLUMN(H$9)-1)&amp;":"&amp;ADDRESS(1000,COLUMN(H$9)-1))),
SUMIF(INDIRECT(Equipo!$G$4&amp;"!B10:B1000"),$B187,INDIRECT(Equipo!$G$4&amp;"!"&amp;ADDRESS(10,COLUMN(H$9)-1)&amp;":"&amp;ADDRESS(1000,COLUMN(H$9)-1)))))</f>
        <v>-</v>
      </c>
      <c r="I187" s="19" t="str">
        <f t="array" ref="I187">IF(ISBLANK(Tareas!$B183),"-",SUM(
SUMIF(INDIRECT(Equipo!$C$4&amp;"!B10:B1000"),$B187,INDIRECT(Equipo!$C$4&amp;"!"&amp;ADDRESS(10,COLUMN(I$9)-1)&amp;":"&amp;ADDRESS(1000,COLUMN(I$9)-1))),
SUMIF(INDIRECT(Equipo!$D$4&amp;"!B10:B1000"),$B187,INDIRECT(Equipo!$D$4&amp;"!"&amp;ADDRESS(10,COLUMN(I$9)-1)&amp;":"&amp;ADDRESS(1000,COLUMN(I$9)-1))),
SUMIF(INDIRECT(Equipo!$E$4&amp;"!B10:B1000"),$B187,INDIRECT(Equipo!$E$4&amp;"!"&amp;ADDRESS(10,COLUMN(I$9)-1)&amp;":"&amp;ADDRESS(1000,COLUMN(I$9)-1))),
SUMIF(INDIRECT(Equipo!$F$4&amp;"!B10:B1000"),$B187,INDIRECT(Equipo!$F$4&amp;"!"&amp;ADDRESS(10,COLUMN(I$9)-1)&amp;":"&amp;ADDRESS(1000,COLUMN(I$9)-1))),
SUMIF(INDIRECT(Equipo!$G$4&amp;"!B10:B1000"),$B187,INDIRECT(Equipo!$G$4&amp;"!"&amp;ADDRESS(10,COLUMN(I$9)-1)&amp;":"&amp;ADDRESS(1000,COLUMN(I$9)-1)))))</f>
        <v>-</v>
      </c>
      <c r="J187" s="19" t="str">
        <f t="array" ref="J187">IF(ISBLANK(Tareas!$B183),"-",SUM(
SUMIF(INDIRECT(Equipo!$C$4&amp;"!B10:B1000"),$B187,INDIRECT(Equipo!$C$4&amp;"!"&amp;ADDRESS(10,COLUMN(J$9)-1)&amp;":"&amp;ADDRESS(1000,COLUMN(J$9)-1))),
SUMIF(INDIRECT(Equipo!$D$4&amp;"!B10:B1000"),$B187,INDIRECT(Equipo!$D$4&amp;"!"&amp;ADDRESS(10,COLUMN(J$9)-1)&amp;":"&amp;ADDRESS(1000,COLUMN(J$9)-1))),
SUMIF(INDIRECT(Equipo!$E$4&amp;"!B10:B1000"),$B187,INDIRECT(Equipo!$E$4&amp;"!"&amp;ADDRESS(10,COLUMN(J$9)-1)&amp;":"&amp;ADDRESS(1000,COLUMN(J$9)-1))),
SUMIF(INDIRECT(Equipo!$F$4&amp;"!B10:B1000"),$B187,INDIRECT(Equipo!$F$4&amp;"!"&amp;ADDRESS(10,COLUMN(J$9)-1)&amp;":"&amp;ADDRESS(1000,COLUMN(J$9)-1))),
SUMIF(INDIRECT(Equipo!$G$4&amp;"!B10:B1000"),$B187,INDIRECT(Equipo!$G$4&amp;"!"&amp;ADDRESS(10,COLUMN(J$9)-1)&amp;":"&amp;ADDRESS(1000,COLUMN(J$9)-1)))))</f>
        <v>-</v>
      </c>
      <c r="K187" s="19" t="str">
        <f t="array" ref="K187">IF(ISBLANK(Tareas!$B183),"-",SUM(
SUMIF(INDIRECT(Equipo!$C$4&amp;"!B10:B1000"),$B187,INDIRECT(Equipo!$C$4&amp;"!"&amp;ADDRESS(10,COLUMN(K$9)-1)&amp;":"&amp;ADDRESS(1000,COLUMN(K$9)-1))),
SUMIF(INDIRECT(Equipo!$D$4&amp;"!B10:B1000"),$B187,INDIRECT(Equipo!$D$4&amp;"!"&amp;ADDRESS(10,COLUMN(K$9)-1)&amp;":"&amp;ADDRESS(1000,COLUMN(K$9)-1))),
SUMIF(INDIRECT(Equipo!$E$4&amp;"!B10:B1000"),$B187,INDIRECT(Equipo!$E$4&amp;"!"&amp;ADDRESS(10,COLUMN(K$9)-1)&amp;":"&amp;ADDRESS(1000,COLUMN(K$9)-1))),
SUMIF(INDIRECT(Equipo!$F$4&amp;"!B10:B1000"),$B187,INDIRECT(Equipo!$F$4&amp;"!"&amp;ADDRESS(10,COLUMN(K$9)-1)&amp;":"&amp;ADDRESS(1000,COLUMN(K$9)-1))),
SUMIF(INDIRECT(Equipo!$G$4&amp;"!B10:B1000"),$B187,INDIRECT(Equipo!$G$4&amp;"!"&amp;ADDRESS(10,COLUMN(K$9)-1)&amp;":"&amp;ADDRESS(1000,COLUMN(K$9)-1)))))</f>
        <v>-</v>
      </c>
    </row>
    <row r="188" ht="15.75" customHeight="1">
      <c r="B188" s="1" t="str">
        <f>IF(ISBLANK(Tareas!B184)," - ",Tareas!B184)</f>
        <v> - </v>
      </c>
      <c r="D188" s="19" t="str">
        <f t="array" ref="D188">IF(ISBLANK(Tareas!$B184),"-",SUM(
SUMIF(INDIRECT(Equipo!$C$4&amp;"!B10:B1000"),$B188,INDIRECT(Equipo!$C$4&amp;"!"&amp;ADDRESS(10,COLUMN(D$9)-1)&amp;":"&amp;ADDRESS(1000,COLUMN(D$9)-1))),
SUMIF(INDIRECT(Equipo!$D$4&amp;"!B10:B1000"),$B188,INDIRECT(Equipo!$D$4&amp;"!"&amp;ADDRESS(10,COLUMN(D$9)-1)&amp;":"&amp;ADDRESS(1000,COLUMN(D$9)-1))),
SUMIF(INDIRECT(Equipo!$E$4&amp;"!B10:B1000"),$B188,INDIRECT(Equipo!$E$4&amp;"!"&amp;ADDRESS(10,COLUMN(D$9)-1)&amp;":"&amp;ADDRESS(1000,COLUMN(D$9)-1))),
SUMIF(INDIRECT(Equipo!$F$4&amp;"!B10:B1000"),$B188,INDIRECT(Equipo!$F$4&amp;"!"&amp;ADDRESS(10,COLUMN(D$9)-1)&amp;":"&amp;ADDRESS(1000,COLUMN(D$9)-1))),
SUMIF(INDIRECT(Equipo!$G$4&amp;"!B10:B1000"),$B188,INDIRECT(Equipo!$G$4&amp;"!"&amp;ADDRESS(10,COLUMN(D$9)-1)&amp;":"&amp;ADDRESS(1000,COLUMN(D$9)-1)))))</f>
        <v>-</v>
      </c>
      <c r="E188" s="19" t="str">
        <f t="array" ref="E188">IF(ISBLANK(Tareas!$B184),"-",SUM(
SUMIF(INDIRECT(Equipo!$C$4&amp;"!B10:B1000"),$B188,INDIRECT(Equipo!$C$4&amp;"!"&amp;ADDRESS(10,COLUMN(E$9)-1)&amp;":"&amp;ADDRESS(1000,COLUMN(E$9)-1))),
SUMIF(INDIRECT(Equipo!$D$4&amp;"!B10:B1000"),$B188,INDIRECT(Equipo!$D$4&amp;"!"&amp;ADDRESS(10,COLUMN(E$9)-1)&amp;":"&amp;ADDRESS(1000,COLUMN(E$9)-1))),
SUMIF(INDIRECT(Equipo!$E$4&amp;"!B10:B1000"),$B188,INDIRECT(Equipo!$E$4&amp;"!"&amp;ADDRESS(10,COLUMN(E$9)-1)&amp;":"&amp;ADDRESS(1000,COLUMN(E$9)-1))),
SUMIF(INDIRECT(Equipo!$F$4&amp;"!B10:B1000"),$B188,INDIRECT(Equipo!$F$4&amp;"!"&amp;ADDRESS(10,COLUMN(E$9)-1)&amp;":"&amp;ADDRESS(1000,COLUMN(E$9)-1))),
SUMIF(INDIRECT(Equipo!$G$4&amp;"!B10:B1000"),$B188,INDIRECT(Equipo!$G$4&amp;"!"&amp;ADDRESS(10,COLUMN(E$9)-1)&amp;":"&amp;ADDRESS(1000,COLUMN(E$9)-1)))))</f>
        <v>-</v>
      </c>
      <c r="F188" s="19" t="str">
        <f t="array" ref="F188">IF(ISBLANK(Tareas!$B184),"-",SUM(
SUMIF(INDIRECT(Equipo!$C$4&amp;"!B10:B1000"),$B188,INDIRECT(Equipo!$C$4&amp;"!"&amp;ADDRESS(10,COLUMN(F$9)-1)&amp;":"&amp;ADDRESS(1000,COLUMN(F$9)-1))),
SUMIF(INDIRECT(Equipo!$D$4&amp;"!B10:B1000"),$B188,INDIRECT(Equipo!$D$4&amp;"!"&amp;ADDRESS(10,COLUMN(F$9)-1)&amp;":"&amp;ADDRESS(1000,COLUMN(F$9)-1))),
SUMIF(INDIRECT(Equipo!$E$4&amp;"!B10:B1000"),$B188,INDIRECT(Equipo!$E$4&amp;"!"&amp;ADDRESS(10,COLUMN(F$9)-1)&amp;":"&amp;ADDRESS(1000,COLUMN(F$9)-1))),
SUMIF(INDIRECT(Equipo!$F$4&amp;"!B10:B1000"),$B188,INDIRECT(Equipo!$F$4&amp;"!"&amp;ADDRESS(10,COLUMN(F$9)-1)&amp;":"&amp;ADDRESS(1000,COLUMN(F$9)-1))),
SUMIF(INDIRECT(Equipo!$G$4&amp;"!B10:B1000"),$B188,INDIRECT(Equipo!$G$4&amp;"!"&amp;ADDRESS(10,COLUMN(F$9)-1)&amp;":"&amp;ADDRESS(1000,COLUMN(F$9)-1)))))</f>
        <v>-</v>
      </c>
      <c r="G188" s="19" t="str">
        <f t="array" ref="G188">IF(ISBLANK(Tareas!$B184),"-",SUM(
SUMIF(INDIRECT(Equipo!$C$4&amp;"!B10:B1000"),$B188,INDIRECT(Equipo!$C$4&amp;"!"&amp;ADDRESS(10,COLUMN(G$9)-1)&amp;":"&amp;ADDRESS(1000,COLUMN(G$9)-1))),
SUMIF(INDIRECT(Equipo!$D$4&amp;"!B10:B1000"),$B188,INDIRECT(Equipo!$D$4&amp;"!"&amp;ADDRESS(10,COLUMN(G$9)-1)&amp;":"&amp;ADDRESS(1000,COLUMN(G$9)-1))),
SUMIF(INDIRECT(Equipo!$E$4&amp;"!B10:B1000"),$B188,INDIRECT(Equipo!$E$4&amp;"!"&amp;ADDRESS(10,COLUMN(G$9)-1)&amp;":"&amp;ADDRESS(1000,COLUMN(G$9)-1))),
SUMIF(INDIRECT(Equipo!$F$4&amp;"!B10:B1000"),$B188,INDIRECT(Equipo!$F$4&amp;"!"&amp;ADDRESS(10,COLUMN(G$9)-1)&amp;":"&amp;ADDRESS(1000,COLUMN(G$9)-1))),
SUMIF(INDIRECT(Equipo!$G$4&amp;"!B10:B1000"),$B188,INDIRECT(Equipo!$G$4&amp;"!"&amp;ADDRESS(10,COLUMN(G$9)-1)&amp;":"&amp;ADDRESS(1000,COLUMN(G$9)-1)))))</f>
        <v>-</v>
      </c>
      <c r="H188" s="19" t="str">
        <f t="array" ref="H188">IF(ISBLANK(Tareas!$B184),"-",SUM(
SUMIF(INDIRECT(Equipo!$C$4&amp;"!B10:B1000"),$B188,INDIRECT(Equipo!$C$4&amp;"!"&amp;ADDRESS(10,COLUMN(H$9)-1)&amp;":"&amp;ADDRESS(1000,COLUMN(H$9)-1))),
SUMIF(INDIRECT(Equipo!$D$4&amp;"!B10:B1000"),$B188,INDIRECT(Equipo!$D$4&amp;"!"&amp;ADDRESS(10,COLUMN(H$9)-1)&amp;":"&amp;ADDRESS(1000,COLUMN(H$9)-1))),
SUMIF(INDIRECT(Equipo!$E$4&amp;"!B10:B1000"),$B188,INDIRECT(Equipo!$E$4&amp;"!"&amp;ADDRESS(10,COLUMN(H$9)-1)&amp;":"&amp;ADDRESS(1000,COLUMN(H$9)-1))),
SUMIF(INDIRECT(Equipo!$F$4&amp;"!B10:B1000"),$B188,INDIRECT(Equipo!$F$4&amp;"!"&amp;ADDRESS(10,COLUMN(H$9)-1)&amp;":"&amp;ADDRESS(1000,COLUMN(H$9)-1))),
SUMIF(INDIRECT(Equipo!$G$4&amp;"!B10:B1000"),$B188,INDIRECT(Equipo!$G$4&amp;"!"&amp;ADDRESS(10,COLUMN(H$9)-1)&amp;":"&amp;ADDRESS(1000,COLUMN(H$9)-1)))))</f>
        <v>-</v>
      </c>
      <c r="I188" s="19" t="str">
        <f t="array" ref="I188">IF(ISBLANK(Tareas!$B184),"-",SUM(
SUMIF(INDIRECT(Equipo!$C$4&amp;"!B10:B1000"),$B188,INDIRECT(Equipo!$C$4&amp;"!"&amp;ADDRESS(10,COLUMN(I$9)-1)&amp;":"&amp;ADDRESS(1000,COLUMN(I$9)-1))),
SUMIF(INDIRECT(Equipo!$D$4&amp;"!B10:B1000"),$B188,INDIRECT(Equipo!$D$4&amp;"!"&amp;ADDRESS(10,COLUMN(I$9)-1)&amp;":"&amp;ADDRESS(1000,COLUMN(I$9)-1))),
SUMIF(INDIRECT(Equipo!$E$4&amp;"!B10:B1000"),$B188,INDIRECT(Equipo!$E$4&amp;"!"&amp;ADDRESS(10,COLUMN(I$9)-1)&amp;":"&amp;ADDRESS(1000,COLUMN(I$9)-1))),
SUMIF(INDIRECT(Equipo!$F$4&amp;"!B10:B1000"),$B188,INDIRECT(Equipo!$F$4&amp;"!"&amp;ADDRESS(10,COLUMN(I$9)-1)&amp;":"&amp;ADDRESS(1000,COLUMN(I$9)-1))),
SUMIF(INDIRECT(Equipo!$G$4&amp;"!B10:B1000"),$B188,INDIRECT(Equipo!$G$4&amp;"!"&amp;ADDRESS(10,COLUMN(I$9)-1)&amp;":"&amp;ADDRESS(1000,COLUMN(I$9)-1)))))</f>
        <v>-</v>
      </c>
      <c r="J188" s="19" t="str">
        <f t="array" ref="J188">IF(ISBLANK(Tareas!$B184),"-",SUM(
SUMIF(INDIRECT(Equipo!$C$4&amp;"!B10:B1000"),$B188,INDIRECT(Equipo!$C$4&amp;"!"&amp;ADDRESS(10,COLUMN(J$9)-1)&amp;":"&amp;ADDRESS(1000,COLUMN(J$9)-1))),
SUMIF(INDIRECT(Equipo!$D$4&amp;"!B10:B1000"),$B188,INDIRECT(Equipo!$D$4&amp;"!"&amp;ADDRESS(10,COLUMN(J$9)-1)&amp;":"&amp;ADDRESS(1000,COLUMN(J$9)-1))),
SUMIF(INDIRECT(Equipo!$E$4&amp;"!B10:B1000"),$B188,INDIRECT(Equipo!$E$4&amp;"!"&amp;ADDRESS(10,COLUMN(J$9)-1)&amp;":"&amp;ADDRESS(1000,COLUMN(J$9)-1))),
SUMIF(INDIRECT(Equipo!$F$4&amp;"!B10:B1000"),$B188,INDIRECT(Equipo!$F$4&amp;"!"&amp;ADDRESS(10,COLUMN(J$9)-1)&amp;":"&amp;ADDRESS(1000,COLUMN(J$9)-1))),
SUMIF(INDIRECT(Equipo!$G$4&amp;"!B10:B1000"),$B188,INDIRECT(Equipo!$G$4&amp;"!"&amp;ADDRESS(10,COLUMN(J$9)-1)&amp;":"&amp;ADDRESS(1000,COLUMN(J$9)-1)))))</f>
        <v>-</v>
      </c>
      <c r="K188" s="19" t="str">
        <f t="array" ref="K188">IF(ISBLANK(Tareas!$B184),"-",SUM(
SUMIF(INDIRECT(Equipo!$C$4&amp;"!B10:B1000"),$B188,INDIRECT(Equipo!$C$4&amp;"!"&amp;ADDRESS(10,COLUMN(K$9)-1)&amp;":"&amp;ADDRESS(1000,COLUMN(K$9)-1))),
SUMIF(INDIRECT(Equipo!$D$4&amp;"!B10:B1000"),$B188,INDIRECT(Equipo!$D$4&amp;"!"&amp;ADDRESS(10,COLUMN(K$9)-1)&amp;":"&amp;ADDRESS(1000,COLUMN(K$9)-1))),
SUMIF(INDIRECT(Equipo!$E$4&amp;"!B10:B1000"),$B188,INDIRECT(Equipo!$E$4&amp;"!"&amp;ADDRESS(10,COLUMN(K$9)-1)&amp;":"&amp;ADDRESS(1000,COLUMN(K$9)-1))),
SUMIF(INDIRECT(Equipo!$F$4&amp;"!B10:B1000"),$B188,INDIRECT(Equipo!$F$4&amp;"!"&amp;ADDRESS(10,COLUMN(K$9)-1)&amp;":"&amp;ADDRESS(1000,COLUMN(K$9)-1))),
SUMIF(INDIRECT(Equipo!$G$4&amp;"!B10:B1000"),$B188,INDIRECT(Equipo!$G$4&amp;"!"&amp;ADDRESS(10,COLUMN(K$9)-1)&amp;":"&amp;ADDRESS(1000,COLUMN(K$9)-1)))))</f>
        <v>-</v>
      </c>
    </row>
    <row r="189" ht="15.75" customHeight="1">
      <c r="B189" s="1" t="str">
        <f>IF(ISBLANK(Tareas!B185)," - ",Tareas!B185)</f>
        <v> - </v>
      </c>
      <c r="D189" s="19" t="str">
        <f t="array" ref="D189">IF(ISBLANK(Tareas!$B185),"-",SUM(
SUMIF(INDIRECT(Equipo!$C$4&amp;"!B10:B1000"),$B189,INDIRECT(Equipo!$C$4&amp;"!"&amp;ADDRESS(10,COLUMN(D$9)-1)&amp;":"&amp;ADDRESS(1000,COLUMN(D$9)-1))),
SUMIF(INDIRECT(Equipo!$D$4&amp;"!B10:B1000"),$B189,INDIRECT(Equipo!$D$4&amp;"!"&amp;ADDRESS(10,COLUMN(D$9)-1)&amp;":"&amp;ADDRESS(1000,COLUMN(D$9)-1))),
SUMIF(INDIRECT(Equipo!$E$4&amp;"!B10:B1000"),$B189,INDIRECT(Equipo!$E$4&amp;"!"&amp;ADDRESS(10,COLUMN(D$9)-1)&amp;":"&amp;ADDRESS(1000,COLUMN(D$9)-1))),
SUMIF(INDIRECT(Equipo!$F$4&amp;"!B10:B1000"),$B189,INDIRECT(Equipo!$F$4&amp;"!"&amp;ADDRESS(10,COLUMN(D$9)-1)&amp;":"&amp;ADDRESS(1000,COLUMN(D$9)-1))),
SUMIF(INDIRECT(Equipo!$G$4&amp;"!B10:B1000"),$B189,INDIRECT(Equipo!$G$4&amp;"!"&amp;ADDRESS(10,COLUMN(D$9)-1)&amp;":"&amp;ADDRESS(1000,COLUMN(D$9)-1)))))</f>
        <v>-</v>
      </c>
      <c r="E189" s="19" t="str">
        <f t="array" ref="E189">IF(ISBLANK(Tareas!$B185),"-",SUM(
SUMIF(INDIRECT(Equipo!$C$4&amp;"!B10:B1000"),$B189,INDIRECT(Equipo!$C$4&amp;"!"&amp;ADDRESS(10,COLUMN(E$9)-1)&amp;":"&amp;ADDRESS(1000,COLUMN(E$9)-1))),
SUMIF(INDIRECT(Equipo!$D$4&amp;"!B10:B1000"),$B189,INDIRECT(Equipo!$D$4&amp;"!"&amp;ADDRESS(10,COLUMN(E$9)-1)&amp;":"&amp;ADDRESS(1000,COLUMN(E$9)-1))),
SUMIF(INDIRECT(Equipo!$E$4&amp;"!B10:B1000"),$B189,INDIRECT(Equipo!$E$4&amp;"!"&amp;ADDRESS(10,COLUMN(E$9)-1)&amp;":"&amp;ADDRESS(1000,COLUMN(E$9)-1))),
SUMIF(INDIRECT(Equipo!$F$4&amp;"!B10:B1000"),$B189,INDIRECT(Equipo!$F$4&amp;"!"&amp;ADDRESS(10,COLUMN(E$9)-1)&amp;":"&amp;ADDRESS(1000,COLUMN(E$9)-1))),
SUMIF(INDIRECT(Equipo!$G$4&amp;"!B10:B1000"),$B189,INDIRECT(Equipo!$G$4&amp;"!"&amp;ADDRESS(10,COLUMN(E$9)-1)&amp;":"&amp;ADDRESS(1000,COLUMN(E$9)-1)))))</f>
        <v>-</v>
      </c>
      <c r="F189" s="19" t="str">
        <f t="array" ref="F189">IF(ISBLANK(Tareas!$B185),"-",SUM(
SUMIF(INDIRECT(Equipo!$C$4&amp;"!B10:B1000"),$B189,INDIRECT(Equipo!$C$4&amp;"!"&amp;ADDRESS(10,COLUMN(F$9)-1)&amp;":"&amp;ADDRESS(1000,COLUMN(F$9)-1))),
SUMIF(INDIRECT(Equipo!$D$4&amp;"!B10:B1000"),$B189,INDIRECT(Equipo!$D$4&amp;"!"&amp;ADDRESS(10,COLUMN(F$9)-1)&amp;":"&amp;ADDRESS(1000,COLUMN(F$9)-1))),
SUMIF(INDIRECT(Equipo!$E$4&amp;"!B10:B1000"),$B189,INDIRECT(Equipo!$E$4&amp;"!"&amp;ADDRESS(10,COLUMN(F$9)-1)&amp;":"&amp;ADDRESS(1000,COLUMN(F$9)-1))),
SUMIF(INDIRECT(Equipo!$F$4&amp;"!B10:B1000"),$B189,INDIRECT(Equipo!$F$4&amp;"!"&amp;ADDRESS(10,COLUMN(F$9)-1)&amp;":"&amp;ADDRESS(1000,COLUMN(F$9)-1))),
SUMIF(INDIRECT(Equipo!$G$4&amp;"!B10:B1000"),$B189,INDIRECT(Equipo!$G$4&amp;"!"&amp;ADDRESS(10,COLUMN(F$9)-1)&amp;":"&amp;ADDRESS(1000,COLUMN(F$9)-1)))))</f>
        <v>-</v>
      </c>
      <c r="G189" s="19" t="str">
        <f t="array" ref="G189">IF(ISBLANK(Tareas!$B185),"-",SUM(
SUMIF(INDIRECT(Equipo!$C$4&amp;"!B10:B1000"),$B189,INDIRECT(Equipo!$C$4&amp;"!"&amp;ADDRESS(10,COLUMN(G$9)-1)&amp;":"&amp;ADDRESS(1000,COLUMN(G$9)-1))),
SUMIF(INDIRECT(Equipo!$D$4&amp;"!B10:B1000"),$B189,INDIRECT(Equipo!$D$4&amp;"!"&amp;ADDRESS(10,COLUMN(G$9)-1)&amp;":"&amp;ADDRESS(1000,COLUMN(G$9)-1))),
SUMIF(INDIRECT(Equipo!$E$4&amp;"!B10:B1000"),$B189,INDIRECT(Equipo!$E$4&amp;"!"&amp;ADDRESS(10,COLUMN(G$9)-1)&amp;":"&amp;ADDRESS(1000,COLUMN(G$9)-1))),
SUMIF(INDIRECT(Equipo!$F$4&amp;"!B10:B1000"),$B189,INDIRECT(Equipo!$F$4&amp;"!"&amp;ADDRESS(10,COLUMN(G$9)-1)&amp;":"&amp;ADDRESS(1000,COLUMN(G$9)-1))),
SUMIF(INDIRECT(Equipo!$G$4&amp;"!B10:B1000"),$B189,INDIRECT(Equipo!$G$4&amp;"!"&amp;ADDRESS(10,COLUMN(G$9)-1)&amp;":"&amp;ADDRESS(1000,COLUMN(G$9)-1)))))</f>
        <v>-</v>
      </c>
      <c r="H189" s="19" t="str">
        <f t="array" ref="H189">IF(ISBLANK(Tareas!$B185),"-",SUM(
SUMIF(INDIRECT(Equipo!$C$4&amp;"!B10:B1000"),$B189,INDIRECT(Equipo!$C$4&amp;"!"&amp;ADDRESS(10,COLUMN(H$9)-1)&amp;":"&amp;ADDRESS(1000,COLUMN(H$9)-1))),
SUMIF(INDIRECT(Equipo!$D$4&amp;"!B10:B1000"),$B189,INDIRECT(Equipo!$D$4&amp;"!"&amp;ADDRESS(10,COLUMN(H$9)-1)&amp;":"&amp;ADDRESS(1000,COLUMN(H$9)-1))),
SUMIF(INDIRECT(Equipo!$E$4&amp;"!B10:B1000"),$B189,INDIRECT(Equipo!$E$4&amp;"!"&amp;ADDRESS(10,COLUMN(H$9)-1)&amp;":"&amp;ADDRESS(1000,COLUMN(H$9)-1))),
SUMIF(INDIRECT(Equipo!$F$4&amp;"!B10:B1000"),$B189,INDIRECT(Equipo!$F$4&amp;"!"&amp;ADDRESS(10,COLUMN(H$9)-1)&amp;":"&amp;ADDRESS(1000,COLUMN(H$9)-1))),
SUMIF(INDIRECT(Equipo!$G$4&amp;"!B10:B1000"),$B189,INDIRECT(Equipo!$G$4&amp;"!"&amp;ADDRESS(10,COLUMN(H$9)-1)&amp;":"&amp;ADDRESS(1000,COLUMN(H$9)-1)))))</f>
        <v>-</v>
      </c>
      <c r="I189" s="19" t="str">
        <f t="array" ref="I189">IF(ISBLANK(Tareas!$B185),"-",SUM(
SUMIF(INDIRECT(Equipo!$C$4&amp;"!B10:B1000"),$B189,INDIRECT(Equipo!$C$4&amp;"!"&amp;ADDRESS(10,COLUMN(I$9)-1)&amp;":"&amp;ADDRESS(1000,COLUMN(I$9)-1))),
SUMIF(INDIRECT(Equipo!$D$4&amp;"!B10:B1000"),$B189,INDIRECT(Equipo!$D$4&amp;"!"&amp;ADDRESS(10,COLUMN(I$9)-1)&amp;":"&amp;ADDRESS(1000,COLUMN(I$9)-1))),
SUMIF(INDIRECT(Equipo!$E$4&amp;"!B10:B1000"),$B189,INDIRECT(Equipo!$E$4&amp;"!"&amp;ADDRESS(10,COLUMN(I$9)-1)&amp;":"&amp;ADDRESS(1000,COLUMN(I$9)-1))),
SUMIF(INDIRECT(Equipo!$F$4&amp;"!B10:B1000"),$B189,INDIRECT(Equipo!$F$4&amp;"!"&amp;ADDRESS(10,COLUMN(I$9)-1)&amp;":"&amp;ADDRESS(1000,COLUMN(I$9)-1))),
SUMIF(INDIRECT(Equipo!$G$4&amp;"!B10:B1000"),$B189,INDIRECT(Equipo!$G$4&amp;"!"&amp;ADDRESS(10,COLUMN(I$9)-1)&amp;":"&amp;ADDRESS(1000,COLUMN(I$9)-1)))))</f>
        <v>-</v>
      </c>
      <c r="J189" s="19" t="str">
        <f t="array" ref="J189">IF(ISBLANK(Tareas!$B185),"-",SUM(
SUMIF(INDIRECT(Equipo!$C$4&amp;"!B10:B1000"),$B189,INDIRECT(Equipo!$C$4&amp;"!"&amp;ADDRESS(10,COLUMN(J$9)-1)&amp;":"&amp;ADDRESS(1000,COLUMN(J$9)-1))),
SUMIF(INDIRECT(Equipo!$D$4&amp;"!B10:B1000"),$B189,INDIRECT(Equipo!$D$4&amp;"!"&amp;ADDRESS(10,COLUMN(J$9)-1)&amp;":"&amp;ADDRESS(1000,COLUMN(J$9)-1))),
SUMIF(INDIRECT(Equipo!$E$4&amp;"!B10:B1000"),$B189,INDIRECT(Equipo!$E$4&amp;"!"&amp;ADDRESS(10,COLUMN(J$9)-1)&amp;":"&amp;ADDRESS(1000,COLUMN(J$9)-1))),
SUMIF(INDIRECT(Equipo!$F$4&amp;"!B10:B1000"),$B189,INDIRECT(Equipo!$F$4&amp;"!"&amp;ADDRESS(10,COLUMN(J$9)-1)&amp;":"&amp;ADDRESS(1000,COLUMN(J$9)-1))),
SUMIF(INDIRECT(Equipo!$G$4&amp;"!B10:B1000"),$B189,INDIRECT(Equipo!$G$4&amp;"!"&amp;ADDRESS(10,COLUMN(J$9)-1)&amp;":"&amp;ADDRESS(1000,COLUMN(J$9)-1)))))</f>
        <v>-</v>
      </c>
      <c r="K189" s="19" t="str">
        <f t="array" ref="K189">IF(ISBLANK(Tareas!$B185),"-",SUM(
SUMIF(INDIRECT(Equipo!$C$4&amp;"!B10:B1000"),$B189,INDIRECT(Equipo!$C$4&amp;"!"&amp;ADDRESS(10,COLUMN(K$9)-1)&amp;":"&amp;ADDRESS(1000,COLUMN(K$9)-1))),
SUMIF(INDIRECT(Equipo!$D$4&amp;"!B10:B1000"),$B189,INDIRECT(Equipo!$D$4&amp;"!"&amp;ADDRESS(10,COLUMN(K$9)-1)&amp;":"&amp;ADDRESS(1000,COLUMN(K$9)-1))),
SUMIF(INDIRECT(Equipo!$E$4&amp;"!B10:B1000"),$B189,INDIRECT(Equipo!$E$4&amp;"!"&amp;ADDRESS(10,COLUMN(K$9)-1)&amp;":"&amp;ADDRESS(1000,COLUMN(K$9)-1))),
SUMIF(INDIRECT(Equipo!$F$4&amp;"!B10:B1000"),$B189,INDIRECT(Equipo!$F$4&amp;"!"&amp;ADDRESS(10,COLUMN(K$9)-1)&amp;":"&amp;ADDRESS(1000,COLUMN(K$9)-1))),
SUMIF(INDIRECT(Equipo!$G$4&amp;"!B10:B1000"),$B189,INDIRECT(Equipo!$G$4&amp;"!"&amp;ADDRESS(10,COLUMN(K$9)-1)&amp;":"&amp;ADDRESS(1000,COLUMN(K$9)-1)))))</f>
        <v>-</v>
      </c>
    </row>
    <row r="190" ht="15.75" customHeight="1">
      <c r="B190" s="1" t="str">
        <f>IF(ISBLANK(Tareas!B186)," - ",Tareas!B186)</f>
        <v> - </v>
      </c>
      <c r="D190" s="19" t="str">
        <f t="array" ref="D190">IF(ISBLANK(Tareas!$B186),"-",SUM(
SUMIF(INDIRECT(Equipo!$C$4&amp;"!B10:B1000"),$B190,INDIRECT(Equipo!$C$4&amp;"!"&amp;ADDRESS(10,COLUMN(D$9)-1)&amp;":"&amp;ADDRESS(1000,COLUMN(D$9)-1))),
SUMIF(INDIRECT(Equipo!$D$4&amp;"!B10:B1000"),$B190,INDIRECT(Equipo!$D$4&amp;"!"&amp;ADDRESS(10,COLUMN(D$9)-1)&amp;":"&amp;ADDRESS(1000,COLUMN(D$9)-1))),
SUMIF(INDIRECT(Equipo!$E$4&amp;"!B10:B1000"),$B190,INDIRECT(Equipo!$E$4&amp;"!"&amp;ADDRESS(10,COLUMN(D$9)-1)&amp;":"&amp;ADDRESS(1000,COLUMN(D$9)-1))),
SUMIF(INDIRECT(Equipo!$F$4&amp;"!B10:B1000"),$B190,INDIRECT(Equipo!$F$4&amp;"!"&amp;ADDRESS(10,COLUMN(D$9)-1)&amp;":"&amp;ADDRESS(1000,COLUMN(D$9)-1))),
SUMIF(INDIRECT(Equipo!$G$4&amp;"!B10:B1000"),$B190,INDIRECT(Equipo!$G$4&amp;"!"&amp;ADDRESS(10,COLUMN(D$9)-1)&amp;":"&amp;ADDRESS(1000,COLUMN(D$9)-1)))))</f>
        <v>-</v>
      </c>
      <c r="E190" s="19" t="str">
        <f t="array" ref="E190">IF(ISBLANK(Tareas!$B186),"-",SUM(
SUMIF(INDIRECT(Equipo!$C$4&amp;"!B10:B1000"),$B190,INDIRECT(Equipo!$C$4&amp;"!"&amp;ADDRESS(10,COLUMN(E$9)-1)&amp;":"&amp;ADDRESS(1000,COLUMN(E$9)-1))),
SUMIF(INDIRECT(Equipo!$D$4&amp;"!B10:B1000"),$B190,INDIRECT(Equipo!$D$4&amp;"!"&amp;ADDRESS(10,COLUMN(E$9)-1)&amp;":"&amp;ADDRESS(1000,COLUMN(E$9)-1))),
SUMIF(INDIRECT(Equipo!$E$4&amp;"!B10:B1000"),$B190,INDIRECT(Equipo!$E$4&amp;"!"&amp;ADDRESS(10,COLUMN(E$9)-1)&amp;":"&amp;ADDRESS(1000,COLUMN(E$9)-1))),
SUMIF(INDIRECT(Equipo!$F$4&amp;"!B10:B1000"),$B190,INDIRECT(Equipo!$F$4&amp;"!"&amp;ADDRESS(10,COLUMN(E$9)-1)&amp;":"&amp;ADDRESS(1000,COLUMN(E$9)-1))),
SUMIF(INDIRECT(Equipo!$G$4&amp;"!B10:B1000"),$B190,INDIRECT(Equipo!$G$4&amp;"!"&amp;ADDRESS(10,COLUMN(E$9)-1)&amp;":"&amp;ADDRESS(1000,COLUMN(E$9)-1)))))</f>
        <v>-</v>
      </c>
      <c r="F190" s="19" t="str">
        <f t="array" ref="F190">IF(ISBLANK(Tareas!$B186),"-",SUM(
SUMIF(INDIRECT(Equipo!$C$4&amp;"!B10:B1000"),$B190,INDIRECT(Equipo!$C$4&amp;"!"&amp;ADDRESS(10,COLUMN(F$9)-1)&amp;":"&amp;ADDRESS(1000,COLUMN(F$9)-1))),
SUMIF(INDIRECT(Equipo!$D$4&amp;"!B10:B1000"),$B190,INDIRECT(Equipo!$D$4&amp;"!"&amp;ADDRESS(10,COLUMN(F$9)-1)&amp;":"&amp;ADDRESS(1000,COLUMN(F$9)-1))),
SUMIF(INDIRECT(Equipo!$E$4&amp;"!B10:B1000"),$B190,INDIRECT(Equipo!$E$4&amp;"!"&amp;ADDRESS(10,COLUMN(F$9)-1)&amp;":"&amp;ADDRESS(1000,COLUMN(F$9)-1))),
SUMIF(INDIRECT(Equipo!$F$4&amp;"!B10:B1000"),$B190,INDIRECT(Equipo!$F$4&amp;"!"&amp;ADDRESS(10,COLUMN(F$9)-1)&amp;":"&amp;ADDRESS(1000,COLUMN(F$9)-1))),
SUMIF(INDIRECT(Equipo!$G$4&amp;"!B10:B1000"),$B190,INDIRECT(Equipo!$G$4&amp;"!"&amp;ADDRESS(10,COLUMN(F$9)-1)&amp;":"&amp;ADDRESS(1000,COLUMN(F$9)-1)))))</f>
        <v>-</v>
      </c>
      <c r="G190" s="19" t="str">
        <f t="array" ref="G190">IF(ISBLANK(Tareas!$B186),"-",SUM(
SUMIF(INDIRECT(Equipo!$C$4&amp;"!B10:B1000"),$B190,INDIRECT(Equipo!$C$4&amp;"!"&amp;ADDRESS(10,COLUMN(G$9)-1)&amp;":"&amp;ADDRESS(1000,COLUMN(G$9)-1))),
SUMIF(INDIRECT(Equipo!$D$4&amp;"!B10:B1000"),$B190,INDIRECT(Equipo!$D$4&amp;"!"&amp;ADDRESS(10,COLUMN(G$9)-1)&amp;":"&amp;ADDRESS(1000,COLUMN(G$9)-1))),
SUMIF(INDIRECT(Equipo!$E$4&amp;"!B10:B1000"),$B190,INDIRECT(Equipo!$E$4&amp;"!"&amp;ADDRESS(10,COLUMN(G$9)-1)&amp;":"&amp;ADDRESS(1000,COLUMN(G$9)-1))),
SUMIF(INDIRECT(Equipo!$F$4&amp;"!B10:B1000"),$B190,INDIRECT(Equipo!$F$4&amp;"!"&amp;ADDRESS(10,COLUMN(G$9)-1)&amp;":"&amp;ADDRESS(1000,COLUMN(G$9)-1))),
SUMIF(INDIRECT(Equipo!$G$4&amp;"!B10:B1000"),$B190,INDIRECT(Equipo!$G$4&amp;"!"&amp;ADDRESS(10,COLUMN(G$9)-1)&amp;":"&amp;ADDRESS(1000,COLUMN(G$9)-1)))))</f>
        <v>-</v>
      </c>
      <c r="H190" s="19" t="str">
        <f t="array" ref="H190">IF(ISBLANK(Tareas!$B186),"-",SUM(
SUMIF(INDIRECT(Equipo!$C$4&amp;"!B10:B1000"),$B190,INDIRECT(Equipo!$C$4&amp;"!"&amp;ADDRESS(10,COLUMN(H$9)-1)&amp;":"&amp;ADDRESS(1000,COLUMN(H$9)-1))),
SUMIF(INDIRECT(Equipo!$D$4&amp;"!B10:B1000"),$B190,INDIRECT(Equipo!$D$4&amp;"!"&amp;ADDRESS(10,COLUMN(H$9)-1)&amp;":"&amp;ADDRESS(1000,COLUMN(H$9)-1))),
SUMIF(INDIRECT(Equipo!$E$4&amp;"!B10:B1000"),$B190,INDIRECT(Equipo!$E$4&amp;"!"&amp;ADDRESS(10,COLUMN(H$9)-1)&amp;":"&amp;ADDRESS(1000,COLUMN(H$9)-1))),
SUMIF(INDIRECT(Equipo!$F$4&amp;"!B10:B1000"),$B190,INDIRECT(Equipo!$F$4&amp;"!"&amp;ADDRESS(10,COLUMN(H$9)-1)&amp;":"&amp;ADDRESS(1000,COLUMN(H$9)-1))),
SUMIF(INDIRECT(Equipo!$G$4&amp;"!B10:B1000"),$B190,INDIRECT(Equipo!$G$4&amp;"!"&amp;ADDRESS(10,COLUMN(H$9)-1)&amp;":"&amp;ADDRESS(1000,COLUMN(H$9)-1)))))</f>
        <v>-</v>
      </c>
      <c r="I190" s="19" t="str">
        <f t="array" ref="I190">IF(ISBLANK(Tareas!$B186),"-",SUM(
SUMIF(INDIRECT(Equipo!$C$4&amp;"!B10:B1000"),$B190,INDIRECT(Equipo!$C$4&amp;"!"&amp;ADDRESS(10,COLUMN(I$9)-1)&amp;":"&amp;ADDRESS(1000,COLUMN(I$9)-1))),
SUMIF(INDIRECT(Equipo!$D$4&amp;"!B10:B1000"),$B190,INDIRECT(Equipo!$D$4&amp;"!"&amp;ADDRESS(10,COLUMN(I$9)-1)&amp;":"&amp;ADDRESS(1000,COLUMN(I$9)-1))),
SUMIF(INDIRECT(Equipo!$E$4&amp;"!B10:B1000"),$B190,INDIRECT(Equipo!$E$4&amp;"!"&amp;ADDRESS(10,COLUMN(I$9)-1)&amp;":"&amp;ADDRESS(1000,COLUMN(I$9)-1))),
SUMIF(INDIRECT(Equipo!$F$4&amp;"!B10:B1000"),$B190,INDIRECT(Equipo!$F$4&amp;"!"&amp;ADDRESS(10,COLUMN(I$9)-1)&amp;":"&amp;ADDRESS(1000,COLUMN(I$9)-1))),
SUMIF(INDIRECT(Equipo!$G$4&amp;"!B10:B1000"),$B190,INDIRECT(Equipo!$G$4&amp;"!"&amp;ADDRESS(10,COLUMN(I$9)-1)&amp;":"&amp;ADDRESS(1000,COLUMN(I$9)-1)))))</f>
        <v>-</v>
      </c>
      <c r="J190" s="19" t="str">
        <f t="array" ref="J190">IF(ISBLANK(Tareas!$B186),"-",SUM(
SUMIF(INDIRECT(Equipo!$C$4&amp;"!B10:B1000"),$B190,INDIRECT(Equipo!$C$4&amp;"!"&amp;ADDRESS(10,COLUMN(J$9)-1)&amp;":"&amp;ADDRESS(1000,COLUMN(J$9)-1))),
SUMIF(INDIRECT(Equipo!$D$4&amp;"!B10:B1000"),$B190,INDIRECT(Equipo!$D$4&amp;"!"&amp;ADDRESS(10,COLUMN(J$9)-1)&amp;":"&amp;ADDRESS(1000,COLUMN(J$9)-1))),
SUMIF(INDIRECT(Equipo!$E$4&amp;"!B10:B1000"),$B190,INDIRECT(Equipo!$E$4&amp;"!"&amp;ADDRESS(10,COLUMN(J$9)-1)&amp;":"&amp;ADDRESS(1000,COLUMN(J$9)-1))),
SUMIF(INDIRECT(Equipo!$F$4&amp;"!B10:B1000"),$B190,INDIRECT(Equipo!$F$4&amp;"!"&amp;ADDRESS(10,COLUMN(J$9)-1)&amp;":"&amp;ADDRESS(1000,COLUMN(J$9)-1))),
SUMIF(INDIRECT(Equipo!$G$4&amp;"!B10:B1000"),$B190,INDIRECT(Equipo!$G$4&amp;"!"&amp;ADDRESS(10,COLUMN(J$9)-1)&amp;":"&amp;ADDRESS(1000,COLUMN(J$9)-1)))))</f>
        <v>-</v>
      </c>
      <c r="K190" s="19" t="str">
        <f t="array" ref="K190">IF(ISBLANK(Tareas!$B186),"-",SUM(
SUMIF(INDIRECT(Equipo!$C$4&amp;"!B10:B1000"),$B190,INDIRECT(Equipo!$C$4&amp;"!"&amp;ADDRESS(10,COLUMN(K$9)-1)&amp;":"&amp;ADDRESS(1000,COLUMN(K$9)-1))),
SUMIF(INDIRECT(Equipo!$D$4&amp;"!B10:B1000"),$B190,INDIRECT(Equipo!$D$4&amp;"!"&amp;ADDRESS(10,COLUMN(K$9)-1)&amp;":"&amp;ADDRESS(1000,COLUMN(K$9)-1))),
SUMIF(INDIRECT(Equipo!$E$4&amp;"!B10:B1000"),$B190,INDIRECT(Equipo!$E$4&amp;"!"&amp;ADDRESS(10,COLUMN(K$9)-1)&amp;":"&amp;ADDRESS(1000,COLUMN(K$9)-1))),
SUMIF(INDIRECT(Equipo!$F$4&amp;"!B10:B1000"),$B190,INDIRECT(Equipo!$F$4&amp;"!"&amp;ADDRESS(10,COLUMN(K$9)-1)&amp;":"&amp;ADDRESS(1000,COLUMN(K$9)-1))),
SUMIF(INDIRECT(Equipo!$G$4&amp;"!B10:B1000"),$B190,INDIRECT(Equipo!$G$4&amp;"!"&amp;ADDRESS(10,COLUMN(K$9)-1)&amp;":"&amp;ADDRESS(1000,COLUMN(K$9)-1)))))</f>
        <v>-</v>
      </c>
    </row>
    <row r="191" ht="15.75" customHeight="1">
      <c r="B191" s="1" t="str">
        <f>IF(ISBLANK(Tareas!B187)," - ",Tareas!B187)</f>
        <v> - </v>
      </c>
      <c r="D191" s="19" t="str">
        <f t="array" ref="D191">IF(ISBLANK(Tareas!$B187),"-",SUM(
SUMIF(INDIRECT(Equipo!$C$4&amp;"!B10:B1000"),$B191,INDIRECT(Equipo!$C$4&amp;"!"&amp;ADDRESS(10,COLUMN(D$9)-1)&amp;":"&amp;ADDRESS(1000,COLUMN(D$9)-1))),
SUMIF(INDIRECT(Equipo!$D$4&amp;"!B10:B1000"),$B191,INDIRECT(Equipo!$D$4&amp;"!"&amp;ADDRESS(10,COLUMN(D$9)-1)&amp;":"&amp;ADDRESS(1000,COLUMN(D$9)-1))),
SUMIF(INDIRECT(Equipo!$E$4&amp;"!B10:B1000"),$B191,INDIRECT(Equipo!$E$4&amp;"!"&amp;ADDRESS(10,COLUMN(D$9)-1)&amp;":"&amp;ADDRESS(1000,COLUMN(D$9)-1))),
SUMIF(INDIRECT(Equipo!$F$4&amp;"!B10:B1000"),$B191,INDIRECT(Equipo!$F$4&amp;"!"&amp;ADDRESS(10,COLUMN(D$9)-1)&amp;":"&amp;ADDRESS(1000,COLUMN(D$9)-1))),
SUMIF(INDIRECT(Equipo!$G$4&amp;"!B10:B1000"),$B191,INDIRECT(Equipo!$G$4&amp;"!"&amp;ADDRESS(10,COLUMN(D$9)-1)&amp;":"&amp;ADDRESS(1000,COLUMN(D$9)-1)))))</f>
        <v>-</v>
      </c>
      <c r="E191" s="19" t="str">
        <f t="array" ref="E191">IF(ISBLANK(Tareas!$B187),"-",SUM(
SUMIF(INDIRECT(Equipo!$C$4&amp;"!B10:B1000"),$B191,INDIRECT(Equipo!$C$4&amp;"!"&amp;ADDRESS(10,COLUMN(E$9)-1)&amp;":"&amp;ADDRESS(1000,COLUMN(E$9)-1))),
SUMIF(INDIRECT(Equipo!$D$4&amp;"!B10:B1000"),$B191,INDIRECT(Equipo!$D$4&amp;"!"&amp;ADDRESS(10,COLUMN(E$9)-1)&amp;":"&amp;ADDRESS(1000,COLUMN(E$9)-1))),
SUMIF(INDIRECT(Equipo!$E$4&amp;"!B10:B1000"),$B191,INDIRECT(Equipo!$E$4&amp;"!"&amp;ADDRESS(10,COLUMN(E$9)-1)&amp;":"&amp;ADDRESS(1000,COLUMN(E$9)-1))),
SUMIF(INDIRECT(Equipo!$F$4&amp;"!B10:B1000"),$B191,INDIRECT(Equipo!$F$4&amp;"!"&amp;ADDRESS(10,COLUMN(E$9)-1)&amp;":"&amp;ADDRESS(1000,COLUMN(E$9)-1))),
SUMIF(INDIRECT(Equipo!$G$4&amp;"!B10:B1000"),$B191,INDIRECT(Equipo!$G$4&amp;"!"&amp;ADDRESS(10,COLUMN(E$9)-1)&amp;":"&amp;ADDRESS(1000,COLUMN(E$9)-1)))))</f>
        <v>-</v>
      </c>
      <c r="F191" s="19" t="str">
        <f t="array" ref="F191">IF(ISBLANK(Tareas!$B187),"-",SUM(
SUMIF(INDIRECT(Equipo!$C$4&amp;"!B10:B1000"),$B191,INDIRECT(Equipo!$C$4&amp;"!"&amp;ADDRESS(10,COLUMN(F$9)-1)&amp;":"&amp;ADDRESS(1000,COLUMN(F$9)-1))),
SUMIF(INDIRECT(Equipo!$D$4&amp;"!B10:B1000"),$B191,INDIRECT(Equipo!$D$4&amp;"!"&amp;ADDRESS(10,COLUMN(F$9)-1)&amp;":"&amp;ADDRESS(1000,COLUMN(F$9)-1))),
SUMIF(INDIRECT(Equipo!$E$4&amp;"!B10:B1000"),$B191,INDIRECT(Equipo!$E$4&amp;"!"&amp;ADDRESS(10,COLUMN(F$9)-1)&amp;":"&amp;ADDRESS(1000,COLUMN(F$9)-1))),
SUMIF(INDIRECT(Equipo!$F$4&amp;"!B10:B1000"),$B191,INDIRECT(Equipo!$F$4&amp;"!"&amp;ADDRESS(10,COLUMN(F$9)-1)&amp;":"&amp;ADDRESS(1000,COLUMN(F$9)-1))),
SUMIF(INDIRECT(Equipo!$G$4&amp;"!B10:B1000"),$B191,INDIRECT(Equipo!$G$4&amp;"!"&amp;ADDRESS(10,COLUMN(F$9)-1)&amp;":"&amp;ADDRESS(1000,COLUMN(F$9)-1)))))</f>
        <v>-</v>
      </c>
      <c r="G191" s="19" t="str">
        <f t="array" ref="G191">IF(ISBLANK(Tareas!$B187),"-",SUM(
SUMIF(INDIRECT(Equipo!$C$4&amp;"!B10:B1000"),$B191,INDIRECT(Equipo!$C$4&amp;"!"&amp;ADDRESS(10,COLUMN(G$9)-1)&amp;":"&amp;ADDRESS(1000,COLUMN(G$9)-1))),
SUMIF(INDIRECT(Equipo!$D$4&amp;"!B10:B1000"),$B191,INDIRECT(Equipo!$D$4&amp;"!"&amp;ADDRESS(10,COLUMN(G$9)-1)&amp;":"&amp;ADDRESS(1000,COLUMN(G$9)-1))),
SUMIF(INDIRECT(Equipo!$E$4&amp;"!B10:B1000"),$B191,INDIRECT(Equipo!$E$4&amp;"!"&amp;ADDRESS(10,COLUMN(G$9)-1)&amp;":"&amp;ADDRESS(1000,COLUMN(G$9)-1))),
SUMIF(INDIRECT(Equipo!$F$4&amp;"!B10:B1000"),$B191,INDIRECT(Equipo!$F$4&amp;"!"&amp;ADDRESS(10,COLUMN(G$9)-1)&amp;":"&amp;ADDRESS(1000,COLUMN(G$9)-1))),
SUMIF(INDIRECT(Equipo!$G$4&amp;"!B10:B1000"),$B191,INDIRECT(Equipo!$G$4&amp;"!"&amp;ADDRESS(10,COLUMN(G$9)-1)&amp;":"&amp;ADDRESS(1000,COLUMN(G$9)-1)))))</f>
        <v>-</v>
      </c>
      <c r="H191" s="19" t="str">
        <f t="array" ref="H191">IF(ISBLANK(Tareas!$B187),"-",SUM(
SUMIF(INDIRECT(Equipo!$C$4&amp;"!B10:B1000"),$B191,INDIRECT(Equipo!$C$4&amp;"!"&amp;ADDRESS(10,COLUMN(H$9)-1)&amp;":"&amp;ADDRESS(1000,COLUMN(H$9)-1))),
SUMIF(INDIRECT(Equipo!$D$4&amp;"!B10:B1000"),$B191,INDIRECT(Equipo!$D$4&amp;"!"&amp;ADDRESS(10,COLUMN(H$9)-1)&amp;":"&amp;ADDRESS(1000,COLUMN(H$9)-1))),
SUMIF(INDIRECT(Equipo!$E$4&amp;"!B10:B1000"),$B191,INDIRECT(Equipo!$E$4&amp;"!"&amp;ADDRESS(10,COLUMN(H$9)-1)&amp;":"&amp;ADDRESS(1000,COLUMN(H$9)-1))),
SUMIF(INDIRECT(Equipo!$F$4&amp;"!B10:B1000"),$B191,INDIRECT(Equipo!$F$4&amp;"!"&amp;ADDRESS(10,COLUMN(H$9)-1)&amp;":"&amp;ADDRESS(1000,COLUMN(H$9)-1))),
SUMIF(INDIRECT(Equipo!$G$4&amp;"!B10:B1000"),$B191,INDIRECT(Equipo!$G$4&amp;"!"&amp;ADDRESS(10,COLUMN(H$9)-1)&amp;":"&amp;ADDRESS(1000,COLUMN(H$9)-1)))))</f>
        <v>-</v>
      </c>
      <c r="I191" s="19" t="str">
        <f t="array" ref="I191">IF(ISBLANK(Tareas!$B187),"-",SUM(
SUMIF(INDIRECT(Equipo!$C$4&amp;"!B10:B1000"),$B191,INDIRECT(Equipo!$C$4&amp;"!"&amp;ADDRESS(10,COLUMN(I$9)-1)&amp;":"&amp;ADDRESS(1000,COLUMN(I$9)-1))),
SUMIF(INDIRECT(Equipo!$D$4&amp;"!B10:B1000"),$B191,INDIRECT(Equipo!$D$4&amp;"!"&amp;ADDRESS(10,COLUMN(I$9)-1)&amp;":"&amp;ADDRESS(1000,COLUMN(I$9)-1))),
SUMIF(INDIRECT(Equipo!$E$4&amp;"!B10:B1000"),$B191,INDIRECT(Equipo!$E$4&amp;"!"&amp;ADDRESS(10,COLUMN(I$9)-1)&amp;":"&amp;ADDRESS(1000,COLUMN(I$9)-1))),
SUMIF(INDIRECT(Equipo!$F$4&amp;"!B10:B1000"),$B191,INDIRECT(Equipo!$F$4&amp;"!"&amp;ADDRESS(10,COLUMN(I$9)-1)&amp;":"&amp;ADDRESS(1000,COLUMN(I$9)-1))),
SUMIF(INDIRECT(Equipo!$G$4&amp;"!B10:B1000"),$B191,INDIRECT(Equipo!$G$4&amp;"!"&amp;ADDRESS(10,COLUMN(I$9)-1)&amp;":"&amp;ADDRESS(1000,COLUMN(I$9)-1)))))</f>
        <v>-</v>
      </c>
      <c r="J191" s="19" t="str">
        <f t="array" ref="J191">IF(ISBLANK(Tareas!$B187),"-",SUM(
SUMIF(INDIRECT(Equipo!$C$4&amp;"!B10:B1000"),$B191,INDIRECT(Equipo!$C$4&amp;"!"&amp;ADDRESS(10,COLUMN(J$9)-1)&amp;":"&amp;ADDRESS(1000,COLUMN(J$9)-1))),
SUMIF(INDIRECT(Equipo!$D$4&amp;"!B10:B1000"),$B191,INDIRECT(Equipo!$D$4&amp;"!"&amp;ADDRESS(10,COLUMN(J$9)-1)&amp;":"&amp;ADDRESS(1000,COLUMN(J$9)-1))),
SUMIF(INDIRECT(Equipo!$E$4&amp;"!B10:B1000"),$B191,INDIRECT(Equipo!$E$4&amp;"!"&amp;ADDRESS(10,COLUMN(J$9)-1)&amp;":"&amp;ADDRESS(1000,COLUMN(J$9)-1))),
SUMIF(INDIRECT(Equipo!$F$4&amp;"!B10:B1000"),$B191,INDIRECT(Equipo!$F$4&amp;"!"&amp;ADDRESS(10,COLUMN(J$9)-1)&amp;":"&amp;ADDRESS(1000,COLUMN(J$9)-1))),
SUMIF(INDIRECT(Equipo!$G$4&amp;"!B10:B1000"),$B191,INDIRECT(Equipo!$G$4&amp;"!"&amp;ADDRESS(10,COLUMN(J$9)-1)&amp;":"&amp;ADDRESS(1000,COLUMN(J$9)-1)))))</f>
        <v>-</v>
      </c>
      <c r="K191" s="19" t="str">
        <f t="array" ref="K191">IF(ISBLANK(Tareas!$B187),"-",SUM(
SUMIF(INDIRECT(Equipo!$C$4&amp;"!B10:B1000"),$B191,INDIRECT(Equipo!$C$4&amp;"!"&amp;ADDRESS(10,COLUMN(K$9)-1)&amp;":"&amp;ADDRESS(1000,COLUMN(K$9)-1))),
SUMIF(INDIRECT(Equipo!$D$4&amp;"!B10:B1000"),$B191,INDIRECT(Equipo!$D$4&amp;"!"&amp;ADDRESS(10,COLUMN(K$9)-1)&amp;":"&amp;ADDRESS(1000,COLUMN(K$9)-1))),
SUMIF(INDIRECT(Equipo!$E$4&amp;"!B10:B1000"),$B191,INDIRECT(Equipo!$E$4&amp;"!"&amp;ADDRESS(10,COLUMN(K$9)-1)&amp;":"&amp;ADDRESS(1000,COLUMN(K$9)-1))),
SUMIF(INDIRECT(Equipo!$F$4&amp;"!B10:B1000"),$B191,INDIRECT(Equipo!$F$4&amp;"!"&amp;ADDRESS(10,COLUMN(K$9)-1)&amp;":"&amp;ADDRESS(1000,COLUMN(K$9)-1))),
SUMIF(INDIRECT(Equipo!$G$4&amp;"!B10:B1000"),$B191,INDIRECT(Equipo!$G$4&amp;"!"&amp;ADDRESS(10,COLUMN(K$9)-1)&amp;":"&amp;ADDRESS(1000,COLUMN(K$9)-1)))))</f>
        <v>-</v>
      </c>
    </row>
    <row r="192" ht="15.75" customHeight="1">
      <c r="B192" s="1" t="str">
        <f>IF(ISBLANK(Tareas!B188)," - ",Tareas!B188)</f>
        <v> - </v>
      </c>
      <c r="D192" s="19" t="str">
        <f t="array" ref="D192">IF(ISBLANK(Tareas!$B188),"-",SUM(
SUMIF(INDIRECT(Equipo!$C$4&amp;"!B10:B1000"),$B192,INDIRECT(Equipo!$C$4&amp;"!"&amp;ADDRESS(10,COLUMN(D$9)-1)&amp;":"&amp;ADDRESS(1000,COLUMN(D$9)-1))),
SUMIF(INDIRECT(Equipo!$D$4&amp;"!B10:B1000"),$B192,INDIRECT(Equipo!$D$4&amp;"!"&amp;ADDRESS(10,COLUMN(D$9)-1)&amp;":"&amp;ADDRESS(1000,COLUMN(D$9)-1))),
SUMIF(INDIRECT(Equipo!$E$4&amp;"!B10:B1000"),$B192,INDIRECT(Equipo!$E$4&amp;"!"&amp;ADDRESS(10,COLUMN(D$9)-1)&amp;":"&amp;ADDRESS(1000,COLUMN(D$9)-1))),
SUMIF(INDIRECT(Equipo!$F$4&amp;"!B10:B1000"),$B192,INDIRECT(Equipo!$F$4&amp;"!"&amp;ADDRESS(10,COLUMN(D$9)-1)&amp;":"&amp;ADDRESS(1000,COLUMN(D$9)-1))),
SUMIF(INDIRECT(Equipo!$G$4&amp;"!B10:B1000"),$B192,INDIRECT(Equipo!$G$4&amp;"!"&amp;ADDRESS(10,COLUMN(D$9)-1)&amp;":"&amp;ADDRESS(1000,COLUMN(D$9)-1)))))</f>
        <v>-</v>
      </c>
      <c r="E192" s="19" t="str">
        <f t="array" ref="E192">IF(ISBLANK(Tareas!$B188),"-",SUM(
SUMIF(INDIRECT(Equipo!$C$4&amp;"!B10:B1000"),$B192,INDIRECT(Equipo!$C$4&amp;"!"&amp;ADDRESS(10,COLUMN(E$9)-1)&amp;":"&amp;ADDRESS(1000,COLUMN(E$9)-1))),
SUMIF(INDIRECT(Equipo!$D$4&amp;"!B10:B1000"),$B192,INDIRECT(Equipo!$D$4&amp;"!"&amp;ADDRESS(10,COLUMN(E$9)-1)&amp;":"&amp;ADDRESS(1000,COLUMN(E$9)-1))),
SUMIF(INDIRECT(Equipo!$E$4&amp;"!B10:B1000"),$B192,INDIRECT(Equipo!$E$4&amp;"!"&amp;ADDRESS(10,COLUMN(E$9)-1)&amp;":"&amp;ADDRESS(1000,COLUMN(E$9)-1))),
SUMIF(INDIRECT(Equipo!$F$4&amp;"!B10:B1000"),$B192,INDIRECT(Equipo!$F$4&amp;"!"&amp;ADDRESS(10,COLUMN(E$9)-1)&amp;":"&amp;ADDRESS(1000,COLUMN(E$9)-1))),
SUMIF(INDIRECT(Equipo!$G$4&amp;"!B10:B1000"),$B192,INDIRECT(Equipo!$G$4&amp;"!"&amp;ADDRESS(10,COLUMN(E$9)-1)&amp;":"&amp;ADDRESS(1000,COLUMN(E$9)-1)))))</f>
        <v>-</v>
      </c>
      <c r="F192" s="19" t="str">
        <f t="array" ref="F192">IF(ISBLANK(Tareas!$B188),"-",SUM(
SUMIF(INDIRECT(Equipo!$C$4&amp;"!B10:B1000"),$B192,INDIRECT(Equipo!$C$4&amp;"!"&amp;ADDRESS(10,COLUMN(F$9)-1)&amp;":"&amp;ADDRESS(1000,COLUMN(F$9)-1))),
SUMIF(INDIRECT(Equipo!$D$4&amp;"!B10:B1000"),$B192,INDIRECT(Equipo!$D$4&amp;"!"&amp;ADDRESS(10,COLUMN(F$9)-1)&amp;":"&amp;ADDRESS(1000,COLUMN(F$9)-1))),
SUMIF(INDIRECT(Equipo!$E$4&amp;"!B10:B1000"),$B192,INDIRECT(Equipo!$E$4&amp;"!"&amp;ADDRESS(10,COLUMN(F$9)-1)&amp;":"&amp;ADDRESS(1000,COLUMN(F$9)-1))),
SUMIF(INDIRECT(Equipo!$F$4&amp;"!B10:B1000"),$B192,INDIRECT(Equipo!$F$4&amp;"!"&amp;ADDRESS(10,COLUMN(F$9)-1)&amp;":"&amp;ADDRESS(1000,COLUMN(F$9)-1))),
SUMIF(INDIRECT(Equipo!$G$4&amp;"!B10:B1000"),$B192,INDIRECT(Equipo!$G$4&amp;"!"&amp;ADDRESS(10,COLUMN(F$9)-1)&amp;":"&amp;ADDRESS(1000,COLUMN(F$9)-1)))))</f>
        <v>-</v>
      </c>
      <c r="G192" s="19" t="str">
        <f t="array" ref="G192">IF(ISBLANK(Tareas!$B188),"-",SUM(
SUMIF(INDIRECT(Equipo!$C$4&amp;"!B10:B1000"),$B192,INDIRECT(Equipo!$C$4&amp;"!"&amp;ADDRESS(10,COLUMN(G$9)-1)&amp;":"&amp;ADDRESS(1000,COLUMN(G$9)-1))),
SUMIF(INDIRECT(Equipo!$D$4&amp;"!B10:B1000"),$B192,INDIRECT(Equipo!$D$4&amp;"!"&amp;ADDRESS(10,COLUMN(G$9)-1)&amp;":"&amp;ADDRESS(1000,COLUMN(G$9)-1))),
SUMIF(INDIRECT(Equipo!$E$4&amp;"!B10:B1000"),$B192,INDIRECT(Equipo!$E$4&amp;"!"&amp;ADDRESS(10,COLUMN(G$9)-1)&amp;":"&amp;ADDRESS(1000,COLUMN(G$9)-1))),
SUMIF(INDIRECT(Equipo!$F$4&amp;"!B10:B1000"),$B192,INDIRECT(Equipo!$F$4&amp;"!"&amp;ADDRESS(10,COLUMN(G$9)-1)&amp;":"&amp;ADDRESS(1000,COLUMN(G$9)-1))),
SUMIF(INDIRECT(Equipo!$G$4&amp;"!B10:B1000"),$B192,INDIRECT(Equipo!$G$4&amp;"!"&amp;ADDRESS(10,COLUMN(G$9)-1)&amp;":"&amp;ADDRESS(1000,COLUMN(G$9)-1)))))</f>
        <v>-</v>
      </c>
      <c r="H192" s="19" t="str">
        <f t="array" ref="H192">IF(ISBLANK(Tareas!$B188),"-",SUM(
SUMIF(INDIRECT(Equipo!$C$4&amp;"!B10:B1000"),$B192,INDIRECT(Equipo!$C$4&amp;"!"&amp;ADDRESS(10,COLUMN(H$9)-1)&amp;":"&amp;ADDRESS(1000,COLUMN(H$9)-1))),
SUMIF(INDIRECT(Equipo!$D$4&amp;"!B10:B1000"),$B192,INDIRECT(Equipo!$D$4&amp;"!"&amp;ADDRESS(10,COLUMN(H$9)-1)&amp;":"&amp;ADDRESS(1000,COLUMN(H$9)-1))),
SUMIF(INDIRECT(Equipo!$E$4&amp;"!B10:B1000"),$B192,INDIRECT(Equipo!$E$4&amp;"!"&amp;ADDRESS(10,COLUMN(H$9)-1)&amp;":"&amp;ADDRESS(1000,COLUMN(H$9)-1))),
SUMIF(INDIRECT(Equipo!$F$4&amp;"!B10:B1000"),$B192,INDIRECT(Equipo!$F$4&amp;"!"&amp;ADDRESS(10,COLUMN(H$9)-1)&amp;":"&amp;ADDRESS(1000,COLUMN(H$9)-1))),
SUMIF(INDIRECT(Equipo!$G$4&amp;"!B10:B1000"),$B192,INDIRECT(Equipo!$G$4&amp;"!"&amp;ADDRESS(10,COLUMN(H$9)-1)&amp;":"&amp;ADDRESS(1000,COLUMN(H$9)-1)))))</f>
        <v>-</v>
      </c>
      <c r="I192" s="19" t="str">
        <f t="array" ref="I192">IF(ISBLANK(Tareas!$B188),"-",SUM(
SUMIF(INDIRECT(Equipo!$C$4&amp;"!B10:B1000"),$B192,INDIRECT(Equipo!$C$4&amp;"!"&amp;ADDRESS(10,COLUMN(I$9)-1)&amp;":"&amp;ADDRESS(1000,COLUMN(I$9)-1))),
SUMIF(INDIRECT(Equipo!$D$4&amp;"!B10:B1000"),$B192,INDIRECT(Equipo!$D$4&amp;"!"&amp;ADDRESS(10,COLUMN(I$9)-1)&amp;":"&amp;ADDRESS(1000,COLUMN(I$9)-1))),
SUMIF(INDIRECT(Equipo!$E$4&amp;"!B10:B1000"),$B192,INDIRECT(Equipo!$E$4&amp;"!"&amp;ADDRESS(10,COLUMN(I$9)-1)&amp;":"&amp;ADDRESS(1000,COLUMN(I$9)-1))),
SUMIF(INDIRECT(Equipo!$F$4&amp;"!B10:B1000"),$B192,INDIRECT(Equipo!$F$4&amp;"!"&amp;ADDRESS(10,COLUMN(I$9)-1)&amp;":"&amp;ADDRESS(1000,COLUMN(I$9)-1))),
SUMIF(INDIRECT(Equipo!$G$4&amp;"!B10:B1000"),$B192,INDIRECT(Equipo!$G$4&amp;"!"&amp;ADDRESS(10,COLUMN(I$9)-1)&amp;":"&amp;ADDRESS(1000,COLUMN(I$9)-1)))))</f>
        <v>-</v>
      </c>
      <c r="J192" s="19" t="str">
        <f t="array" ref="J192">IF(ISBLANK(Tareas!$B188),"-",SUM(
SUMIF(INDIRECT(Equipo!$C$4&amp;"!B10:B1000"),$B192,INDIRECT(Equipo!$C$4&amp;"!"&amp;ADDRESS(10,COLUMN(J$9)-1)&amp;":"&amp;ADDRESS(1000,COLUMN(J$9)-1))),
SUMIF(INDIRECT(Equipo!$D$4&amp;"!B10:B1000"),$B192,INDIRECT(Equipo!$D$4&amp;"!"&amp;ADDRESS(10,COLUMN(J$9)-1)&amp;":"&amp;ADDRESS(1000,COLUMN(J$9)-1))),
SUMIF(INDIRECT(Equipo!$E$4&amp;"!B10:B1000"),$B192,INDIRECT(Equipo!$E$4&amp;"!"&amp;ADDRESS(10,COLUMN(J$9)-1)&amp;":"&amp;ADDRESS(1000,COLUMN(J$9)-1))),
SUMIF(INDIRECT(Equipo!$F$4&amp;"!B10:B1000"),$B192,INDIRECT(Equipo!$F$4&amp;"!"&amp;ADDRESS(10,COLUMN(J$9)-1)&amp;":"&amp;ADDRESS(1000,COLUMN(J$9)-1))),
SUMIF(INDIRECT(Equipo!$G$4&amp;"!B10:B1000"),$B192,INDIRECT(Equipo!$G$4&amp;"!"&amp;ADDRESS(10,COLUMN(J$9)-1)&amp;":"&amp;ADDRESS(1000,COLUMN(J$9)-1)))))</f>
        <v>-</v>
      </c>
      <c r="K192" s="19" t="str">
        <f t="array" ref="K192">IF(ISBLANK(Tareas!$B188),"-",SUM(
SUMIF(INDIRECT(Equipo!$C$4&amp;"!B10:B1000"),$B192,INDIRECT(Equipo!$C$4&amp;"!"&amp;ADDRESS(10,COLUMN(K$9)-1)&amp;":"&amp;ADDRESS(1000,COLUMN(K$9)-1))),
SUMIF(INDIRECT(Equipo!$D$4&amp;"!B10:B1000"),$B192,INDIRECT(Equipo!$D$4&amp;"!"&amp;ADDRESS(10,COLUMN(K$9)-1)&amp;":"&amp;ADDRESS(1000,COLUMN(K$9)-1))),
SUMIF(INDIRECT(Equipo!$E$4&amp;"!B10:B1000"),$B192,INDIRECT(Equipo!$E$4&amp;"!"&amp;ADDRESS(10,COLUMN(K$9)-1)&amp;":"&amp;ADDRESS(1000,COLUMN(K$9)-1))),
SUMIF(INDIRECT(Equipo!$F$4&amp;"!B10:B1000"),$B192,INDIRECT(Equipo!$F$4&amp;"!"&amp;ADDRESS(10,COLUMN(K$9)-1)&amp;":"&amp;ADDRESS(1000,COLUMN(K$9)-1))),
SUMIF(INDIRECT(Equipo!$G$4&amp;"!B10:B1000"),$B192,INDIRECT(Equipo!$G$4&amp;"!"&amp;ADDRESS(10,COLUMN(K$9)-1)&amp;":"&amp;ADDRESS(1000,COLUMN(K$9)-1)))))</f>
        <v>-</v>
      </c>
    </row>
    <row r="193" ht="15.75" customHeight="1">
      <c r="B193" s="1" t="str">
        <f>IF(ISBLANK(Tareas!B189)," - ",Tareas!B189)</f>
        <v> - </v>
      </c>
      <c r="D193" s="19" t="str">
        <f t="array" ref="D193">IF(ISBLANK(Tareas!$B189),"-",SUM(
SUMIF(INDIRECT(Equipo!$C$4&amp;"!B10:B1000"),$B193,INDIRECT(Equipo!$C$4&amp;"!"&amp;ADDRESS(10,COLUMN(D$9)-1)&amp;":"&amp;ADDRESS(1000,COLUMN(D$9)-1))),
SUMIF(INDIRECT(Equipo!$D$4&amp;"!B10:B1000"),$B193,INDIRECT(Equipo!$D$4&amp;"!"&amp;ADDRESS(10,COLUMN(D$9)-1)&amp;":"&amp;ADDRESS(1000,COLUMN(D$9)-1))),
SUMIF(INDIRECT(Equipo!$E$4&amp;"!B10:B1000"),$B193,INDIRECT(Equipo!$E$4&amp;"!"&amp;ADDRESS(10,COLUMN(D$9)-1)&amp;":"&amp;ADDRESS(1000,COLUMN(D$9)-1))),
SUMIF(INDIRECT(Equipo!$F$4&amp;"!B10:B1000"),$B193,INDIRECT(Equipo!$F$4&amp;"!"&amp;ADDRESS(10,COLUMN(D$9)-1)&amp;":"&amp;ADDRESS(1000,COLUMN(D$9)-1))),
SUMIF(INDIRECT(Equipo!$G$4&amp;"!B10:B1000"),$B193,INDIRECT(Equipo!$G$4&amp;"!"&amp;ADDRESS(10,COLUMN(D$9)-1)&amp;":"&amp;ADDRESS(1000,COLUMN(D$9)-1)))))</f>
        <v>-</v>
      </c>
      <c r="E193" s="19" t="str">
        <f t="array" ref="E193">IF(ISBLANK(Tareas!$B189),"-",SUM(
SUMIF(INDIRECT(Equipo!$C$4&amp;"!B10:B1000"),$B193,INDIRECT(Equipo!$C$4&amp;"!"&amp;ADDRESS(10,COLUMN(E$9)-1)&amp;":"&amp;ADDRESS(1000,COLUMN(E$9)-1))),
SUMIF(INDIRECT(Equipo!$D$4&amp;"!B10:B1000"),$B193,INDIRECT(Equipo!$D$4&amp;"!"&amp;ADDRESS(10,COLUMN(E$9)-1)&amp;":"&amp;ADDRESS(1000,COLUMN(E$9)-1))),
SUMIF(INDIRECT(Equipo!$E$4&amp;"!B10:B1000"),$B193,INDIRECT(Equipo!$E$4&amp;"!"&amp;ADDRESS(10,COLUMN(E$9)-1)&amp;":"&amp;ADDRESS(1000,COLUMN(E$9)-1))),
SUMIF(INDIRECT(Equipo!$F$4&amp;"!B10:B1000"),$B193,INDIRECT(Equipo!$F$4&amp;"!"&amp;ADDRESS(10,COLUMN(E$9)-1)&amp;":"&amp;ADDRESS(1000,COLUMN(E$9)-1))),
SUMIF(INDIRECT(Equipo!$G$4&amp;"!B10:B1000"),$B193,INDIRECT(Equipo!$G$4&amp;"!"&amp;ADDRESS(10,COLUMN(E$9)-1)&amp;":"&amp;ADDRESS(1000,COLUMN(E$9)-1)))))</f>
        <v>-</v>
      </c>
      <c r="F193" s="19" t="str">
        <f t="array" ref="F193">IF(ISBLANK(Tareas!$B189),"-",SUM(
SUMIF(INDIRECT(Equipo!$C$4&amp;"!B10:B1000"),$B193,INDIRECT(Equipo!$C$4&amp;"!"&amp;ADDRESS(10,COLUMN(F$9)-1)&amp;":"&amp;ADDRESS(1000,COLUMN(F$9)-1))),
SUMIF(INDIRECT(Equipo!$D$4&amp;"!B10:B1000"),$B193,INDIRECT(Equipo!$D$4&amp;"!"&amp;ADDRESS(10,COLUMN(F$9)-1)&amp;":"&amp;ADDRESS(1000,COLUMN(F$9)-1))),
SUMIF(INDIRECT(Equipo!$E$4&amp;"!B10:B1000"),$B193,INDIRECT(Equipo!$E$4&amp;"!"&amp;ADDRESS(10,COLUMN(F$9)-1)&amp;":"&amp;ADDRESS(1000,COLUMN(F$9)-1))),
SUMIF(INDIRECT(Equipo!$F$4&amp;"!B10:B1000"),$B193,INDIRECT(Equipo!$F$4&amp;"!"&amp;ADDRESS(10,COLUMN(F$9)-1)&amp;":"&amp;ADDRESS(1000,COLUMN(F$9)-1))),
SUMIF(INDIRECT(Equipo!$G$4&amp;"!B10:B1000"),$B193,INDIRECT(Equipo!$G$4&amp;"!"&amp;ADDRESS(10,COLUMN(F$9)-1)&amp;":"&amp;ADDRESS(1000,COLUMN(F$9)-1)))))</f>
        <v>-</v>
      </c>
      <c r="G193" s="19" t="str">
        <f t="array" ref="G193">IF(ISBLANK(Tareas!$B189),"-",SUM(
SUMIF(INDIRECT(Equipo!$C$4&amp;"!B10:B1000"),$B193,INDIRECT(Equipo!$C$4&amp;"!"&amp;ADDRESS(10,COLUMN(G$9)-1)&amp;":"&amp;ADDRESS(1000,COLUMN(G$9)-1))),
SUMIF(INDIRECT(Equipo!$D$4&amp;"!B10:B1000"),$B193,INDIRECT(Equipo!$D$4&amp;"!"&amp;ADDRESS(10,COLUMN(G$9)-1)&amp;":"&amp;ADDRESS(1000,COLUMN(G$9)-1))),
SUMIF(INDIRECT(Equipo!$E$4&amp;"!B10:B1000"),$B193,INDIRECT(Equipo!$E$4&amp;"!"&amp;ADDRESS(10,COLUMN(G$9)-1)&amp;":"&amp;ADDRESS(1000,COLUMN(G$9)-1))),
SUMIF(INDIRECT(Equipo!$F$4&amp;"!B10:B1000"),$B193,INDIRECT(Equipo!$F$4&amp;"!"&amp;ADDRESS(10,COLUMN(G$9)-1)&amp;":"&amp;ADDRESS(1000,COLUMN(G$9)-1))),
SUMIF(INDIRECT(Equipo!$G$4&amp;"!B10:B1000"),$B193,INDIRECT(Equipo!$G$4&amp;"!"&amp;ADDRESS(10,COLUMN(G$9)-1)&amp;":"&amp;ADDRESS(1000,COLUMN(G$9)-1)))))</f>
        <v>-</v>
      </c>
      <c r="H193" s="19" t="str">
        <f t="array" ref="H193">IF(ISBLANK(Tareas!$B189),"-",SUM(
SUMIF(INDIRECT(Equipo!$C$4&amp;"!B10:B1000"),$B193,INDIRECT(Equipo!$C$4&amp;"!"&amp;ADDRESS(10,COLUMN(H$9)-1)&amp;":"&amp;ADDRESS(1000,COLUMN(H$9)-1))),
SUMIF(INDIRECT(Equipo!$D$4&amp;"!B10:B1000"),$B193,INDIRECT(Equipo!$D$4&amp;"!"&amp;ADDRESS(10,COLUMN(H$9)-1)&amp;":"&amp;ADDRESS(1000,COLUMN(H$9)-1))),
SUMIF(INDIRECT(Equipo!$E$4&amp;"!B10:B1000"),$B193,INDIRECT(Equipo!$E$4&amp;"!"&amp;ADDRESS(10,COLUMN(H$9)-1)&amp;":"&amp;ADDRESS(1000,COLUMN(H$9)-1))),
SUMIF(INDIRECT(Equipo!$F$4&amp;"!B10:B1000"),$B193,INDIRECT(Equipo!$F$4&amp;"!"&amp;ADDRESS(10,COLUMN(H$9)-1)&amp;":"&amp;ADDRESS(1000,COLUMN(H$9)-1))),
SUMIF(INDIRECT(Equipo!$G$4&amp;"!B10:B1000"),$B193,INDIRECT(Equipo!$G$4&amp;"!"&amp;ADDRESS(10,COLUMN(H$9)-1)&amp;":"&amp;ADDRESS(1000,COLUMN(H$9)-1)))))</f>
        <v>-</v>
      </c>
      <c r="I193" s="19" t="str">
        <f t="array" ref="I193">IF(ISBLANK(Tareas!$B189),"-",SUM(
SUMIF(INDIRECT(Equipo!$C$4&amp;"!B10:B1000"),$B193,INDIRECT(Equipo!$C$4&amp;"!"&amp;ADDRESS(10,COLUMN(I$9)-1)&amp;":"&amp;ADDRESS(1000,COLUMN(I$9)-1))),
SUMIF(INDIRECT(Equipo!$D$4&amp;"!B10:B1000"),$B193,INDIRECT(Equipo!$D$4&amp;"!"&amp;ADDRESS(10,COLUMN(I$9)-1)&amp;":"&amp;ADDRESS(1000,COLUMN(I$9)-1))),
SUMIF(INDIRECT(Equipo!$E$4&amp;"!B10:B1000"),$B193,INDIRECT(Equipo!$E$4&amp;"!"&amp;ADDRESS(10,COLUMN(I$9)-1)&amp;":"&amp;ADDRESS(1000,COLUMN(I$9)-1))),
SUMIF(INDIRECT(Equipo!$F$4&amp;"!B10:B1000"),$B193,INDIRECT(Equipo!$F$4&amp;"!"&amp;ADDRESS(10,COLUMN(I$9)-1)&amp;":"&amp;ADDRESS(1000,COLUMN(I$9)-1))),
SUMIF(INDIRECT(Equipo!$G$4&amp;"!B10:B1000"),$B193,INDIRECT(Equipo!$G$4&amp;"!"&amp;ADDRESS(10,COLUMN(I$9)-1)&amp;":"&amp;ADDRESS(1000,COLUMN(I$9)-1)))))</f>
        <v>-</v>
      </c>
      <c r="J193" s="19" t="str">
        <f t="array" ref="J193">IF(ISBLANK(Tareas!$B189),"-",SUM(
SUMIF(INDIRECT(Equipo!$C$4&amp;"!B10:B1000"),$B193,INDIRECT(Equipo!$C$4&amp;"!"&amp;ADDRESS(10,COLUMN(J$9)-1)&amp;":"&amp;ADDRESS(1000,COLUMN(J$9)-1))),
SUMIF(INDIRECT(Equipo!$D$4&amp;"!B10:B1000"),$B193,INDIRECT(Equipo!$D$4&amp;"!"&amp;ADDRESS(10,COLUMN(J$9)-1)&amp;":"&amp;ADDRESS(1000,COLUMN(J$9)-1))),
SUMIF(INDIRECT(Equipo!$E$4&amp;"!B10:B1000"),$B193,INDIRECT(Equipo!$E$4&amp;"!"&amp;ADDRESS(10,COLUMN(J$9)-1)&amp;":"&amp;ADDRESS(1000,COLUMN(J$9)-1))),
SUMIF(INDIRECT(Equipo!$F$4&amp;"!B10:B1000"),$B193,INDIRECT(Equipo!$F$4&amp;"!"&amp;ADDRESS(10,COLUMN(J$9)-1)&amp;":"&amp;ADDRESS(1000,COLUMN(J$9)-1))),
SUMIF(INDIRECT(Equipo!$G$4&amp;"!B10:B1000"),$B193,INDIRECT(Equipo!$G$4&amp;"!"&amp;ADDRESS(10,COLUMN(J$9)-1)&amp;":"&amp;ADDRESS(1000,COLUMN(J$9)-1)))))</f>
        <v>-</v>
      </c>
      <c r="K193" s="19" t="str">
        <f t="array" ref="K193">IF(ISBLANK(Tareas!$B189),"-",SUM(
SUMIF(INDIRECT(Equipo!$C$4&amp;"!B10:B1000"),$B193,INDIRECT(Equipo!$C$4&amp;"!"&amp;ADDRESS(10,COLUMN(K$9)-1)&amp;":"&amp;ADDRESS(1000,COLUMN(K$9)-1))),
SUMIF(INDIRECT(Equipo!$D$4&amp;"!B10:B1000"),$B193,INDIRECT(Equipo!$D$4&amp;"!"&amp;ADDRESS(10,COLUMN(K$9)-1)&amp;":"&amp;ADDRESS(1000,COLUMN(K$9)-1))),
SUMIF(INDIRECT(Equipo!$E$4&amp;"!B10:B1000"),$B193,INDIRECT(Equipo!$E$4&amp;"!"&amp;ADDRESS(10,COLUMN(K$9)-1)&amp;":"&amp;ADDRESS(1000,COLUMN(K$9)-1))),
SUMIF(INDIRECT(Equipo!$F$4&amp;"!B10:B1000"),$B193,INDIRECT(Equipo!$F$4&amp;"!"&amp;ADDRESS(10,COLUMN(K$9)-1)&amp;":"&amp;ADDRESS(1000,COLUMN(K$9)-1))),
SUMIF(INDIRECT(Equipo!$G$4&amp;"!B10:B1000"),$B193,INDIRECT(Equipo!$G$4&amp;"!"&amp;ADDRESS(10,COLUMN(K$9)-1)&amp;":"&amp;ADDRESS(1000,COLUMN(K$9)-1)))))</f>
        <v>-</v>
      </c>
    </row>
    <row r="194" ht="15.75" customHeight="1">
      <c r="B194" s="1" t="str">
        <f>IF(ISBLANK(Tareas!B190)," - ",Tareas!B190)</f>
        <v> - </v>
      </c>
      <c r="D194" s="19" t="str">
        <f t="array" ref="D194">IF(ISBLANK(Tareas!$B190),"-",SUM(
SUMIF(INDIRECT(Equipo!$C$4&amp;"!B10:B1000"),$B194,INDIRECT(Equipo!$C$4&amp;"!"&amp;ADDRESS(10,COLUMN(D$9)-1)&amp;":"&amp;ADDRESS(1000,COLUMN(D$9)-1))),
SUMIF(INDIRECT(Equipo!$D$4&amp;"!B10:B1000"),$B194,INDIRECT(Equipo!$D$4&amp;"!"&amp;ADDRESS(10,COLUMN(D$9)-1)&amp;":"&amp;ADDRESS(1000,COLUMN(D$9)-1))),
SUMIF(INDIRECT(Equipo!$E$4&amp;"!B10:B1000"),$B194,INDIRECT(Equipo!$E$4&amp;"!"&amp;ADDRESS(10,COLUMN(D$9)-1)&amp;":"&amp;ADDRESS(1000,COLUMN(D$9)-1))),
SUMIF(INDIRECT(Equipo!$F$4&amp;"!B10:B1000"),$B194,INDIRECT(Equipo!$F$4&amp;"!"&amp;ADDRESS(10,COLUMN(D$9)-1)&amp;":"&amp;ADDRESS(1000,COLUMN(D$9)-1))),
SUMIF(INDIRECT(Equipo!$G$4&amp;"!B10:B1000"),$B194,INDIRECT(Equipo!$G$4&amp;"!"&amp;ADDRESS(10,COLUMN(D$9)-1)&amp;":"&amp;ADDRESS(1000,COLUMN(D$9)-1)))))</f>
        <v>-</v>
      </c>
      <c r="E194" s="19" t="str">
        <f t="array" ref="E194">IF(ISBLANK(Tareas!$B190),"-",SUM(
SUMIF(INDIRECT(Equipo!$C$4&amp;"!B10:B1000"),$B194,INDIRECT(Equipo!$C$4&amp;"!"&amp;ADDRESS(10,COLUMN(E$9)-1)&amp;":"&amp;ADDRESS(1000,COLUMN(E$9)-1))),
SUMIF(INDIRECT(Equipo!$D$4&amp;"!B10:B1000"),$B194,INDIRECT(Equipo!$D$4&amp;"!"&amp;ADDRESS(10,COLUMN(E$9)-1)&amp;":"&amp;ADDRESS(1000,COLUMN(E$9)-1))),
SUMIF(INDIRECT(Equipo!$E$4&amp;"!B10:B1000"),$B194,INDIRECT(Equipo!$E$4&amp;"!"&amp;ADDRESS(10,COLUMN(E$9)-1)&amp;":"&amp;ADDRESS(1000,COLUMN(E$9)-1))),
SUMIF(INDIRECT(Equipo!$F$4&amp;"!B10:B1000"),$B194,INDIRECT(Equipo!$F$4&amp;"!"&amp;ADDRESS(10,COLUMN(E$9)-1)&amp;":"&amp;ADDRESS(1000,COLUMN(E$9)-1))),
SUMIF(INDIRECT(Equipo!$G$4&amp;"!B10:B1000"),$B194,INDIRECT(Equipo!$G$4&amp;"!"&amp;ADDRESS(10,COLUMN(E$9)-1)&amp;":"&amp;ADDRESS(1000,COLUMN(E$9)-1)))))</f>
        <v>-</v>
      </c>
      <c r="F194" s="19" t="str">
        <f t="array" ref="F194">IF(ISBLANK(Tareas!$B190),"-",SUM(
SUMIF(INDIRECT(Equipo!$C$4&amp;"!B10:B1000"),$B194,INDIRECT(Equipo!$C$4&amp;"!"&amp;ADDRESS(10,COLUMN(F$9)-1)&amp;":"&amp;ADDRESS(1000,COLUMN(F$9)-1))),
SUMIF(INDIRECT(Equipo!$D$4&amp;"!B10:B1000"),$B194,INDIRECT(Equipo!$D$4&amp;"!"&amp;ADDRESS(10,COLUMN(F$9)-1)&amp;":"&amp;ADDRESS(1000,COLUMN(F$9)-1))),
SUMIF(INDIRECT(Equipo!$E$4&amp;"!B10:B1000"),$B194,INDIRECT(Equipo!$E$4&amp;"!"&amp;ADDRESS(10,COLUMN(F$9)-1)&amp;":"&amp;ADDRESS(1000,COLUMN(F$9)-1))),
SUMIF(INDIRECT(Equipo!$F$4&amp;"!B10:B1000"),$B194,INDIRECT(Equipo!$F$4&amp;"!"&amp;ADDRESS(10,COLUMN(F$9)-1)&amp;":"&amp;ADDRESS(1000,COLUMN(F$9)-1))),
SUMIF(INDIRECT(Equipo!$G$4&amp;"!B10:B1000"),$B194,INDIRECT(Equipo!$G$4&amp;"!"&amp;ADDRESS(10,COLUMN(F$9)-1)&amp;":"&amp;ADDRESS(1000,COLUMN(F$9)-1)))))</f>
        <v>-</v>
      </c>
      <c r="G194" s="19" t="str">
        <f t="array" ref="G194">IF(ISBLANK(Tareas!$B190),"-",SUM(
SUMIF(INDIRECT(Equipo!$C$4&amp;"!B10:B1000"),$B194,INDIRECT(Equipo!$C$4&amp;"!"&amp;ADDRESS(10,COLUMN(G$9)-1)&amp;":"&amp;ADDRESS(1000,COLUMN(G$9)-1))),
SUMIF(INDIRECT(Equipo!$D$4&amp;"!B10:B1000"),$B194,INDIRECT(Equipo!$D$4&amp;"!"&amp;ADDRESS(10,COLUMN(G$9)-1)&amp;":"&amp;ADDRESS(1000,COLUMN(G$9)-1))),
SUMIF(INDIRECT(Equipo!$E$4&amp;"!B10:B1000"),$B194,INDIRECT(Equipo!$E$4&amp;"!"&amp;ADDRESS(10,COLUMN(G$9)-1)&amp;":"&amp;ADDRESS(1000,COLUMN(G$9)-1))),
SUMIF(INDIRECT(Equipo!$F$4&amp;"!B10:B1000"),$B194,INDIRECT(Equipo!$F$4&amp;"!"&amp;ADDRESS(10,COLUMN(G$9)-1)&amp;":"&amp;ADDRESS(1000,COLUMN(G$9)-1))),
SUMIF(INDIRECT(Equipo!$G$4&amp;"!B10:B1000"),$B194,INDIRECT(Equipo!$G$4&amp;"!"&amp;ADDRESS(10,COLUMN(G$9)-1)&amp;":"&amp;ADDRESS(1000,COLUMN(G$9)-1)))))</f>
        <v>-</v>
      </c>
      <c r="H194" s="19" t="str">
        <f t="array" ref="H194">IF(ISBLANK(Tareas!$B190),"-",SUM(
SUMIF(INDIRECT(Equipo!$C$4&amp;"!B10:B1000"),$B194,INDIRECT(Equipo!$C$4&amp;"!"&amp;ADDRESS(10,COLUMN(H$9)-1)&amp;":"&amp;ADDRESS(1000,COLUMN(H$9)-1))),
SUMIF(INDIRECT(Equipo!$D$4&amp;"!B10:B1000"),$B194,INDIRECT(Equipo!$D$4&amp;"!"&amp;ADDRESS(10,COLUMN(H$9)-1)&amp;":"&amp;ADDRESS(1000,COLUMN(H$9)-1))),
SUMIF(INDIRECT(Equipo!$E$4&amp;"!B10:B1000"),$B194,INDIRECT(Equipo!$E$4&amp;"!"&amp;ADDRESS(10,COLUMN(H$9)-1)&amp;":"&amp;ADDRESS(1000,COLUMN(H$9)-1))),
SUMIF(INDIRECT(Equipo!$F$4&amp;"!B10:B1000"),$B194,INDIRECT(Equipo!$F$4&amp;"!"&amp;ADDRESS(10,COLUMN(H$9)-1)&amp;":"&amp;ADDRESS(1000,COLUMN(H$9)-1))),
SUMIF(INDIRECT(Equipo!$G$4&amp;"!B10:B1000"),$B194,INDIRECT(Equipo!$G$4&amp;"!"&amp;ADDRESS(10,COLUMN(H$9)-1)&amp;":"&amp;ADDRESS(1000,COLUMN(H$9)-1)))))</f>
        <v>-</v>
      </c>
      <c r="I194" s="19" t="str">
        <f t="array" ref="I194">IF(ISBLANK(Tareas!$B190),"-",SUM(
SUMIF(INDIRECT(Equipo!$C$4&amp;"!B10:B1000"),$B194,INDIRECT(Equipo!$C$4&amp;"!"&amp;ADDRESS(10,COLUMN(I$9)-1)&amp;":"&amp;ADDRESS(1000,COLUMN(I$9)-1))),
SUMIF(INDIRECT(Equipo!$D$4&amp;"!B10:B1000"),$B194,INDIRECT(Equipo!$D$4&amp;"!"&amp;ADDRESS(10,COLUMN(I$9)-1)&amp;":"&amp;ADDRESS(1000,COLUMN(I$9)-1))),
SUMIF(INDIRECT(Equipo!$E$4&amp;"!B10:B1000"),$B194,INDIRECT(Equipo!$E$4&amp;"!"&amp;ADDRESS(10,COLUMN(I$9)-1)&amp;":"&amp;ADDRESS(1000,COLUMN(I$9)-1))),
SUMIF(INDIRECT(Equipo!$F$4&amp;"!B10:B1000"),$B194,INDIRECT(Equipo!$F$4&amp;"!"&amp;ADDRESS(10,COLUMN(I$9)-1)&amp;":"&amp;ADDRESS(1000,COLUMN(I$9)-1))),
SUMIF(INDIRECT(Equipo!$G$4&amp;"!B10:B1000"),$B194,INDIRECT(Equipo!$G$4&amp;"!"&amp;ADDRESS(10,COLUMN(I$9)-1)&amp;":"&amp;ADDRESS(1000,COLUMN(I$9)-1)))))</f>
        <v>-</v>
      </c>
      <c r="J194" s="19" t="str">
        <f t="array" ref="J194">IF(ISBLANK(Tareas!$B190),"-",SUM(
SUMIF(INDIRECT(Equipo!$C$4&amp;"!B10:B1000"),$B194,INDIRECT(Equipo!$C$4&amp;"!"&amp;ADDRESS(10,COLUMN(J$9)-1)&amp;":"&amp;ADDRESS(1000,COLUMN(J$9)-1))),
SUMIF(INDIRECT(Equipo!$D$4&amp;"!B10:B1000"),$B194,INDIRECT(Equipo!$D$4&amp;"!"&amp;ADDRESS(10,COLUMN(J$9)-1)&amp;":"&amp;ADDRESS(1000,COLUMN(J$9)-1))),
SUMIF(INDIRECT(Equipo!$E$4&amp;"!B10:B1000"),$B194,INDIRECT(Equipo!$E$4&amp;"!"&amp;ADDRESS(10,COLUMN(J$9)-1)&amp;":"&amp;ADDRESS(1000,COLUMN(J$9)-1))),
SUMIF(INDIRECT(Equipo!$F$4&amp;"!B10:B1000"),$B194,INDIRECT(Equipo!$F$4&amp;"!"&amp;ADDRESS(10,COLUMN(J$9)-1)&amp;":"&amp;ADDRESS(1000,COLUMN(J$9)-1))),
SUMIF(INDIRECT(Equipo!$G$4&amp;"!B10:B1000"),$B194,INDIRECT(Equipo!$G$4&amp;"!"&amp;ADDRESS(10,COLUMN(J$9)-1)&amp;":"&amp;ADDRESS(1000,COLUMN(J$9)-1)))))</f>
        <v>-</v>
      </c>
      <c r="K194" s="19" t="str">
        <f t="array" ref="K194">IF(ISBLANK(Tareas!$B190),"-",SUM(
SUMIF(INDIRECT(Equipo!$C$4&amp;"!B10:B1000"),$B194,INDIRECT(Equipo!$C$4&amp;"!"&amp;ADDRESS(10,COLUMN(K$9)-1)&amp;":"&amp;ADDRESS(1000,COLUMN(K$9)-1))),
SUMIF(INDIRECT(Equipo!$D$4&amp;"!B10:B1000"),$B194,INDIRECT(Equipo!$D$4&amp;"!"&amp;ADDRESS(10,COLUMN(K$9)-1)&amp;":"&amp;ADDRESS(1000,COLUMN(K$9)-1))),
SUMIF(INDIRECT(Equipo!$E$4&amp;"!B10:B1000"),$B194,INDIRECT(Equipo!$E$4&amp;"!"&amp;ADDRESS(10,COLUMN(K$9)-1)&amp;":"&amp;ADDRESS(1000,COLUMN(K$9)-1))),
SUMIF(INDIRECT(Equipo!$F$4&amp;"!B10:B1000"),$B194,INDIRECT(Equipo!$F$4&amp;"!"&amp;ADDRESS(10,COLUMN(K$9)-1)&amp;":"&amp;ADDRESS(1000,COLUMN(K$9)-1))),
SUMIF(INDIRECT(Equipo!$G$4&amp;"!B10:B1000"),$B194,INDIRECT(Equipo!$G$4&amp;"!"&amp;ADDRESS(10,COLUMN(K$9)-1)&amp;":"&amp;ADDRESS(1000,COLUMN(K$9)-1)))))</f>
        <v>-</v>
      </c>
    </row>
    <row r="195" ht="15.75" customHeight="1">
      <c r="B195" s="1" t="str">
        <f>IF(ISBLANK(Tareas!B191)," - ",Tareas!B191)</f>
        <v> - </v>
      </c>
      <c r="D195" s="19" t="str">
        <f t="array" ref="D195">IF(ISBLANK(Tareas!$B191),"-",SUM(
SUMIF(INDIRECT(Equipo!$C$4&amp;"!B10:B1000"),$B195,INDIRECT(Equipo!$C$4&amp;"!"&amp;ADDRESS(10,COLUMN(D$9)-1)&amp;":"&amp;ADDRESS(1000,COLUMN(D$9)-1))),
SUMIF(INDIRECT(Equipo!$D$4&amp;"!B10:B1000"),$B195,INDIRECT(Equipo!$D$4&amp;"!"&amp;ADDRESS(10,COLUMN(D$9)-1)&amp;":"&amp;ADDRESS(1000,COLUMN(D$9)-1))),
SUMIF(INDIRECT(Equipo!$E$4&amp;"!B10:B1000"),$B195,INDIRECT(Equipo!$E$4&amp;"!"&amp;ADDRESS(10,COLUMN(D$9)-1)&amp;":"&amp;ADDRESS(1000,COLUMN(D$9)-1))),
SUMIF(INDIRECT(Equipo!$F$4&amp;"!B10:B1000"),$B195,INDIRECT(Equipo!$F$4&amp;"!"&amp;ADDRESS(10,COLUMN(D$9)-1)&amp;":"&amp;ADDRESS(1000,COLUMN(D$9)-1))),
SUMIF(INDIRECT(Equipo!$G$4&amp;"!B10:B1000"),$B195,INDIRECT(Equipo!$G$4&amp;"!"&amp;ADDRESS(10,COLUMN(D$9)-1)&amp;":"&amp;ADDRESS(1000,COLUMN(D$9)-1)))))</f>
        <v>-</v>
      </c>
      <c r="E195" s="19" t="str">
        <f t="array" ref="E195">IF(ISBLANK(Tareas!$B191),"-",SUM(
SUMIF(INDIRECT(Equipo!$C$4&amp;"!B10:B1000"),$B195,INDIRECT(Equipo!$C$4&amp;"!"&amp;ADDRESS(10,COLUMN(E$9)-1)&amp;":"&amp;ADDRESS(1000,COLUMN(E$9)-1))),
SUMIF(INDIRECT(Equipo!$D$4&amp;"!B10:B1000"),$B195,INDIRECT(Equipo!$D$4&amp;"!"&amp;ADDRESS(10,COLUMN(E$9)-1)&amp;":"&amp;ADDRESS(1000,COLUMN(E$9)-1))),
SUMIF(INDIRECT(Equipo!$E$4&amp;"!B10:B1000"),$B195,INDIRECT(Equipo!$E$4&amp;"!"&amp;ADDRESS(10,COLUMN(E$9)-1)&amp;":"&amp;ADDRESS(1000,COLUMN(E$9)-1))),
SUMIF(INDIRECT(Equipo!$F$4&amp;"!B10:B1000"),$B195,INDIRECT(Equipo!$F$4&amp;"!"&amp;ADDRESS(10,COLUMN(E$9)-1)&amp;":"&amp;ADDRESS(1000,COLUMN(E$9)-1))),
SUMIF(INDIRECT(Equipo!$G$4&amp;"!B10:B1000"),$B195,INDIRECT(Equipo!$G$4&amp;"!"&amp;ADDRESS(10,COLUMN(E$9)-1)&amp;":"&amp;ADDRESS(1000,COLUMN(E$9)-1)))))</f>
        <v>-</v>
      </c>
      <c r="F195" s="19" t="str">
        <f t="array" ref="F195">IF(ISBLANK(Tareas!$B191),"-",SUM(
SUMIF(INDIRECT(Equipo!$C$4&amp;"!B10:B1000"),$B195,INDIRECT(Equipo!$C$4&amp;"!"&amp;ADDRESS(10,COLUMN(F$9)-1)&amp;":"&amp;ADDRESS(1000,COLUMN(F$9)-1))),
SUMIF(INDIRECT(Equipo!$D$4&amp;"!B10:B1000"),$B195,INDIRECT(Equipo!$D$4&amp;"!"&amp;ADDRESS(10,COLUMN(F$9)-1)&amp;":"&amp;ADDRESS(1000,COLUMN(F$9)-1))),
SUMIF(INDIRECT(Equipo!$E$4&amp;"!B10:B1000"),$B195,INDIRECT(Equipo!$E$4&amp;"!"&amp;ADDRESS(10,COLUMN(F$9)-1)&amp;":"&amp;ADDRESS(1000,COLUMN(F$9)-1))),
SUMIF(INDIRECT(Equipo!$F$4&amp;"!B10:B1000"),$B195,INDIRECT(Equipo!$F$4&amp;"!"&amp;ADDRESS(10,COLUMN(F$9)-1)&amp;":"&amp;ADDRESS(1000,COLUMN(F$9)-1))),
SUMIF(INDIRECT(Equipo!$G$4&amp;"!B10:B1000"),$B195,INDIRECT(Equipo!$G$4&amp;"!"&amp;ADDRESS(10,COLUMN(F$9)-1)&amp;":"&amp;ADDRESS(1000,COLUMN(F$9)-1)))))</f>
        <v>-</v>
      </c>
      <c r="G195" s="19" t="str">
        <f t="array" ref="G195">IF(ISBLANK(Tareas!$B191),"-",SUM(
SUMIF(INDIRECT(Equipo!$C$4&amp;"!B10:B1000"),$B195,INDIRECT(Equipo!$C$4&amp;"!"&amp;ADDRESS(10,COLUMN(G$9)-1)&amp;":"&amp;ADDRESS(1000,COLUMN(G$9)-1))),
SUMIF(INDIRECT(Equipo!$D$4&amp;"!B10:B1000"),$B195,INDIRECT(Equipo!$D$4&amp;"!"&amp;ADDRESS(10,COLUMN(G$9)-1)&amp;":"&amp;ADDRESS(1000,COLUMN(G$9)-1))),
SUMIF(INDIRECT(Equipo!$E$4&amp;"!B10:B1000"),$B195,INDIRECT(Equipo!$E$4&amp;"!"&amp;ADDRESS(10,COLUMN(G$9)-1)&amp;":"&amp;ADDRESS(1000,COLUMN(G$9)-1))),
SUMIF(INDIRECT(Equipo!$F$4&amp;"!B10:B1000"),$B195,INDIRECT(Equipo!$F$4&amp;"!"&amp;ADDRESS(10,COLUMN(G$9)-1)&amp;":"&amp;ADDRESS(1000,COLUMN(G$9)-1))),
SUMIF(INDIRECT(Equipo!$G$4&amp;"!B10:B1000"),$B195,INDIRECT(Equipo!$G$4&amp;"!"&amp;ADDRESS(10,COLUMN(G$9)-1)&amp;":"&amp;ADDRESS(1000,COLUMN(G$9)-1)))))</f>
        <v>-</v>
      </c>
      <c r="H195" s="19" t="str">
        <f t="array" ref="H195">IF(ISBLANK(Tareas!$B191),"-",SUM(
SUMIF(INDIRECT(Equipo!$C$4&amp;"!B10:B1000"),$B195,INDIRECT(Equipo!$C$4&amp;"!"&amp;ADDRESS(10,COLUMN(H$9)-1)&amp;":"&amp;ADDRESS(1000,COLUMN(H$9)-1))),
SUMIF(INDIRECT(Equipo!$D$4&amp;"!B10:B1000"),$B195,INDIRECT(Equipo!$D$4&amp;"!"&amp;ADDRESS(10,COLUMN(H$9)-1)&amp;":"&amp;ADDRESS(1000,COLUMN(H$9)-1))),
SUMIF(INDIRECT(Equipo!$E$4&amp;"!B10:B1000"),$B195,INDIRECT(Equipo!$E$4&amp;"!"&amp;ADDRESS(10,COLUMN(H$9)-1)&amp;":"&amp;ADDRESS(1000,COLUMN(H$9)-1))),
SUMIF(INDIRECT(Equipo!$F$4&amp;"!B10:B1000"),$B195,INDIRECT(Equipo!$F$4&amp;"!"&amp;ADDRESS(10,COLUMN(H$9)-1)&amp;":"&amp;ADDRESS(1000,COLUMN(H$9)-1))),
SUMIF(INDIRECT(Equipo!$G$4&amp;"!B10:B1000"),$B195,INDIRECT(Equipo!$G$4&amp;"!"&amp;ADDRESS(10,COLUMN(H$9)-1)&amp;":"&amp;ADDRESS(1000,COLUMN(H$9)-1)))))</f>
        <v>-</v>
      </c>
      <c r="I195" s="19" t="str">
        <f t="array" ref="I195">IF(ISBLANK(Tareas!$B191),"-",SUM(
SUMIF(INDIRECT(Equipo!$C$4&amp;"!B10:B1000"),$B195,INDIRECT(Equipo!$C$4&amp;"!"&amp;ADDRESS(10,COLUMN(I$9)-1)&amp;":"&amp;ADDRESS(1000,COLUMN(I$9)-1))),
SUMIF(INDIRECT(Equipo!$D$4&amp;"!B10:B1000"),$B195,INDIRECT(Equipo!$D$4&amp;"!"&amp;ADDRESS(10,COLUMN(I$9)-1)&amp;":"&amp;ADDRESS(1000,COLUMN(I$9)-1))),
SUMIF(INDIRECT(Equipo!$E$4&amp;"!B10:B1000"),$B195,INDIRECT(Equipo!$E$4&amp;"!"&amp;ADDRESS(10,COLUMN(I$9)-1)&amp;":"&amp;ADDRESS(1000,COLUMN(I$9)-1))),
SUMIF(INDIRECT(Equipo!$F$4&amp;"!B10:B1000"),$B195,INDIRECT(Equipo!$F$4&amp;"!"&amp;ADDRESS(10,COLUMN(I$9)-1)&amp;":"&amp;ADDRESS(1000,COLUMN(I$9)-1))),
SUMIF(INDIRECT(Equipo!$G$4&amp;"!B10:B1000"),$B195,INDIRECT(Equipo!$G$4&amp;"!"&amp;ADDRESS(10,COLUMN(I$9)-1)&amp;":"&amp;ADDRESS(1000,COLUMN(I$9)-1)))))</f>
        <v>-</v>
      </c>
      <c r="J195" s="19" t="str">
        <f t="array" ref="J195">IF(ISBLANK(Tareas!$B191),"-",SUM(
SUMIF(INDIRECT(Equipo!$C$4&amp;"!B10:B1000"),$B195,INDIRECT(Equipo!$C$4&amp;"!"&amp;ADDRESS(10,COLUMN(J$9)-1)&amp;":"&amp;ADDRESS(1000,COLUMN(J$9)-1))),
SUMIF(INDIRECT(Equipo!$D$4&amp;"!B10:B1000"),$B195,INDIRECT(Equipo!$D$4&amp;"!"&amp;ADDRESS(10,COLUMN(J$9)-1)&amp;":"&amp;ADDRESS(1000,COLUMN(J$9)-1))),
SUMIF(INDIRECT(Equipo!$E$4&amp;"!B10:B1000"),$B195,INDIRECT(Equipo!$E$4&amp;"!"&amp;ADDRESS(10,COLUMN(J$9)-1)&amp;":"&amp;ADDRESS(1000,COLUMN(J$9)-1))),
SUMIF(INDIRECT(Equipo!$F$4&amp;"!B10:B1000"),$B195,INDIRECT(Equipo!$F$4&amp;"!"&amp;ADDRESS(10,COLUMN(J$9)-1)&amp;":"&amp;ADDRESS(1000,COLUMN(J$9)-1))),
SUMIF(INDIRECT(Equipo!$G$4&amp;"!B10:B1000"),$B195,INDIRECT(Equipo!$G$4&amp;"!"&amp;ADDRESS(10,COLUMN(J$9)-1)&amp;":"&amp;ADDRESS(1000,COLUMN(J$9)-1)))))</f>
        <v>-</v>
      </c>
      <c r="K195" s="19" t="str">
        <f t="array" ref="K195">IF(ISBLANK(Tareas!$B191),"-",SUM(
SUMIF(INDIRECT(Equipo!$C$4&amp;"!B10:B1000"),$B195,INDIRECT(Equipo!$C$4&amp;"!"&amp;ADDRESS(10,COLUMN(K$9)-1)&amp;":"&amp;ADDRESS(1000,COLUMN(K$9)-1))),
SUMIF(INDIRECT(Equipo!$D$4&amp;"!B10:B1000"),$B195,INDIRECT(Equipo!$D$4&amp;"!"&amp;ADDRESS(10,COLUMN(K$9)-1)&amp;":"&amp;ADDRESS(1000,COLUMN(K$9)-1))),
SUMIF(INDIRECT(Equipo!$E$4&amp;"!B10:B1000"),$B195,INDIRECT(Equipo!$E$4&amp;"!"&amp;ADDRESS(10,COLUMN(K$9)-1)&amp;":"&amp;ADDRESS(1000,COLUMN(K$9)-1))),
SUMIF(INDIRECT(Equipo!$F$4&amp;"!B10:B1000"),$B195,INDIRECT(Equipo!$F$4&amp;"!"&amp;ADDRESS(10,COLUMN(K$9)-1)&amp;":"&amp;ADDRESS(1000,COLUMN(K$9)-1))),
SUMIF(INDIRECT(Equipo!$G$4&amp;"!B10:B1000"),$B195,INDIRECT(Equipo!$G$4&amp;"!"&amp;ADDRESS(10,COLUMN(K$9)-1)&amp;":"&amp;ADDRESS(1000,COLUMN(K$9)-1)))))</f>
        <v>-</v>
      </c>
    </row>
    <row r="196" ht="15.75" customHeight="1">
      <c r="B196" s="1" t="str">
        <f>IF(ISBLANK(Tareas!B192)," - ",Tareas!B192)</f>
        <v> - </v>
      </c>
      <c r="D196" s="19" t="str">
        <f t="array" ref="D196">IF(ISBLANK(Tareas!$B192),"-",SUM(
SUMIF(INDIRECT(Equipo!$C$4&amp;"!B10:B1000"),$B196,INDIRECT(Equipo!$C$4&amp;"!"&amp;ADDRESS(10,COLUMN(D$9)-1)&amp;":"&amp;ADDRESS(1000,COLUMN(D$9)-1))),
SUMIF(INDIRECT(Equipo!$D$4&amp;"!B10:B1000"),$B196,INDIRECT(Equipo!$D$4&amp;"!"&amp;ADDRESS(10,COLUMN(D$9)-1)&amp;":"&amp;ADDRESS(1000,COLUMN(D$9)-1))),
SUMIF(INDIRECT(Equipo!$E$4&amp;"!B10:B1000"),$B196,INDIRECT(Equipo!$E$4&amp;"!"&amp;ADDRESS(10,COLUMN(D$9)-1)&amp;":"&amp;ADDRESS(1000,COLUMN(D$9)-1))),
SUMIF(INDIRECT(Equipo!$F$4&amp;"!B10:B1000"),$B196,INDIRECT(Equipo!$F$4&amp;"!"&amp;ADDRESS(10,COLUMN(D$9)-1)&amp;":"&amp;ADDRESS(1000,COLUMN(D$9)-1))),
SUMIF(INDIRECT(Equipo!$G$4&amp;"!B10:B1000"),$B196,INDIRECT(Equipo!$G$4&amp;"!"&amp;ADDRESS(10,COLUMN(D$9)-1)&amp;":"&amp;ADDRESS(1000,COLUMN(D$9)-1)))))</f>
        <v>-</v>
      </c>
      <c r="E196" s="19" t="str">
        <f t="array" ref="E196">IF(ISBLANK(Tareas!$B192),"-",SUM(
SUMIF(INDIRECT(Equipo!$C$4&amp;"!B10:B1000"),$B196,INDIRECT(Equipo!$C$4&amp;"!"&amp;ADDRESS(10,COLUMN(E$9)-1)&amp;":"&amp;ADDRESS(1000,COLUMN(E$9)-1))),
SUMIF(INDIRECT(Equipo!$D$4&amp;"!B10:B1000"),$B196,INDIRECT(Equipo!$D$4&amp;"!"&amp;ADDRESS(10,COLUMN(E$9)-1)&amp;":"&amp;ADDRESS(1000,COLUMN(E$9)-1))),
SUMIF(INDIRECT(Equipo!$E$4&amp;"!B10:B1000"),$B196,INDIRECT(Equipo!$E$4&amp;"!"&amp;ADDRESS(10,COLUMN(E$9)-1)&amp;":"&amp;ADDRESS(1000,COLUMN(E$9)-1))),
SUMIF(INDIRECT(Equipo!$F$4&amp;"!B10:B1000"),$B196,INDIRECT(Equipo!$F$4&amp;"!"&amp;ADDRESS(10,COLUMN(E$9)-1)&amp;":"&amp;ADDRESS(1000,COLUMN(E$9)-1))),
SUMIF(INDIRECT(Equipo!$G$4&amp;"!B10:B1000"),$B196,INDIRECT(Equipo!$G$4&amp;"!"&amp;ADDRESS(10,COLUMN(E$9)-1)&amp;":"&amp;ADDRESS(1000,COLUMN(E$9)-1)))))</f>
        <v>-</v>
      </c>
      <c r="F196" s="19" t="str">
        <f t="array" ref="F196">IF(ISBLANK(Tareas!$B192),"-",SUM(
SUMIF(INDIRECT(Equipo!$C$4&amp;"!B10:B1000"),$B196,INDIRECT(Equipo!$C$4&amp;"!"&amp;ADDRESS(10,COLUMN(F$9)-1)&amp;":"&amp;ADDRESS(1000,COLUMN(F$9)-1))),
SUMIF(INDIRECT(Equipo!$D$4&amp;"!B10:B1000"),$B196,INDIRECT(Equipo!$D$4&amp;"!"&amp;ADDRESS(10,COLUMN(F$9)-1)&amp;":"&amp;ADDRESS(1000,COLUMN(F$9)-1))),
SUMIF(INDIRECT(Equipo!$E$4&amp;"!B10:B1000"),$B196,INDIRECT(Equipo!$E$4&amp;"!"&amp;ADDRESS(10,COLUMN(F$9)-1)&amp;":"&amp;ADDRESS(1000,COLUMN(F$9)-1))),
SUMIF(INDIRECT(Equipo!$F$4&amp;"!B10:B1000"),$B196,INDIRECT(Equipo!$F$4&amp;"!"&amp;ADDRESS(10,COLUMN(F$9)-1)&amp;":"&amp;ADDRESS(1000,COLUMN(F$9)-1))),
SUMIF(INDIRECT(Equipo!$G$4&amp;"!B10:B1000"),$B196,INDIRECT(Equipo!$G$4&amp;"!"&amp;ADDRESS(10,COLUMN(F$9)-1)&amp;":"&amp;ADDRESS(1000,COLUMN(F$9)-1)))))</f>
        <v>-</v>
      </c>
      <c r="G196" s="19" t="str">
        <f t="array" ref="G196">IF(ISBLANK(Tareas!$B192),"-",SUM(
SUMIF(INDIRECT(Equipo!$C$4&amp;"!B10:B1000"),$B196,INDIRECT(Equipo!$C$4&amp;"!"&amp;ADDRESS(10,COLUMN(G$9)-1)&amp;":"&amp;ADDRESS(1000,COLUMN(G$9)-1))),
SUMIF(INDIRECT(Equipo!$D$4&amp;"!B10:B1000"),$B196,INDIRECT(Equipo!$D$4&amp;"!"&amp;ADDRESS(10,COLUMN(G$9)-1)&amp;":"&amp;ADDRESS(1000,COLUMN(G$9)-1))),
SUMIF(INDIRECT(Equipo!$E$4&amp;"!B10:B1000"),$B196,INDIRECT(Equipo!$E$4&amp;"!"&amp;ADDRESS(10,COLUMN(G$9)-1)&amp;":"&amp;ADDRESS(1000,COLUMN(G$9)-1))),
SUMIF(INDIRECT(Equipo!$F$4&amp;"!B10:B1000"),$B196,INDIRECT(Equipo!$F$4&amp;"!"&amp;ADDRESS(10,COLUMN(G$9)-1)&amp;":"&amp;ADDRESS(1000,COLUMN(G$9)-1))),
SUMIF(INDIRECT(Equipo!$G$4&amp;"!B10:B1000"),$B196,INDIRECT(Equipo!$G$4&amp;"!"&amp;ADDRESS(10,COLUMN(G$9)-1)&amp;":"&amp;ADDRESS(1000,COLUMN(G$9)-1)))))</f>
        <v>-</v>
      </c>
      <c r="H196" s="19" t="str">
        <f t="array" ref="H196">IF(ISBLANK(Tareas!$B192),"-",SUM(
SUMIF(INDIRECT(Equipo!$C$4&amp;"!B10:B1000"),$B196,INDIRECT(Equipo!$C$4&amp;"!"&amp;ADDRESS(10,COLUMN(H$9)-1)&amp;":"&amp;ADDRESS(1000,COLUMN(H$9)-1))),
SUMIF(INDIRECT(Equipo!$D$4&amp;"!B10:B1000"),$B196,INDIRECT(Equipo!$D$4&amp;"!"&amp;ADDRESS(10,COLUMN(H$9)-1)&amp;":"&amp;ADDRESS(1000,COLUMN(H$9)-1))),
SUMIF(INDIRECT(Equipo!$E$4&amp;"!B10:B1000"),$B196,INDIRECT(Equipo!$E$4&amp;"!"&amp;ADDRESS(10,COLUMN(H$9)-1)&amp;":"&amp;ADDRESS(1000,COLUMN(H$9)-1))),
SUMIF(INDIRECT(Equipo!$F$4&amp;"!B10:B1000"),$B196,INDIRECT(Equipo!$F$4&amp;"!"&amp;ADDRESS(10,COLUMN(H$9)-1)&amp;":"&amp;ADDRESS(1000,COLUMN(H$9)-1))),
SUMIF(INDIRECT(Equipo!$G$4&amp;"!B10:B1000"),$B196,INDIRECT(Equipo!$G$4&amp;"!"&amp;ADDRESS(10,COLUMN(H$9)-1)&amp;":"&amp;ADDRESS(1000,COLUMN(H$9)-1)))))</f>
        <v>-</v>
      </c>
      <c r="I196" s="19" t="str">
        <f t="array" ref="I196">IF(ISBLANK(Tareas!$B192),"-",SUM(
SUMIF(INDIRECT(Equipo!$C$4&amp;"!B10:B1000"),$B196,INDIRECT(Equipo!$C$4&amp;"!"&amp;ADDRESS(10,COLUMN(I$9)-1)&amp;":"&amp;ADDRESS(1000,COLUMN(I$9)-1))),
SUMIF(INDIRECT(Equipo!$D$4&amp;"!B10:B1000"),$B196,INDIRECT(Equipo!$D$4&amp;"!"&amp;ADDRESS(10,COLUMN(I$9)-1)&amp;":"&amp;ADDRESS(1000,COLUMN(I$9)-1))),
SUMIF(INDIRECT(Equipo!$E$4&amp;"!B10:B1000"),$B196,INDIRECT(Equipo!$E$4&amp;"!"&amp;ADDRESS(10,COLUMN(I$9)-1)&amp;":"&amp;ADDRESS(1000,COLUMN(I$9)-1))),
SUMIF(INDIRECT(Equipo!$F$4&amp;"!B10:B1000"),$B196,INDIRECT(Equipo!$F$4&amp;"!"&amp;ADDRESS(10,COLUMN(I$9)-1)&amp;":"&amp;ADDRESS(1000,COLUMN(I$9)-1))),
SUMIF(INDIRECT(Equipo!$G$4&amp;"!B10:B1000"),$B196,INDIRECT(Equipo!$G$4&amp;"!"&amp;ADDRESS(10,COLUMN(I$9)-1)&amp;":"&amp;ADDRESS(1000,COLUMN(I$9)-1)))))</f>
        <v>-</v>
      </c>
      <c r="J196" s="19" t="str">
        <f t="array" ref="J196">IF(ISBLANK(Tareas!$B192),"-",SUM(
SUMIF(INDIRECT(Equipo!$C$4&amp;"!B10:B1000"),$B196,INDIRECT(Equipo!$C$4&amp;"!"&amp;ADDRESS(10,COLUMN(J$9)-1)&amp;":"&amp;ADDRESS(1000,COLUMN(J$9)-1))),
SUMIF(INDIRECT(Equipo!$D$4&amp;"!B10:B1000"),$B196,INDIRECT(Equipo!$D$4&amp;"!"&amp;ADDRESS(10,COLUMN(J$9)-1)&amp;":"&amp;ADDRESS(1000,COLUMN(J$9)-1))),
SUMIF(INDIRECT(Equipo!$E$4&amp;"!B10:B1000"),$B196,INDIRECT(Equipo!$E$4&amp;"!"&amp;ADDRESS(10,COLUMN(J$9)-1)&amp;":"&amp;ADDRESS(1000,COLUMN(J$9)-1))),
SUMIF(INDIRECT(Equipo!$F$4&amp;"!B10:B1000"),$B196,INDIRECT(Equipo!$F$4&amp;"!"&amp;ADDRESS(10,COLUMN(J$9)-1)&amp;":"&amp;ADDRESS(1000,COLUMN(J$9)-1))),
SUMIF(INDIRECT(Equipo!$G$4&amp;"!B10:B1000"),$B196,INDIRECT(Equipo!$G$4&amp;"!"&amp;ADDRESS(10,COLUMN(J$9)-1)&amp;":"&amp;ADDRESS(1000,COLUMN(J$9)-1)))))</f>
        <v>-</v>
      </c>
      <c r="K196" s="19" t="str">
        <f t="array" ref="K196">IF(ISBLANK(Tareas!$B192),"-",SUM(
SUMIF(INDIRECT(Equipo!$C$4&amp;"!B10:B1000"),$B196,INDIRECT(Equipo!$C$4&amp;"!"&amp;ADDRESS(10,COLUMN(K$9)-1)&amp;":"&amp;ADDRESS(1000,COLUMN(K$9)-1))),
SUMIF(INDIRECT(Equipo!$D$4&amp;"!B10:B1000"),$B196,INDIRECT(Equipo!$D$4&amp;"!"&amp;ADDRESS(10,COLUMN(K$9)-1)&amp;":"&amp;ADDRESS(1000,COLUMN(K$9)-1))),
SUMIF(INDIRECT(Equipo!$E$4&amp;"!B10:B1000"),$B196,INDIRECT(Equipo!$E$4&amp;"!"&amp;ADDRESS(10,COLUMN(K$9)-1)&amp;":"&amp;ADDRESS(1000,COLUMN(K$9)-1))),
SUMIF(INDIRECT(Equipo!$F$4&amp;"!B10:B1000"),$B196,INDIRECT(Equipo!$F$4&amp;"!"&amp;ADDRESS(10,COLUMN(K$9)-1)&amp;":"&amp;ADDRESS(1000,COLUMN(K$9)-1))),
SUMIF(INDIRECT(Equipo!$G$4&amp;"!B10:B1000"),$B196,INDIRECT(Equipo!$G$4&amp;"!"&amp;ADDRESS(10,COLUMN(K$9)-1)&amp;":"&amp;ADDRESS(1000,COLUMN(K$9)-1)))))</f>
        <v>-</v>
      </c>
    </row>
    <row r="197" ht="15.75" customHeight="1">
      <c r="B197" s="1" t="str">
        <f>IF(ISBLANK(Tareas!B193)," - ",Tareas!B193)</f>
        <v> - </v>
      </c>
      <c r="D197" s="19" t="str">
        <f t="array" ref="D197">IF(ISBLANK(Tareas!$B193),"-",SUM(
SUMIF(INDIRECT(Equipo!$C$4&amp;"!B10:B1000"),$B197,INDIRECT(Equipo!$C$4&amp;"!"&amp;ADDRESS(10,COLUMN(D$9)-1)&amp;":"&amp;ADDRESS(1000,COLUMN(D$9)-1))),
SUMIF(INDIRECT(Equipo!$D$4&amp;"!B10:B1000"),$B197,INDIRECT(Equipo!$D$4&amp;"!"&amp;ADDRESS(10,COLUMN(D$9)-1)&amp;":"&amp;ADDRESS(1000,COLUMN(D$9)-1))),
SUMIF(INDIRECT(Equipo!$E$4&amp;"!B10:B1000"),$B197,INDIRECT(Equipo!$E$4&amp;"!"&amp;ADDRESS(10,COLUMN(D$9)-1)&amp;":"&amp;ADDRESS(1000,COLUMN(D$9)-1))),
SUMIF(INDIRECT(Equipo!$F$4&amp;"!B10:B1000"),$B197,INDIRECT(Equipo!$F$4&amp;"!"&amp;ADDRESS(10,COLUMN(D$9)-1)&amp;":"&amp;ADDRESS(1000,COLUMN(D$9)-1))),
SUMIF(INDIRECT(Equipo!$G$4&amp;"!B10:B1000"),$B197,INDIRECT(Equipo!$G$4&amp;"!"&amp;ADDRESS(10,COLUMN(D$9)-1)&amp;":"&amp;ADDRESS(1000,COLUMN(D$9)-1)))))</f>
        <v>-</v>
      </c>
      <c r="E197" s="19" t="str">
        <f t="array" ref="E197">IF(ISBLANK(Tareas!$B193),"-",SUM(
SUMIF(INDIRECT(Equipo!$C$4&amp;"!B10:B1000"),$B197,INDIRECT(Equipo!$C$4&amp;"!"&amp;ADDRESS(10,COLUMN(E$9)-1)&amp;":"&amp;ADDRESS(1000,COLUMN(E$9)-1))),
SUMIF(INDIRECT(Equipo!$D$4&amp;"!B10:B1000"),$B197,INDIRECT(Equipo!$D$4&amp;"!"&amp;ADDRESS(10,COLUMN(E$9)-1)&amp;":"&amp;ADDRESS(1000,COLUMN(E$9)-1))),
SUMIF(INDIRECT(Equipo!$E$4&amp;"!B10:B1000"),$B197,INDIRECT(Equipo!$E$4&amp;"!"&amp;ADDRESS(10,COLUMN(E$9)-1)&amp;":"&amp;ADDRESS(1000,COLUMN(E$9)-1))),
SUMIF(INDIRECT(Equipo!$F$4&amp;"!B10:B1000"),$B197,INDIRECT(Equipo!$F$4&amp;"!"&amp;ADDRESS(10,COLUMN(E$9)-1)&amp;":"&amp;ADDRESS(1000,COLUMN(E$9)-1))),
SUMIF(INDIRECT(Equipo!$G$4&amp;"!B10:B1000"),$B197,INDIRECT(Equipo!$G$4&amp;"!"&amp;ADDRESS(10,COLUMN(E$9)-1)&amp;":"&amp;ADDRESS(1000,COLUMN(E$9)-1)))))</f>
        <v>-</v>
      </c>
      <c r="F197" s="19" t="str">
        <f t="array" ref="F197">IF(ISBLANK(Tareas!$B193),"-",SUM(
SUMIF(INDIRECT(Equipo!$C$4&amp;"!B10:B1000"),$B197,INDIRECT(Equipo!$C$4&amp;"!"&amp;ADDRESS(10,COLUMN(F$9)-1)&amp;":"&amp;ADDRESS(1000,COLUMN(F$9)-1))),
SUMIF(INDIRECT(Equipo!$D$4&amp;"!B10:B1000"),$B197,INDIRECT(Equipo!$D$4&amp;"!"&amp;ADDRESS(10,COLUMN(F$9)-1)&amp;":"&amp;ADDRESS(1000,COLUMN(F$9)-1))),
SUMIF(INDIRECT(Equipo!$E$4&amp;"!B10:B1000"),$B197,INDIRECT(Equipo!$E$4&amp;"!"&amp;ADDRESS(10,COLUMN(F$9)-1)&amp;":"&amp;ADDRESS(1000,COLUMN(F$9)-1))),
SUMIF(INDIRECT(Equipo!$F$4&amp;"!B10:B1000"),$B197,INDIRECT(Equipo!$F$4&amp;"!"&amp;ADDRESS(10,COLUMN(F$9)-1)&amp;":"&amp;ADDRESS(1000,COLUMN(F$9)-1))),
SUMIF(INDIRECT(Equipo!$G$4&amp;"!B10:B1000"),$B197,INDIRECT(Equipo!$G$4&amp;"!"&amp;ADDRESS(10,COLUMN(F$9)-1)&amp;":"&amp;ADDRESS(1000,COLUMN(F$9)-1)))))</f>
        <v>-</v>
      </c>
      <c r="G197" s="19" t="str">
        <f t="array" ref="G197">IF(ISBLANK(Tareas!$B193),"-",SUM(
SUMIF(INDIRECT(Equipo!$C$4&amp;"!B10:B1000"),$B197,INDIRECT(Equipo!$C$4&amp;"!"&amp;ADDRESS(10,COLUMN(G$9)-1)&amp;":"&amp;ADDRESS(1000,COLUMN(G$9)-1))),
SUMIF(INDIRECT(Equipo!$D$4&amp;"!B10:B1000"),$B197,INDIRECT(Equipo!$D$4&amp;"!"&amp;ADDRESS(10,COLUMN(G$9)-1)&amp;":"&amp;ADDRESS(1000,COLUMN(G$9)-1))),
SUMIF(INDIRECT(Equipo!$E$4&amp;"!B10:B1000"),$B197,INDIRECT(Equipo!$E$4&amp;"!"&amp;ADDRESS(10,COLUMN(G$9)-1)&amp;":"&amp;ADDRESS(1000,COLUMN(G$9)-1))),
SUMIF(INDIRECT(Equipo!$F$4&amp;"!B10:B1000"),$B197,INDIRECT(Equipo!$F$4&amp;"!"&amp;ADDRESS(10,COLUMN(G$9)-1)&amp;":"&amp;ADDRESS(1000,COLUMN(G$9)-1))),
SUMIF(INDIRECT(Equipo!$G$4&amp;"!B10:B1000"),$B197,INDIRECT(Equipo!$G$4&amp;"!"&amp;ADDRESS(10,COLUMN(G$9)-1)&amp;":"&amp;ADDRESS(1000,COLUMN(G$9)-1)))))</f>
        <v>-</v>
      </c>
      <c r="H197" s="19" t="str">
        <f t="array" ref="H197">IF(ISBLANK(Tareas!$B193),"-",SUM(
SUMIF(INDIRECT(Equipo!$C$4&amp;"!B10:B1000"),$B197,INDIRECT(Equipo!$C$4&amp;"!"&amp;ADDRESS(10,COLUMN(H$9)-1)&amp;":"&amp;ADDRESS(1000,COLUMN(H$9)-1))),
SUMIF(INDIRECT(Equipo!$D$4&amp;"!B10:B1000"),$B197,INDIRECT(Equipo!$D$4&amp;"!"&amp;ADDRESS(10,COLUMN(H$9)-1)&amp;":"&amp;ADDRESS(1000,COLUMN(H$9)-1))),
SUMIF(INDIRECT(Equipo!$E$4&amp;"!B10:B1000"),$B197,INDIRECT(Equipo!$E$4&amp;"!"&amp;ADDRESS(10,COLUMN(H$9)-1)&amp;":"&amp;ADDRESS(1000,COLUMN(H$9)-1))),
SUMIF(INDIRECT(Equipo!$F$4&amp;"!B10:B1000"),$B197,INDIRECT(Equipo!$F$4&amp;"!"&amp;ADDRESS(10,COLUMN(H$9)-1)&amp;":"&amp;ADDRESS(1000,COLUMN(H$9)-1))),
SUMIF(INDIRECT(Equipo!$G$4&amp;"!B10:B1000"),$B197,INDIRECT(Equipo!$G$4&amp;"!"&amp;ADDRESS(10,COLUMN(H$9)-1)&amp;":"&amp;ADDRESS(1000,COLUMN(H$9)-1)))))</f>
        <v>-</v>
      </c>
      <c r="I197" s="19" t="str">
        <f t="array" ref="I197">IF(ISBLANK(Tareas!$B193),"-",SUM(
SUMIF(INDIRECT(Equipo!$C$4&amp;"!B10:B1000"),$B197,INDIRECT(Equipo!$C$4&amp;"!"&amp;ADDRESS(10,COLUMN(I$9)-1)&amp;":"&amp;ADDRESS(1000,COLUMN(I$9)-1))),
SUMIF(INDIRECT(Equipo!$D$4&amp;"!B10:B1000"),$B197,INDIRECT(Equipo!$D$4&amp;"!"&amp;ADDRESS(10,COLUMN(I$9)-1)&amp;":"&amp;ADDRESS(1000,COLUMN(I$9)-1))),
SUMIF(INDIRECT(Equipo!$E$4&amp;"!B10:B1000"),$B197,INDIRECT(Equipo!$E$4&amp;"!"&amp;ADDRESS(10,COLUMN(I$9)-1)&amp;":"&amp;ADDRESS(1000,COLUMN(I$9)-1))),
SUMIF(INDIRECT(Equipo!$F$4&amp;"!B10:B1000"),$B197,INDIRECT(Equipo!$F$4&amp;"!"&amp;ADDRESS(10,COLUMN(I$9)-1)&amp;":"&amp;ADDRESS(1000,COLUMN(I$9)-1))),
SUMIF(INDIRECT(Equipo!$G$4&amp;"!B10:B1000"),$B197,INDIRECT(Equipo!$G$4&amp;"!"&amp;ADDRESS(10,COLUMN(I$9)-1)&amp;":"&amp;ADDRESS(1000,COLUMN(I$9)-1)))))</f>
        <v>-</v>
      </c>
      <c r="J197" s="19" t="str">
        <f t="array" ref="J197">IF(ISBLANK(Tareas!$B193),"-",SUM(
SUMIF(INDIRECT(Equipo!$C$4&amp;"!B10:B1000"),$B197,INDIRECT(Equipo!$C$4&amp;"!"&amp;ADDRESS(10,COLUMN(J$9)-1)&amp;":"&amp;ADDRESS(1000,COLUMN(J$9)-1))),
SUMIF(INDIRECT(Equipo!$D$4&amp;"!B10:B1000"),$B197,INDIRECT(Equipo!$D$4&amp;"!"&amp;ADDRESS(10,COLUMN(J$9)-1)&amp;":"&amp;ADDRESS(1000,COLUMN(J$9)-1))),
SUMIF(INDIRECT(Equipo!$E$4&amp;"!B10:B1000"),$B197,INDIRECT(Equipo!$E$4&amp;"!"&amp;ADDRESS(10,COLUMN(J$9)-1)&amp;":"&amp;ADDRESS(1000,COLUMN(J$9)-1))),
SUMIF(INDIRECT(Equipo!$F$4&amp;"!B10:B1000"),$B197,INDIRECT(Equipo!$F$4&amp;"!"&amp;ADDRESS(10,COLUMN(J$9)-1)&amp;":"&amp;ADDRESS(1000,COLUMN(J$9)-1))),
SUMIF(INDIRECT(Equipo!$G$4&amp;"!B10:B1000"),$B197,INDIRECT(Equipo!$G$4&amp;"!"&amp;ADDRESS(10,COLUMN(J$9)-1)&amp;":"&amp;ADDRESS(1000,COLUMN(J$9)-1)))))</f>
        <v>-</v>
      </c>
      <c r="K197" s="19" t="str">
        <f t="array" ref="K197">IF(ISBLANK(Tareas!$B193),"-",SUM(
SUMIF(INDIRECT(Equipo!$C$4&amp;"!B10:B1000"),$B197,INDIRECT(Equipo!$C$4&amp;"!"&amp;ADDRESS(10,COLUMN(K$9)-1)&amp;":"&amp;ADDRESS(1000,COLUMN(K$9)-1))),
SUMIF(INDIRECT(Equipo!$D$4&amp;"!B10:B1000"),$B197,INDIRECT(Equipo!$D$4&amp;"!"&amp;ADDRESS(10,COLUMN(K$9)-1)&amp;":"&amp;ADDRESS(1000,COLUMN(K$9)-1))),
SUMIF(INDIRECT(Equipo!$E$4&amp;"!B10:B1000"),$B197,INDIRECT(Equipo!$E$4&amp;"!"&amp;ADDRESS(10,COLUMN(K$9)-1)&amp;":"&amp;ADDRESS(1000,COLUMN(K$9)-1))),
SUMIF(INDIRECT(Equipo!$F$4&amp;"!B10:B1000"),$B197,INDIRECT(Equipo!$F$4&amp;"!"&amp;ADDRESS(10,COLUMN(K$9)-1)&amp;":"&amp;ADDRESS(1000,COLUMN(K$9)-1))),
SUMIF(INDIRECT(Equipo!$G$4&amp;"!B10:B1000"),$B197,INDIRECT(Equipo!$G$4&amp;"!"&amp;ADDRESS(10,COLUMN(K$9)-1)&amp;":"&amp;ADDRESS(1000,COLUMN(K$9)-1)))))</f>
        <v>-</v>
      </c>
    </row>
    <row r="198" ht="15.75" customHeight="1">
      <c r="B198" s="1" t="str">
        <f>IF(ISBLANK(Tareas!B194)," - ",Tareas!B194)</f>
        <v> - </v>
      </c>
      <c r="D198" s="19" t="str">
        <f t="array" ref="D198">IF(ISBLANK(Tareas!$B194),"-",SUM(
SUMIF(INDIRECT(Equipo!$C$4&amp;"!B10:B1000"),$B198,INDIRECT(Equipo!$C$4&amp;"!"&amp;ADDRESS(10,COLUMN(D$9)-1)&amp;":"&amp;ADDRESS(1000,COLUMN(D$9)-1))),
SUMIF(INDIRECT(Equipo!$D$4&amp;"!B10:B1000"),$B198,INDIRECT(Equipo!$D$4&amp;"!"&amp;ADDRESS(10,COLUMN(D$9)-1)&amp;":"&amp;ADDRESS(1000,COLUMN(D$9)-1))),
SUMIF(INDIRECT(Equipo!$E$4&amp;"!B10:B1000"),$B198,INDIRECT(Equipo!$E$4&amp;"!"&amp;ADDRESS(10,COLUMN(D$9)-1)&amp;":"&amp;ADDRESS(1000,COLUMN(D$9)-1))),
SUMIF(INDIRECT(Equipo!$F$4&amp;"!B10:B1000"),$B198,INDIRECT(Equipo!$F$4&amp;"!"&amp;ADDRESS(10,COLUMN(D$9)-1)&amp;":"&amp;ADDRESS(1000,COLUMN(D$9)-1))),
SUMIF(INDIRECT(Equipo!$G$4&amp;"!B10:B1000"),$B198,INDIRECT(Equipo!$G$4&amp;"!"&amp;ADDRESS(10,COLUMN(D$9)-1)&amp;":"&amp;ADDRESS(1000,COLUMN(D$9)-1)))))</f>
        <v>-</v>
      </c>
      <c r="E198" s="19" t="str">
        <f t="array" ref="E198">IF(ISBLANK(Tareas!$B194),"-",SUM(
SUMIF(INDIRECT(Equipo!$C$4&amp;"!B10:B1000"),$B198,INDIRECT(Equipo!$C$4&amp;"!"&amp;ADDRESS(10,COLUMN(E$9)-1)&amp;":"&amp;ADDRESS(1000,COLUMN(E$9)-1))),
SUMIF(INDIRECT(Equipo!$D$4&amp;"!B10:B1000"),$B198,INDIRECT(Equipo!$D$4&amp;"!"&amp;ADDRESS(10,COLUMN(E$9)-1)&amp;":"&amp;ADDRESS(1000,COLUMN(E$9)-1))),
SUMIF(INDIRECT(Equipo!$E$4&amp;"!B10:B1000"),$B198,INDIRECT(Equipo!$E$4&amp;"!"&amp;ADDRESS(10,COLUMN(E$9)-1)&amp;":"&amp;ADDRESS(1000,COLUMN(E$9)-1))),
SUMIF(INDIRECT(Equipo!$F$4&amp;"!B10:B1000"),$B198,INDIRECT(Equipo!$F$4&amp;"!"&amp;ADDRESS(10,COLUMN(E$9)-1)&amp;":"&amp;ADDRESS(1000,COLUMN(E$9)-1))),
SUMIF(INDIRECT(Equipo!$G$4&amp;"!B10:B1000"),$B198,INDIRECT(Equipo!$G$4&amp;"!"&amp;ADDRESS(10,COLUMN(E$9)-1)&amp;":"&amp;ADDRESS(1000,COLUMN(E$9)-1)))))</f>
        <v>-</v>
      </c>
      <c r="F198" s="19" t="str">
        <f t="array" ref="F198">IF(ISBLANK(Tareas!$B194),"-",SUM(
SUMIF(INDIRECT(Equipo!$C$4&amp;"!B10:B1000"),$B198,INDIRECT(Equipo!$C$4&amp;"!"&amp;ADDRESS(10,COLUMN(F$9)-1)&amp;":"&amp;ADDRESS(1000,COLUMN(F$9)-1))),
SUMIF(INDIRECT(Equipo!$D$4&amp;"!B10:B1000"),$B198,INDIRECT(Equipo!$D$4&amp;"!"&amp;ADDRESS(10,COLUMN(F$9)-1)&amp;":"&amp;ADDRESS(1000,COLUMN(F$9)-1))),
SUMIF(INDIRECT(Equipo!$E$4&amp;"!B10:B1000"),$B198,INDIRECT(Equipo!$E$4&amp;"!"&amp;ADDRESS(10,COLUMN(F$9)-1)&amp;":"&amp;ADDRESS(1000,COLUMN(F$9)-1))),
SUMIF(INDIRECT(Equipo!$F$4&amp;"!B10:B1000"),$B198,INDIRECT(Equipo!$F$4&amp;"!"&amp;ADDRESS(10,COLUMN(F$9)-1)&amp;":"&amp;ADDRESS(1000,COLUMN(F$9)-1))),
SUMIF(INDIRECT(Equipo!$G$4&amp;"!B10:B1000"),$B198,INDIRECT(Equipo!$G$4&amp;"!"&amp;ADDRESS(10,COLUMN(F$9)-1)&amp;":"&amp;ADDRESS(1000,COLUMN(F$9)-1)))))</f>
        <v>-</v>
      </c>
      <c r="G198" s="19" t="str">
        <f t="array" ref="G198">IF(ISBLANK(Tareas!$B194),"-",SUM(
SUMIF(INDIRECT(Equipo!$C$4&amp;"!B10:B1000"),$B198,INDIRECT(Equipo!$C$4&amp;"!"&amp;ADDRESS(10,COLUMN(G$9)-1)&amp;":"&amp;ADDRESS(1000,COLUMN(G$9)-1))),
SUMIF(INDIRECT(Equipo!$D$4&amp;"!B10:B1000"),$B198,INDIRECT(Equipo!$D$4&amp;"!"&amp;ADDRESS(10,COLUMN(G$9)-1)&amp;":"&amp;ADDRESS(1000,COLUMN(G$9)-1))),
SUMIF(INDIRECT(Equipo!$E$4&amp;"!B10:B1000"),$B198,INDIRECT(Equipo!$E$4&amp;"!"&amp;ADDRESS(10,COLUMN(G$9)-1)&amp;":"&amp;ADDRESS(1000,COLUMN(G$9)-1))),
SUMIF(INDIRECT(Equipo!$F$4&amp;"!B10:B1000"),$B198,INDIRECT(Equipo!$F$4&amp;"!"&amp;ADDRESS(10,COLUMN(G$9)-1)&amp;":"&amp;ADDRESS(1000,COLUMN(G$9)-1))),
SUMIF(INDIRECT(Equipo!$G$4&amp;"!B10:B1000"),$B198,INDIRECT(Equipo!$G$4&amp;"!"&amp;ADDRESS(10,COLUMN(G$9)-1)&amp;":"&amp;ADDRESS(1000,COLUMN(G$9)-1)))))</f>
        <v>-</v>
      </c>
      <c r="H198" s="19" t="str">
        <f t="array" ref="H198">IF(ISBLANK(Tareas!$B194),"-",SUM(
SUMIF(INDIRECT(Equipo!$C$4&amp;"!B10:B1000"),$B198,INDIRECT(Equipo!$C$4&amp;"!"&amp;ADDRESS(10,COLUMN(H$9)-1)&amp;":"&amp;ADDRESS(1000,COLUMN(H$9)-1))),
SUMIF(INDIRECT(Equipo!$D$4&amp;"!B10:B1000"),$B198,INDIRECT(Equipo!$D$4&amp;"!"&amp;ADDRESS(10,COLUMN(H$9)-1)&amp;":"&amp;ADDRESS(1000,COLUMN(H$9)-1))),
SUMIF(INDIRECT(Equipo!$E$4&amp;"!B10:B1000"),$B198,INDIRECT(Equipo!$E$4&amp;"!"&amp;ADDRESS(10,COLUMN(H$9)-1)&amp;":"&amp;ADDRESS(1000,COLUMN(H$9)-1))),
SUMIF(INDIRECT(Equipo!$F$4&amp;"!B10:B1000"),$B198,INDIRECT(Equipo!$F$4&amp;"!"&amp;ADDRESS(10,COLUMN(H$9)-1)&amp;":"&amp;ADDRESS(1000,COLUMN(H$9)-1))),
SUMIF(INDIRECT(Equipo!$G$4&amp;"!B10:B1000"),$B198,INDIRECT(Equipo!$G$4&amp;"!"&amp;ADDRESS(10,COLUMN(H$9)-1)&amp;":"&amp;ADDRESS(1000,COLUMN(H$9)-1)))))</f>
        <v>-</v>
      </c>
      <c r="I198" s="19" t="str">
        <f t="array" ref="I198">IF(ISBLANK(Tareas!$B194),"-",SUM(
SUMIF(INDIRECT(Equipo!$C$4&amp;"!B10:B1000"),$B198,INDIRECT(Equipo!$C$4&amp;"!"&amp;ADDRESS(10,COLUMN(I$9)-1)&amp;":"&amp;ADDRESS(1000,COLUMN(I$9)-1))),
SUMIF(INDIRECT(Equipo!$D$4&amp;"!B10:B1000"),$B198,INDIRECT(Equipo!$D$4&amp;"!"&amp;ADDRESS(10,COLUMN(I$9)-1)&amp;":"&amp;ADDRESS(1000,COLUMN(I$9)-1))),
SUMIF(INDIRECT(Equipo!$E$4&amp;"!B10:B1000"),$B198,INDIRECT(Equipo!$E$4&amp;"!"&amp;ADDRESS(10,COLUMN(I$9)-1)&amp;":"&amp;ADDRESS(1000,COLUMN(I$9)-1))),
SUMIF(INDIRECT(Equipo!$F$4&amp;"!B10:B1000"),$B198,INDIRECT(Equipo!$F$4&amp;"!"&amp;ADDRESS(10,COLUMN(I$9)-1)&amp;":"&amp;ADDRESS(1000,COLUMN(I$9)-1))),
SUMIF(INDIRECT(Equipo!$G$4&amp;"!B10:B1000"),$B198,INDIRECT(Equipo!$G$4&amp;"!"&amp;ADDRESS(10,COLUMN(I$9)-1)&amp;":"&amp;ADDRESS(1000,COLUMN(I$9)-1)))))</f>
        <v>-</v>
      </c>
      <c r="J198" s="19" t="str">
        <f t="array" ref="J198">IF(ISBLANK(Tareas!$B194),"-",SUM(
SUMIF(INDIRECT(Equipo!$C$4&amp;"!B10:B1000"),$B198,INDIRECT(Equipo!$C$4&amp;"!"&amp;ADDRESS(10,COLUMN(J$9)-1)&amp;":"&amp;ADDRESS(1000,COLUMN(J$9)-1))),
SUMIF(INDIRECT(Equipo!$D$4&amp;"!B10:B1000"),$B198,INDIRECT(Equipo!$D$4&amp;"!"&amp;ADDRESS(10,COLUMN(J$9)-1)&amp;":"&amp;ADDRESS(1000,COLUMN(J$9)-1))),
SUMIF(INDIRECT(Equipo!$E$4&amp;"!B10:B1000"),$B198,INDIRECT(Equipo!$E$4&amp;"!"&amp;ADDRESS(10,COLUMN(J$9)-1)&amp;":"&amp;ADDRESS(1000,COLUMN(J$9)-1))),
SUMIF(INDIRECT(Equipo!$F$4&amp;"!B10:B1000"),$B198,INDIRECT(Equipo!$F$4&amp;"!"&amp;ADDRESS(10,COLUMN(J$9)-1)&amp;":"&amp;ADDRESS(1000,COLUMN(J$9)-1))),
SUMIF(INDIRECT(Equipo!$G$4&amp;"!B10:B1000"),$B198,INDIRECT(Equipo!$G$4&amp;"!"&amp;ADDRESS(10,COLUMN(J$9)-1)&amp;":"&amp;ADDRESS(1000,COLUMN(J$9)-1)))))</f>
        <v>-</v>
      </c>
      <c r="K198" s="19" t="str">
        <f t="array" ref="K198">IF(ISBLANK(Tareas!$B194),"-",SUM(
SUMIF(INDIRECT(Equipo!$C$4&amp;"!B10:B1000"),$B198,INDIRECT(Equipo!$C$4&amp;"!"&amp;ADDRESS(10,COLUMN(K$9)-1)&amp;":"&amp;ADDRESS(1000,COLUMN(K$9)-1))),
SUMIF(INDIRECT(Equipo!$D$4&amp;"!B10:B1000"),$B198,INDIRECT(Equipo!$D$4&amp;"!"&amp;ADDRESS(10,COLUMN(K$9)-1)&amp;":"&amp;ADDRESS(1000,COLUMN(K$9)-1))),
SUMIF(INDIRECT(Equipo!$E$4&amp;"!B10:B1000"),$B198,INDIRECT(Equipo!$E$4&amp;"!"&amp;ADDRESS(10,COLUMN(K$9)-1)&amp;":"&amp;ADDRESS(1000,COLUMN(K$9)-1))),
SUMIF(INDIRECT(Equipo!$F$4&amp;"!B10:B1000"),$B198,INDIRECT(Equipo!$F$4&amp;"!"&amp;ADDRESS(10,COLUMN(K$9)-1)&amp;":"&amp;ADDRESS(1000,COLUMN(K$9)-1))),
SUMIF(INDIRECT(Equipo!$G$4&amp;"!B10:B1000"),$B198,INDIRECT(Equipo!$G$4&amp;"!"&amp;ADDRESS(10,COLUMN(K$9)-1)&amp;":"&amp;ADDRESS(1000,COLUMN(K$9)-1)))))</f>
        <v>-</v>
      </c>
    </row>
    <row r="199" ht="15.75" customHeight="1">
      <c r="B199" s="1" t="str">
        <f>IF(ISBLANK(Tareas!B195)," - ",Tareas!B195)</f>
        <v> - </v>
      </c>
      <c r="D199" s="19" t="str">
        <f t="array" ref="D199">IF(ISBLANK(Tareas!$B195),"-",SUM(
SUMIF(INDIRECT(Equipo!$C$4&amp;"!B10:B1000"),$B199,INDIRECT(Equipo!$C$4&amp;"!"&amp;ADDRESS(10,COLUMN(D$9)-1)&amp;":"&amp;ADDRESS(1000,COLUMN(D$9)-1))),
SUMIF(INDIRECT(Equipo!$D$4&amp;"!B10:B1000"),$B199,INDIRECT(Equipo!$D$4&amp;"!"&amp;ADDRESS(10,COLUMN(D$9)-1)&amp;":"&amp;ADDRESS(1000,COLUMN(D$9)-1))),
SUMIF(INDIRECT(Equipo!$E$4&amp;"!B10:B1000"),$B199,INDIRECT(Equipo!$E$4&amp;"!"&amp;ADDRESS(10,COLUMN(D$9)-1)&amp;":"&amp;ADDRESS(1000,COLUMN(D$9)-1))),
SUMIF(INDIRECT(Equipo!$F$4&amp;"!B10:B1000"),$B199,INDIRECT(Equipo!$F$4&amp;"!"&amp;ADDRESS(10,COLUMN(D$9)-1)&amp;":"&amp;ADDRESS(1000,COLUMN(D$9)-1))),
SUMIF(INDIRECT(Equipo!$G$4&amp;"!B10:B1000"),$B199,INDIRECT(Equipo!$G$4&amp;"!"&amp;ADDRESS(10,COLUMN(D$9)-1)&amp;":"&amp;ADDRESS(1000,COLUMN(D$9)-1)))))</f>
        <v>-</v>
      </c>
      <c r="E199" s="19" t="str">
        <f t="array" ref="E199">IF(ISBLANK(Tareas!$B195),"-",SUM(
SUMIF(INDIRECT(Equipo!$C$4&amp;"!B10:B1000"),$B199,INDIRECT(Equipo!$C$4&amp;"!"&amp;ADDRESS(10,COLUMN(E$9)-1)&amp;":"&amp;ADDRESS(1000,COLUMN(E$9)-1))),
SUMIF(INDIRECT(Equipo!$D$4&amp;"!B10:B1000"),$B199,INDIRECT(Equipo!$D$4&amp;"!"&amp;ADDRESS(10,COLUMN(E$9)-1)&amp;":"&amp;ADDRESS(1000,COLUMN(E$9)-1))),
SUMIF(INDIRECT(Equipo!$E$4&amp;"!B10:B1000"),$B199,INDIRECT(Equipo!$E$4&amp;"!"&amp;ADDRESS(10,COLUMN(E$9)-1)&amp;":"&amp;ADDRESS(1000,COLUMN(E$9)-1))),
SUMIF(INDIRECT(Equipo!$F$4&amp;"!B10:B1000"),$B199,INDIRECT(Equipo!$F$4&amp;"!"&amp;ADDRESS(10,COLUMN(E$9)-1)&amp;":"&amp;ADDRESS(1000,COLUMN(E$9)-1))),
SUMIF(INDIRECT(Equipo!$G$4&amp;"!B10:B1000"),$B199,INDIRECT(Equipo!$G$4&amp;"!"&amp;ADDRESS(10,COLUMN(E$9)-1)&amp;":"&amp;ADDRESS(1000,COLUMN(E$9)-1)))))</f>
        <v>-</v>
      </c>
      <c r="F199" s="19" t="str">
        <f t="array" ref="F199">IF(ISBLANK(Tareas!$B195),"-",SUM(
SUMIF(INDIRECT(Equipo!$C$4&amp;"!B10:B1000"),$B199,INDIRECT(Equipo!$C$4&amp;"!"&amp;ADDRESS(10,COLUMN(F$9)-1)&amp;":"&amp;ADDRESS(1000,COLUMN(F$9)-1))),
SUMIF(INDIRECT(Equipo!$D$4&amp;"!B10:B1000"),$B199,INDIRECT(Equipo!$D$4&amp;"!"&amp;ADDRESS(10,COLUMN(F$9)-1)&amp;":"&amp;ADDRESS(1000,COLUMN(F$9)-1))),
SUMIF(INDIRECT(Equipo!$E$4&amp;"!B10:B1000"),$B199,INDIRECT(Equipo!$E$4&amp;"!"&amp;ADDRESS(10,COLUMN(F$9)-1)&amp;":"&amp;ADDRESS(1000,COLUMN(F$9)-1))),
SUMIF(INDIRECT(Equipo!$F$4&amp;"!B10:B1000"),$B199,INDIRECT(Equipo!$F$4&amp;"!"&amp;ADDRESS(10,COLUMN(F$9)-1)&amp;":"&amp;ADDRESS(1000,COLUMN(F$9)-1))),
SUMIF(INDIRECT(Equipo!$G$4&amp;"!B10:B1000"),$B199,INDIRECT(Equipo!$G$4&amp;"!"&amp;ADDRESS(10,COLUMN(F$9)-1)&amp;":"&amp;ADDRESS(1000,COLUMN(F$9)-1)))))</f>
        <v>-</v>
      </c>
      <c r="G199" s="19" t="str">
        <f t="array" ref="G199">IF(ISBLANK(Tareas!$B195),"-",SUM(
SUMIF(INDIRECT(Equipo!$C$4&amp;"!B10:B1000"),$B199,INDIRECT(Equipo!$C$4&amp;"!"&amp;ADDRESS(10,COLUMN(G$9)-1)&amp;":"&amp;ADDRESS(1000,COLUMN(G$9)-1))),
SUMIF(INDIRECT(Equipo!$D$4&amp;"!B10:B1000"),$B199,INDIRECT(Equipo!$D$4&amp;"!"&amp;ADDRESS(10,COLUMN(G$9)-1)&amp;":"&amp;ADDRESS(1000,COLUMN(G$9)-1))),
SUMIF(INDIRECT(Equipo!$E$4&amp;"!B10:B1000"),$B199,INDIRECT(Equipo!$E$4&amp;"!"&amp;ADDRESS(10,COLUMN(G$9)-1)&amp;":"&amp;ADDRESS(1000,COLUMN(G$9)-1))),
SUMIF(INDIRECT(Equipo!$F$4&amp;"!B10:B1000"),$B199,INDIRECT(Equipo!$F$4&amp;"!"&amp;ADDRESS(10,COLUMN(G$9)-1)&amp;":"&amp;ADDRESS(1000,COLUMN(G$9)-1))),
SUMIF(INDIRECT(Equipo!$G$4&amp;"!B10:B1000"),$B199,INDIRECT(Equipo!$G$4&amp;"!"&amp;ADDRESS(10,COLUMN(G$9)-1)&amp;":"&amp;ADDRESS(1000,COLUMN(G$9)-1)))))</f>
        <v>-</v>
      </c>
      <c r="H199" s="19" t="str">
        <f t="array" ref="H199">IF(ISBLANK(Tareas!$B195),"-",SUM(
SUMIF(INDIRECT(Equipo!$C$4&amp;"!B10:B1000"),$B199,INDIRECT(Equipo!$C$4&amp;"!"&amp;ADDRESS(10,COLUMN(H$9)-1)&amp;":"&amp;ADDRESS(1000,COLUMN(H$9)-1))),
SUMIF(INDIRECT(Equipo!$D$4&amp;"!B10:B1000"),$B199,INDIRECT(Equipo!$D$4&amp;"!"&amp;ADDRESS(10,COLUMN(H$9)-1)&amp;":"&amp;ADDRESS(1000,COLUMN(H$9)-1))),
SUMIF(INDIRECT(Equipo!$E$4&amp;"!B10:B1000"),$B199,INDIRECT(Equipo!$E$4&amp;"!"&amp;ADDRESS(10,COLUMN(H$9)-1)&amp;":"&amp;ADDRESS(1000,COLUMN(H$9)-1))),
SUMIF(INDIRECT(Equipo!$F$4&amp;"!B10:B1000"),$B199,INDIRECT(Equipo!$F$4&amp;"!"&amp;ADDRESS(10,COLUMN(H$9)-1)&amp;":"&amp;ADDRESS(1000,COLUMN(H$9)-1))),
SUMIF(INDIRECT(Equipo!$G$4&amp;"!B10:B1000"),$B199,INDIRECT(Equipo!$G$4&amp;"!"&amp;ADDRESS(10,COLUMN(H$9)-1)&amp;":"&amp;ADDRESS(1000,COLUMN(H$9)-1)))))</f>
        <v>-</v>
      </c>
      <c r="I199" s="19" t="str">
        <f t="array" ref="I199">IF(ISBLANK(Tareas!$B195),"-",SUM(
SUMIF(INDIRECT(Equipo!$C$4&amp;"!B10:B1000"),$B199,INDIRECT(Equipo!$C$4&amp;"!"&amp;ADDRESS(10,COLUMN(I$9)-1)&amp;":"&amp;ADDRESS(1000,COLUMN(I$9)-1))),
SUMIF(INDIRECT(Equipo!$D$4&amp;"!B10:B1000"),$B199,INDIRECT(Equipo!$D$4&amp;"!"&amp;ADDRESS(10,COLUMN(I$9)-1)&amp;":"&amp;ADDRESS(1000,COLUMN(I$9)-1))),
SUMIF(INDIRECT(Equipo!$E$4&amp;"!B10:B1000"),$B199,INDIRECT(Equipo!$E$4&amp;"!"&amp;ADDRESS(10,COLUMN(I$9)-1)&amp;":"&amp;ADDRESS(1000,COLUMN(I$9)-1))),
SUMIF(INDIRECT(Equipo!$F$4&amp;"!B10:B1000"),$B199,INDIRECT(Equipo!$F$4&amp;"!"&amp;ADDRESS(10,COLUMN(I$9)-1)&amp;":"&amp;ADDRESS(1000,COLUMN(I$9)-1))),
SUMIF(INDIRECT(Equipo!$G$4&amp;"!B10:B1000"),$B199,INDIRECT(Equipo!$G$4&amp;"!"&amp;ADDRESS(10,COLUMN(I$9)-1)&amp;":"&amp;ADDRESS(1000,COLUMN(I$9)-1)))))</f>
        <v>-</v>
      </c>
      <c r="J199" s="19" t="str">
        <f t="array" ref="J199">IF(ISBLANK(Tareas!$B195),"-",SUM(
SUMIF(INDIRECT(Equipo!$C$4&amp;"!B10:B1000"),$B199,INDIRECT(Equipo!$C$4&amp;"!"&amp;ADDRESS(10,COLUMN(J$9)-1)&amp;":"&amp;ADDRESS(1000,COLUMN(J$9)-1))),
SUMIF(INDIRECT(Equipo!$D$4&amp;"!B10:B1000"),$B199,INDIRECT(Equipo!$D$4&amp;"!"&amp;ADDRESS(10,COLUMN(J$9)-1)&amp;":"&amp;ADDRESS(1000,COLUMN(J$9)-1))),
SUMIF(INDIRECT(Equipo!$E$4&amp;"!B10:B1000"),$B199,INDIRECT(Equipo!$E$4&amp;"!"&amp;ADDRESS(10,COLUMN(J$9)-1)&amp;":"&amp;ADDRESS(1000,COLUMN(J$9)-1))),
SUMIF(INDIRECT(Equipo!$F$4&amp;"!B10:B1000"),$B199,INDIRECT(Equipo!$F$4&amp;"!"&amp;ADDRESS(10,COLUMN(J$9)-1)&amp;":"&amp;ADDRESS(1000,COLUMN(J$9)-1))),
SUMIF(INDIRECT(Equipo!$G$4&amp;"!B10:B1000"),$B199,INDIRECT(Equipo!$G$4&amp;"!"&amp;ADDRESS(10,COLUMN(J$9)-1)&amp;":"&amp;ADDRESS(1000,COLUMN(J$9)-1)))))</f>
        <v>-</v>
      </c>
      <c r="K199" s="19" t="str">
        <f t="array" ref="K199">IF(ISBLANK(Tareas!$B195),"-",SUM(
SUMIF(INDIRECT(Equipo!$C$4&amp;"!B10:B1000"),$B199,INDIRECT(Equipo!$C$4&amp;"!"&amp;ADDRESS(10,COLUMN(K$9)-1)&amp;":"&amp;ADDRESS(1000,COLUMN(K$9)-1))),
SUMIF(INDIRECT(Equipo!$D$4&amp;"!B10:B1000"),$B199,INDIRECT(Equipo!$D$4&amp;"!"&amp;ADDRESS(10,COLUMN(K$9)-1)&amp;":"&amp;ADDRESS(1000,COLUMN(K$9)-1))),
SUMIF(INDIRECT(Equipo!$E$4&amp;"!B10:B1000"),$B199,INDIRECT(Equipo!$E$4&amp;"!"&amp;ADDRESS(10,COLUMN(K$9)-1)&amp;":"&amp;ADDRESS(1000,COLUMN(K$9)-1))),
SUMIF(INDIRECT(Equipo!$F$4&amp;"!B10:B1000"),$B199,INDIRECT(Equipo!$F$4&amp;"!"&amp;ADDRESS(10,COLUMN(K$9)-1)&amp;":"&amp;ADDRESS(1000,COLUMN(K$9)-1))),
SUMIF(INDIRECT(Equipo!$G$4&amp;"!B10:B1000"),$B199,INDIRECT(Equipo!$G$4&amp;"!"&amp;ADDRESS(10,COLUMN(K$9)-1)&amp;":"&amp;ADDRESS(1000,COLUMN(K$9)-1)))))</f>
        <v>-</v>
      </c>
    </row>
    <row r="200" ht="15.75" customHeight="1">
      <c r="B200" s="1" t="str">
        <f>IF(ISBLANK(Tareas!B196)," - ",Tareas!B196)</f>
        <v> - </v>
      </c>
      <c r="D200" s="19" t="str">
        <f t="array" ref="D200">IF(ISBLANK(Tareas!$B196),"-",SUM(
SUMIF(INDIRECT(Equipo!$C$4&amp;"!B10:B1000"),$B200,INDIRECT(Equipo!$C$4&amp;"!"&amp;ADDRESS(10,COLUMN(D$9)-1)&amp;":"&amp;ADDRESS(1000,COLUMN(D$9)-1))),
SUMIF(INDIRECT(Equipo!$D$4&amp;"!B10:B1000"),$B200,INDIRECT(Equipo!$D$4&amp;"!"&amp;ADDRESS(10,COLUMN(D$9)-1)&amp;":"&amp;ADDRESS(1000,COLUMN(D$9)-1))),
SUMIF(INDIRECT(Equipo!$E$4&amp;"!B10:B1000"),$B200,INDIRECT(Equipo!$E$4&amp;"!"&amp;ADDRESS(10,COLUMN(D$9)-1)&amp;":"&amp;ADDRESS(1000,COLUMN(D$9)-1))),
SUMIF(INDIRECT(Equipo!$F$4&amp;"!B10:B1000"),$B200,INDIRECT(Equipo!$F$4&amp;"!"&amp;ADDRESS(10,COLUMN(D$9)-1)&amp;":"&amp;ADDRESS(1000,COLUMN(D$9)-1))),
SUMIF(INDIRECT(Equipo!$G$4&amp;"!B10:B1000"),$B200,INDIRECT(Equipo!$G$4&amp;"!"&amp;ADDRESS(10,COLUMN(D$9)-1)&amp;":"&amp;ADDRESS(1000,COLUMN(D$9)-1)))))</f>
        <v>-</v>
      </c>
      <c r="E200" s="19" t="str">
        <f t="array" ref="E200">IF(ISBLANK(Tareas!$B196),"-",SUM(
SUMIF(INDIRECT(Equipo!$C$4&amp;"!B10:B1000"),$B200,INDIRECT(Equipo!$C$4&amp;"!"&amp;ADDRESS(10,COLUMN(E$9)-1)&amp;":"&amp;ADDRESS(1000,COLUMN(E$9)-1))),
SUMIF(INDIRECT(Equipo!$D$4&amp;"!B10:B1000"),$B200,INDIRECT(Equipo!$D$4&amp;"!"&amp;ADDRESS(10,COLUMN(E$9)-1)&amp;":"&amp;ADDRESS(1000,COLUMN(E$9)-1))),
SUMIF(INDIRECT(Equipo!$E$4&amp;"!B10:B1000"),$B200,INDIRECT(Equipo!$E$4&amp;"!"&amp;ADDRESS(10,COLUMN(E$9)-1)&amp;":"&amp;ADDRESS(1000,COLUMN(E$9)-1))),
SUMIF(INDIRECT(Equipo!$F$4&amp;"!B10:B1000"),$B200,INDIRECT(Equipo!$F$4&amp;"!"&amp;ADDRESS(10,COLUMN(E$9)-1)&amp;":"&amp;ADDRESS(1000,COLUMN(E$9)-1))),
SUMIF(INDIRECT(Equipo!$G$4&amp;"!B10:B1000"),$B200,INDIRECT(Equipo!$G$4&amp;"!"&amp;ADDRESS(10,COLUMN(E$9)-1)&amp;":"&amp;ADDRESS(1000,COLUMN(E$9)-1)))))</f>
        <v>-</v>
      </c>
      <c r="F200" s="19" t="str">
        <f t="array" ref="F200">IF(ISBLANK(Tareas!$B196),"-",SUM(
SUMIF(INDIRECT(Equipo!$C$4&amp;"!B10:B1000"),$B200,INDIRECT(Equipo!$C$4&amp;"!"&amp;ADDRESS(10,COLUMN(F$9)-1)&amp;":"&amp;ADDRESS(1000,COLUMN(F$9)-1))),
SUMIF(INDIRECT(Equipo!$D$4&amp;"!B10:B1000"),$B200,INDIRECT(Equipo!$D$4&amp;"!"&amp;ADDRESS(10,COLUMN(F$9)-1)&amp;":"&amp;ADDRESS(1000,COLUMN(F$9)-1))),
SUMIF(INDIRECT(Equipo!$E$4&amp;"!B10:B1000"),$B200,INDIRECT(Equipo!$E$4&amp;"!"&amp;ADDRESS(10,COLUMN(F$9)-1)&amp;":"&amp;ADDRESS(1000,COLUMN(F$9)-1))),
SUMIF(INDIRECT(Equipo!$F$4&amp;"!B10:B1000"),$B200,INDIRECT(Equipo!$F$4&amp;"!"&amp;ADDRESS(10,COLUMN(F$9)-1)&amp;":"&amp;ADDRESS(1000,COLUMN(F$9)-1))),
SUMIF(INDIRECT(Equipo!$G$4&amp;"!B10:B1000"),$B200,INDIRECT(Equipo!$G$4&amp;"!"&amp;ADDRESS(10,COLUMN(F$9)-1)&amp;":"&amp;ADDRESS(1000,COLUMN(F$9)-1)))))</f>
        <v>-</v>
      </c>
      <c r="G200" s="19" t="str">
        <f t="array" ref="G200">IF(ISBLANK(Tareas!$B196),"-",SUM(
SUMIF(INDIRECT(Equipo!$C$4&amp;"!B10:B1000"),$B200,INDIRECT(Equipo!$C$4&amp;"!"&amp;ADDRESS(10,COLUMN(G$9)-1)&amp;":"&amp;ADDRESS(1000,COLUMN(G$9)-1))),
SUMIF(INDIRECT(Equipo!$D$4&amp;"!B10:B1000"),$B200,INDIRECT(Equipo!$D$4&amp;"!"&amp;ADDRESS(10,COLUMN(G$9)-1)&amp;":"&amp;ADDRESS(1000,COLUMN(G$9)-1))),
SUMIF(INDIRECT(Equipo!$E$4&amp;"!B10:B1000"),$B200,INDIRECT(Equipo!$E$4&amp;"!"&amp;ADDRESS(10,COLUMN(G$9)-1)&amp;":"&amp;ADDRESS(1000,COLUMN(G$9)-1))),
SUMIF(INDIRECT(Equipo!$F$4&amp;"!B10:B1000"),$B200,INDIRECT(Equipo!$F$4&amp;"!"&amp;ADDRESS(10,COLUMN(G$9)-1)&amp;":"&amp;ADDRESS(1000,COLUMN(G$9)-1))),
SUMIF(INDIRECT(Equipo!$G$4&amp;"!B10:B1000"),$B200,INDIRECT(Equipo!$G$4&amp;"!"&amp;ADDRESS(10,COLUMN(G$9)-1)&amp;":"&amp;ADDRESS(1000,COLUMN(G$9)-1)))))</f>
        <v>-</v>
      </c>
      <c r="H200" s="19" t="str">
        <f t="array" ref="H200">IF(ISBLANK(Tareas!$B196),"-",SUM(
SUMIF(INDIRECT(Equipo!$C$4&amp;"!B10:B1000"),$B200,INDIRECT(Equipo!$C$4&amp;"!"&amp;ADDRESS(10,COLUMN(H$9)-1)&amp;":"&amp;ADDRESS(1000,COLUMN(H$9)-1))),
SUMIF(INDIRECT(Equipo!$D$4&amp;"!B10:B1000"),$B200,INDIRECT(Equipo!$D$4&amp;"!"&amp;ADDRESS(10,COLUMN(H$9)-1)&amp;":"&amp;ADDRESS(1000,COLUMN(H$9)-1))),
SUMIF(INDIRECT(Equipo!$E$4&amp;"!B10:B1000"),$B200,INDIRECT(Equipo!$E$4&amp;"!"&amp;ADDRESS(10,COLUMN(H$9)-1)&amp;":"&amp;ADDRESS(1000,COLUMN(H$9)-1))),
SUMIF(INDIRECT(Equipo!$F$4&amp;"!B10:B1000"),$B200,INDIRECT(Equipo!$F$4&amp;"!"&amp;ADDRESS(10,COLUMN(H$9)-1)&amp;":"&amp;ADDRESS(1000,COLUMN(H$9)-1))),
SUMIF(INDIRECT(Equipo!$G$4&amp;"!B10:B1000"),$B200,INDIRECT(Equipo!$G$4&amp;"!"&amp;ADDRESS(10,COLUMN(H$9)-1)&amp;":"&amp;ADDRESS(1000,COLUMN(H$9)-1)))))</f>
        <v>-</v>
      </c>
      <c r="I200" s="19" t="str">
        <f t="array" ref="I200">IF(ISBLANK(Tareas!$B196),"-",SUM(
SUMIF(INDIRECT(Equipo!$C$4&amp;"!B10:B1000"),$B200,INDIRECT(Equipo!$C$4&amp;"!"&amp;ADDRESS(10,COLUMN(I$9)-1)&amp;":"&amp;ADDRESS(1000,COLUMN(I$9)-1))),
SUMIF(INDIRECT(Equipo!$D$4&amp;"!B10:B1000"),$B200,INDIRECT(Equipo!$D$4&amp;"!"&amp;ADDRESS(10,COLUMN(I$9)-1)&amp;":"&amp;ADDRESS(1000,COLUMN(I$9)-1))),
SUMIF(INDIRECT(Equipo!$E$4&amp;"!B10:B1000"),$B200,INDIRECT(Equipo!$E$4&amp;"!"&amp;ADDRESS(10,COLUMN(I$9)-1)&amp;":"&amp;ADDRESS(1000,COLUMN(I$9)-1))),
SUMIF(INDIRECT(Equipo!$F$4&amp;"!B10:B1000"),$B200,INDIRECT(Equipo!$F$4&amp;"!"&amp;ADDRESS(10,COLUMN(I$9)-1)&amp;":"&amp;ADDRESS(1000,COLUMN(I$9)-1))),
SUMIF(INDIRECT(Equipo!$G$4&amp;"!B10:B1000"),$B200,INDIRECT(Equipo!$G$4&amp;"!"&amp;ADDRESS(10,COLUMN(I$9)-1)&amp;":"&amp;ADDRESS(1000,COLUMN(I$9)-1)))))</f>
        <v>-</v>
      </c>
      <c r="J200" s="19" t="str">
        <f t="array" ref="J200">IF(ISBLANK(Tareas!$B196),"-",SUM(
SUMIF(INDIRECT(Equipo!$C$4&amp;"!B10:B1000"),$B200,INDIRECT(Equipo!$C$4&amp;"!"&amp;ADDRESS(10,COLUMN(J$9)-1)&amp;":"&amp;ADDRESS(1000,COLUMN(J$9)-1))),
SUMIF(INDIRECT(Equipo!$D$4&amp;"!B10:B1000"),$B200,INDIRECT(Equipo!$D$4&amp;"!"&amp;ADDRESS(10,COLUMN(J$9)-1)&amp;":"&amp;ADDRESS(1000,COLUMN(J$9)-1))),
SUMIF(INDIRECT(Equipo!$E$4&amp;"!B10:B1000"),$B200,INDIRECT(Equipo!$E$4&amp;"!"&amp;ADDRESS(10,COLUMN(J$9)-1)&amp;":"&amp;ADDRESS(1000,COLUMN(J$9)-1))),
SUMIF(INDIRECT(Equipo!$F$4&amp;"!B10:B1000"),$B200,INDIRECT(Equipo!$F$4&amp;"!"&amp;ADDRESS(10,COLUMN(J$9)-1)&amp;":"&amp;ADDRESS(1000,COLUMN(J$9)-1))),
SUMIF(INDIRECT(Equipo!$G$4&amp;"!B10:B1000"),$B200,INDIRECT(Equipo!$G$4&amp;"!"&amp;ADDRESS(10,COLUMN(J$9)-1)&amp;":"&amp;ADDRESS(1000,COLUMN(J$9)-1)))))</f>
        <v>-</v>
      </c>
      <c r="K200" s="19" t="str">
        <f t="array" ref="K200">IF(ISBLANK(Tareas!$B196),"-",SUM(
SUMIF(INDIRECT(Equipo!$C$4&amp;"!B10:B1000"),$B200,INDIRECT(Equipo!$C$4&amp;"!"&amp;ADDRESS(10,COLUMN(K$9)-1)&amp;":"&amp;ADDRESS(1000,COLUMN(K$9)-1))),
SUMIF(INDIRECT(Equipo!$D$4&amp;"!B10:B1000"),$B200,INDIRECT(Equipo!$D$4&amp;"!"&amp;ADDRESS(10,COLUMN(K$9)-1)&amp;":"&amp;ADDRESS(1000,COLUMN(K$9)-1))),
SUMIF(INDIRECT(Equipo!$E$4&amp;"!B10:B1000"),$B200,INDIRECT(Equipo!$E$4&amp;"!"&amp;ADDRESS(10,COLUMN(K$9)-1)&amp;":"&amp;ADDRESS(1000,COLUMN(K$9)-1))),
SUMIF(INDIRECT(Equipo!$F$4&amp;"!B10:B1000"),$B200,INDIRECT(Equipo!$F$4&amp;"!"&amp;ADDRESS(10,COLUMN(K$9)-1)&amp;":"&amp;ADDRESS(1000,COLUMN(K$9)-1))),
SUMIF(INDIRECT(Equipo!$G$4&amp;"!B10:B1000"),$B200,INDIRECT(Equipo!$G$4&amp;"!"&amp;ADDRESS(10,COLUMN(K$9)-1)&amp;":"&amp;ADDRESS(1000,COLUMN(K$9)-1)))))</f>
        <v>-</v>
      </c>
    </row>
    <row r="201" ht="15.75" customHeight="1">
      <c r="B201" s="1" t="str">
        <f>IF(ISBLANK(Tareas!B197)," - ",Tareas!B197)</f>
        <v> - </v>
      </c>
      <c r="D201" s="19" t="str">
        <f t="array" ref="D201">IF(ISBLANK(Tareas!$B197),"-",SUM(
SUMIF(INDIRECT(Equipo!$C$4&amp;"!B10:B1000"),$B201,INDIRECT(Equipo!$C$4&amp;"!"&amp;ADDRESS(10,COLUMN(D$9)-1)&amp;":"&amp;ADDRESS(1000,COLUMN(D$9)-1))),
SUMIF(INDIRECT(Equipo!$D$4&amp;"!B10:B1000"),$B201,INDIRECT(Equipo!$D$4&amp;"!"&amp;ADDRESS(10,COLUMN(D$9)-1)&amp;":"&amp;ADDRESS(1000,COLUMN(D$9)-1))),
SUMIF(INDIRECT(Equipo!$E$4&amp;"!B10:B1000"),$B201,INDIRECT(Equipo!$E$4&amp;"!"&amp;ADDRESS(10,COLUMN(D$9)-1)&amp;":"&amp;ADDRESS(1000,COLUMN(D$9)-1))),
SUMIF(INDIRECT(Equipo!$F$4&amp;"!B10:B1000"),$B201,INDIRECT(Equipo!$F$4&amp;"!"&amp;ADDRESS(10,COLUMN(D$9)-1)&amp;":"&amp;ADDRESS(1000,COLUMN(D$9)-1))),
SUMIF(INDIRECT(Equipo!$G$4&amp;"!B10:B1000"),$B201,INDIRECT(Equipo!$G$4&amp;"!"&amp;ADDRESS(10,COLUMN(D$9)-1)&amp;":"&amp;ADDRESS(1000,COLUMN(D$9)-1)))))</f>
        <v>-</v>
      </c>
      <c r="E201" s="19" t="str">
        <f t="array" ref="E201">IF(ISBLANK(Tareas!$B197),"-",SUM(
SUMIF(INDIRECT(Equipo!$C$4&amp;"!B10:B1000"),$B201,INDIRECT(Equipo!$C$4&amp;"!"&amp;ADDRESS(10,COLUMN(E$9)-1)&amp;":"&amp;ADDRESS(1000,COLUMN(E$9)-1))),
SUMIF(INDIRECT(Equipo!$D$4&amp;"!B10:B1000"),$B201,INDIRECT(Equipo!$D$4&amp;"!"&amp;ADDRESS(10,COLUMN(E$9)-1)&amp;":"&amp;ADDRESS(1000,COLUMN(E$9)-1))),
SUMIF(INDIRECT(Equipo!$E$4&amp;"!B10:B1000"),$B201,INDIRECT(Equipo!$E$4&amp;"!"&amp;ADDRESS(10,COLUMN(E$9)-1)&amp;":"&amp;ADDRESS(1000,COLUMN(E$9)-1))),
SUMIF(INDIRECT(Equipo!$F$4&amp;"!B10:B1000"),$B201,INDIRECT(Equipo!$F$4&amp;"!"&amp;ADDRESS(10,COLUMN(E$9)-1)&amp;":"&amp;ADDRESS(1000,COLUMN(E$9)-1))),
SUMIF(INDIRECT(Equipo!$G$4&amp;"!B10:B1000"),$B201,INDIRECT(Equipo!$G$4&amp;"!"&amp;ADDRESS(10,COLUMN(E$9)-1)&amp;":"&amp;ADDRESS(1000,COLUMN(E$9)-1)))))</f>
        <v>-</v>
      </c>
      <c r="F201" s="19" t="str">
        <f t="array" ref="F201">IF(ISBLANK(Tareas!$B197),"-",SUM(
SUMIF(INDIRECT(Equipo!$C$4&amp;"!B10:B1000"),$B201,INDIRECT(Equipo!$C$4&amp;"!"&amp;ADDRESS(10,COLUMN(F$9)-1)&amp;":"&amp;ADDRESS(1000,COLUMN(F$9)-1))),
SUMIF(INDIRECT(Equipo!$D$4&amp;"!B10:B1000"),$B201,INDIRECT(Equipo!$D$4&amp;"!"&amp;ADDRESS(10,COLUMN(F$9)-1)&amp;":"&amp;ADDRESS(1000,COLUMN(F$9)-1))),
SUMIF(INDIRECT(Equipo!$E$4&amp;"!B10:B1000"),$B201,INDIRECT(Equipo!$E$4&amp;"!"&amp;ADDRESS(10,COLUMN(F$9)-1)&amp;":"&amp;ADDRESS(1000,COLUMN(F$9)-1))),
SUMIF(INDIRECT(Equipo!$F$4&amp;"!B10:B1000"),$B201,INDIRECT(Equipo!$F$4&amp;"!"&amp;ADDRESS(10,COLUMN(F$9)-1)&amp;":"&amp;ADDRESS(1000,COLUMN(F$9)-1))),
SUMIF(INDIRECT(Equipo!$G$4&amp;"!B10:B1000"),$B201,INDIRECT(Equipo!$G$4&amp;"!"&amp;ADDRESS(10,COLUMN(F$9)-1)&amp;":"&amp;ADDRESS(1000,COLUMN(F$9)-1)))))</f>
        <v>-</v>
      </c>
      <c r="G201" s="19" t="str">
        <f t="array" ref="G201">IF(ISBLANK(Tareas!$B197),"-",SUM(
SUMIF(INDIRECT(Equipo!$C$4&amp;"!B10:B1000"),$B201,INDIRECT(Equipo!$C$4&amp;"!"&amp;ADDRESS(10,COLUMN(G$9)-1)&amp;":"&amp;ADDRESS(1000,COLUMN(G$9)-1))),
SUMIF(INDIRECT(Equipo!$D$4&amp;"!B10:B1000"),$B201,INDIRECT(Equipo!$D$4&amp;"!"&amp;ADDRESS(10,COLUMN(G$9)-1)&amp;":"&amp;ADDRESS(1000,COLUMN(G$9)-1))),
SUMIF(INDIRECT(Equipo!$E$4&amp;"!B10:B1000"),$B201,INDIRECT(Equipo!$E$4&amp;"!"&amp;ADDRESS(10,COLUMN(G$9)-1)&amp;":"&amp;ADDRESS(1000,COLUMN(G$9)-1))),
SUMIF(INDIRECT(Equipo!$F$4&amp;"!B10:B1000"),$B201,INDIRECT(Equipo!$F$4&amp;"!"&amp;ADDRESS(10,COLUMN(G$9)-1)&amp;":"&amp;ADDRESS(1000,COLUMN(G$9)-1))),
SUMIF(INDIRECT(Equipo!$G$4&amp;"!B10:B1000"),$B201,INDIRECT(Equipo!$G$4&amp;"!"&amp;ADDRESS(10,COLUMN(G$9)-1)&amp;":"&amp;ADDRESS(1000,COLUMN(G$9)-1)))))</f>
        <v>-</v>
      </c>
      <c r="H201" s="19" t="str">
        <f t="array" ref="H201">IF(ISBLANK(Tareas!$B197),"-",SUM(
SUMIF(INDIRECT(Equipo!$C$4&amp;"!B10:B1000"),$B201,INDIRECT(Equipo!$C$4&amp;"!"&amp;ADDRESS(10,COLUMN(H$9)-1)&amp;":"&amp;ADDRESS(1000,COLUMN(H$9)-1))),
SUMIF(INDIRECT(Equipo!$D$4&amp;"!B10:B1000"),$B201,INDIRECT(Equipo!$D$4&amp;"!"&amp;ADDRESS(10,COLUMN(H$9)-1)&amp;":"&amp;ADDRESS(1000,COLUMN(H$9)-1))),
SUMIF(INDIRECT(Equipo!$E$4&amp;"!B10:B1000"),$B201,INDIRECT(Equipo!$E$4&amp;"!"&amp;ADDRESS(10,COLUMN(H$9)-1)&amp;":"&amp;ADDRESS(1000,COLUMN(H$9)-1))),
SUMIF(INDIRECT(Equipo!$F$4&amp;"!B10:B1000"),$B201,INDIRECT(Equipo!$F$4&amp;"!"&amp;ADDRESS(10,COLUMN(H$9)-1)&amp;":"&amp;ADDRESS(1000,COLUMN(H$9)-1))),
SUMIF(INDIRECT(Equipo!$G$4&amp;"!B10:B1000"),$B201,INDIRECT(Equipo!$G$4&amp;"!"&amp;ADDRESS(10,COLUMN(H$9)-1)&amp;":"&amp;ADDRESS(1000,COLUMN(H$9)-1)))))</f>
        <v>-</v>
      </c>
      <c r="I201" s="19" t="str">
        <f t="array" ref="I201">IF(ISBLANK(Tareas!$B197),"-",SUM(
SUMIF(INDIRECT(Equipo!$C$4&amp;"!B10:B1000"),$B201,INDIRECT(Equipo!$C$4&amp;"!"&amp;ADDRESS(10,COLUMN(I$9)-1)&amp;":"&amp;ADDRESS(1000,COLUMN(I$9)-1))),
SUMIF(INDIRECT(Equipo!$D$4&amp;"!B10:B1000"),$B201,INDIRECT(Equipo!$D$4&amp;"!"&amp;ADDRESS(10,COLUMN(I$9)-1)&amp;":"&amp;ADDRESS(1000,COLUMN(I$9)-1))),
SUMIF(INDIRECT(Equipo!$E$4&amp;"!B10:B1000"),$B201,INDIRECT(Equipo!$E$4&amp;"!"&amp;ADDRESS(10,COLUMN(I$9)-1)&amp;":"&amp;ADDRESS(1000,COLUMN(I$9)-1))),
SUMIF(INDIRECT(Equipo!$F$4&amp;"!B10:B1000"),$B201,INDIRECT(Equipo!$F$4&amp;"!"&amp;ADDRESS(10,COLUMN(I$9)-1)&amp;":"&amp;ADDRESS(1000,COLUMN(I$9)-1))),
SUMIF(INDIRECT(Equipo!$G$4&amp;"!B10:B1000"),$B201,INDIRECT(Equipo!$G$4&amp;"!"&amp;ADDRESS(10,COLUMN(I$9)-1)&amp;":"&amp;ADDRESS(1000,COLUMN(I$9)-1)))))</f>
        <v>-</v>
      </c>
      <c r="J201" s="19" t="str">
        <f t="array" ref="J201">IF(ISBLANK(Tareas!$B197),"-",SUM(
SUMIF(INDIRECT(Equipo!$C$4&amp;"!B10:B1000"),$B201,INDIRECT(Equipo!$C$4&amp;"!"&amp;ADDRESS(10,COLUMN(J$9)-1)&amp;":"&amp;ADDRESS(1000,COLUMN(J$9)-1))),
SUMIF(INDIRECT(Equipo!$D$4&amp;"!B10:B1000"),$B201,INDIRECT(Equipo!$D$4&amp;"!"&amp;ADDRESS(10,COLUMN(J$9)-1)&amp;":"&amp;ADDRESS(1000,COLUMN(J$9)-1))),
SUMIF(INDIRECT(Equipo!$E$4&amp;"!B10:B1000"),$B201,INDIRECT(Equipo!$E$4&amp;"!"&amp;ADDRESS(10,COLUMN(J$9)-1)&amp;":"&amp;ADDRESS(1000,COLUMN(J$9)-1))),
SUMIF(INDIRECT(Equipo!$F$4&amp;"!B10:B1000"),$B201,INDIRECT(Equipo!$F$4&amp;"!"&amp;ADDRESS(10,COLUMN(J$9)-1)&amp;":"&amp;ADDRESS(1000,COLUMN(J$9)-1))),
SUMIF(INDIRECT(Equipo!$G$4&amp;"!B10:B1000"),$B201,INDIRECT(Equipo!$G$4&amp;"!"&amp;ADDRESS(10,COLUMN(J$9)-1)&amp;":"&amp;ADDRESS(1000,COLUMN(J$9)-1)))))</f>
        <v>-</v>
      </c>
      <c r="K201" s="19" t="str">
        <f t="array" ref="K201">IF(ISBLANK(Tareas!$B197),"-",SUM(
SUMIF(INDIRECT(Equipo!$C$4&amp;"!B10:B1000"),$B201,INDIRECT(Equipo!$C$4&amp;"!"&amp;ADDRESS(10,COLUMN(K$9)-1)&amp;":"&amp;ADDRESS(1000,COLUMN(K$9)-1))),
SUMIF(INDIRECT(Equipo!$D$4&amp;"!B10:B1000"),$B201,INDIRECT(Equipo!$D$4&amp;"!"&amp;ADDRESS(10,COLUMN(K$9)-1)&amp;":"&amp;ADDRESS(1000,COLUMN(K$9)-1))),
SUMIF(INDIRECT(Equipo!$E$4&amp;"!B10:B1000"),$B201,INDIRECT(Equipo!$E$4&amp;"!"&amp;ADDRESS(10,COLUMN(K$9)-1)&amp;":"&amp;ADDRESS(1000,COLUMN(K$9)-1))),
SUMIF(INDIRECT(Equipo!$F$4&amp;"!B10:B1000"),$B201,INDIRECT(Equipo!$F$4&amp;"!"&amp;ADDRESS(10,COLUMN(K$9)-1)&amp;":"&amp;ADDRESS(1000,COLUMN(K$9)-1))),
SUMIF(INDIRECT(Equipo!$G$4&amp;"!B10:B1000"),$B201,INDIRECT(Equipo!$G$4&amp;"!"&amp;ADDRESS(10,COLUMN(K$9)-1)&amp;":"&amp;ADDRESS(1000,COLUMN(K$9)-1)))))</f>
        <v>-</v>
      </c>
    </row>
    <row r="202" ht="15.75" customHeight="1">
      <c r="B202" s="1" t="s">
        <v>61</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0:K201">
    <cfRule type="cellIs" dxfId="0" priority="1" operator="equal">
      <formula>0</formula>
    </cfRule>
  </conditionalFormatting>
  <printOptions/>
  <pageMargins bottom="0.75" footer="0.0" header="0.0" left="0.7" right="0.7" top="0.75"/>
  <pageSetup orientation="landscape"/>
  <drawing r:id="rId1"/>
</worksheet>
</file>